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storage\Fondazione_Eulo\_Associazione Alumni\__Nuovo DB\_DEF ISCRITTI\2025\"/>
    </mc:Choice>
  </mc:AlternateContent>
  <xr:revisionPtr revIDLastSave="0" documentId="13_ncr:1_{B84568DF-E6E7-4807-BDA8-C4087E703FF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Foglio1" sheetId="2" r:id="rId2"/>
  </sheets>
  <definedNames>
    <definedName name="_xlnm._FilterDatabase" localSheetId="0" hidden="1">Sheet1!$X$1:$X$1287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2" l="1"/>
  <c r="B11" i="2"/>
  <c r="B10" i="2"/>
  <c r="B9" i="2"/>
  <c r="B8" i="2"/>
  <c r="B2" i="2"/>
  <c r="B1" i="2"/>
  <c r="B5" i="2"/>
  <c r="B6" i="2" l="1"/>
</calcChain>
</file>

<file path=xl/sharedStrings.xml><?xml version="1.0" encoding="utf-8"?>
<sst xmlns="http://schemas.openxmlformats.org/spreadsheetml/2006/main" count="24317" uniqueCount="10298">
  <si>
    <t>INA_CF</t>
  </si>
  <si>
    <t>INA_Cognome</t>
  </si>
  <si>
    <t>INA_Nome</t>
  </si>
  <si>
    <t>INA_Posizione</t>
  </si>
  <si>
    <t>INA_Società</t>
  </si>
  <si>
    <t>INA_Città Residenza</t>
  </si>
  <si>
    <t>INA_Nazione Residenza</t>
  </si>
  <si>
    <t>Cittadinanza</t>
  </si>
  <si>
    <t>INA_Telefono</t>
  </si>
  <si>
    <t>INA_Mail</t>
  </si>
  <si>
    <t>INA_Cell</t>
  </si>
  <si>
    <t>INA_quota_versata</t>
  </si>
  <si>
    <t>Url Linkedin</t>
  </si>
  <si>
    <t>INA_Data</t>
  </si>
  <si>
    <t>Da approvare</t>
  </si>
  <si>
    <t>Delibera CD</t>
  </si>
  <si>
    <t>Note</t>
  </si>
  <si>
    <t>INA_dati_titolo</t>
  </si>
  <si>
    <t>INA_accettazione trattamento</t>
  </si>
  <si>
    <t>BNDRNI95S68B157V</t>
  </si>
  <si>
    <t>Abondio</t>
  </si>
  <si>
    <t>Irene</t>
  </si>
  <si>
    <t>Dott.</t>
  </si>
  <si>
    <t>Dottoranda in Business &amp; Law, consulente libera professionista</t>
  </si>
  <si>
    <t>Libera professione e dottoranda in Università degli Studi di Brescia</t>
  </si>
  <si>
    <t>Italia</t>
  </si>
  <si>
    <t>ireneabondio@unibs.it</t>
  </si>
  <si>
    <t>393405862786</t>
  </si>
  <si>
    <t>https://www.linkedin.com/in/irene-abondio-691b9813a/</t>
  </si>
  <si>
    <t>Ordinario</t>
  </si>
  <si>
    <t>Laurea Magistrale in Giurisprudenza e seconda Laurea Magistrale in Management delle organizzazioni pubbliche</t>
  </si>
  <si>
    <t>Acconsento al trattamento dei miei dati personali ai sensi del Decreto Legislativo 30 giugno 2003, n. 196 "Codice in materia di protezione dei dati personali".</t>
  </si>
  <si>
    <t>ccsncm85e06b157q</t>
  </si>
  <si>
    <t>Accascina</t>
  </si>
  <si>
    <t>Enricomarialuigi</t>
  </si>
  <si>
    <t>Laurea Magistrale in Ingegneria meccanica, Curriculum autoveicoli, anno di conseguimento 2015</t>
  </si>
  <si>
    <t>R&amp;D manager</t>
  </si>
  <si>
    <t>Nuova Simat</t>
  </si>
  <si>
    <t>Palazzolo sull'oglio</t>
  </si>
  <si>
    <t>Italy</t>
  </si>
  <si>
    <t>enricoaccascina@gmail.com</t>
  </si>
  <si>
    <t>393772338625</t>
  </si>
  <si>
    <t>Effettuerò quanto prima</t>
  </si>
  <si>
    <t>https://www.linkedin.com/in/enrico-accascina-51683b8b/</t>
  </si>
  <si>
    <t>8 Aprile 2022 13:47</t>
  </si>
  <si>
    <t>Da approvare Ordinario</t>
  </si>
  <si>
    <t>DMNRCR65P30B157Y</t>
  </si>
  <si>
    <t>Adamini</t>
  </si>
  <si>
    <t>Riccardo</t>
  </si>
  <si>
    <t>Prof.</t>
  </si>
  <si>
    <t>Full Professor</t>
  </si>
  <si>
    <t>University of Brescia</t>
  </si>
  <si>
    <t>Brescia BS</t>
  </si>
  <si>
    <t>Italiana</t>
  </si>
  <si>
    <t>+39 030 3715403</t>
  </si>
  <si>
    <t>riccardo@adamini.eu</t>
  </si>
  <si>
    <t>3386265070</t>
  </si>
  <si>
    <t>https://www.linkedin.com/in/riccardo-adamini-52048164/</t>
  </si>
  <si>
    <t>DRDFRC86B09C618Z</t>
  </si>
  <si>
    <t>Adrodegari</t>
  </si>
  <si>
    <t>Federico</t>
  </si>
  <si>
    <t>Researcher</t>
  </si>
  <si>
    <t>Università degli studi di Brescia</t>
  </si>
  <si>
    <t>federico.adrodegari@gmail.com</t>
  </si>
  <si>
    <t>3319148638</t>
  </si>
  <si>
    <t>https://www.linkedin.com/in/federico-adrodegari-812b9027/Adrodegari Federico</t>
  </si>
  <si>
    <t>GZZMRC85A28B157Y</t>
  </si>
  <si>
    <t>Agazzi</t>
  </si>
  <si>
    <t>Marco</t>
  </si>
  <si>
    <t>Laurea di primo livello in Ingegneria Gestionale</t>
  </si>
  <si>
    <t>Sales Engineer</t>
  </si>
  <si>
    <t>EBRO ARMATUREN</t>
  </si>
  <si>
    <t>Brescia</t>
  </si>
  <si>
    <t>m.agazzi.28@gmail.com</t>
  </si>
  <si>
    <t>393204840796</t>
  </si>
  <si>
    <t>https://www.linkedin.com/in/marco-agazzi-36227751/</t>
  </si>
  <si>
    <t>8 Aprile 2022 14:31</t>
  </si>
  <si>
    <t>LBRMTT83E01B157I</t>
  </si>
  <si>
    <t>Alberti</t>
  </si>
  <si>
    <t>Matteo</t>
  </si>
  <si>
    <t>Private banker</t>
  </si>
  <si>
    <t>Banca Valsabbina</t>
  </si>
  <si>
    <t>matteo_alberti@yahoo.it</t>
  </si>
  <si>
    <t>3498364875</t>
  </si>
  <si>
    <t>https://www.linkedin.com/in/matteo-alberti-a4738a28/</t>
  </si>
  <si>
    <t>LBNMNL94M04D940T</t>
  </si>
  <si>
    <t>Albini</t>
  </si>
  <si>
    <t>Emanuele</t>
  </si>
  <si>
    <t>Laurea Magistrale in Ingegneria Informatica, 2020</t>
  </si>
  <si>
    <t>AI Research Scientist</t>
  </si>
  <si>
    <t>J.P. Morgan Chase</t>
  </si>
  <si>
    <t>London</t>
  </si>
  <si>
    <t>United Kingdom of Great Britain and Northern Ireland</t>
  </si>
  <si>
    <t>emanuele@emanuelealbini.com</t>
  </si>
  <si>
    <t>393398624175</t>
  </si>
  <si>
    <t>https://www.linkedin.com/in/emanuele-albini</t>
  </si>
  <si>
    <t>8 Aprile 2022 11:59</t>
  </si>
  <si>
    <t>LSSPLA83E49F443E</t>
  </si>
  <si>
    <t>Alessandrini</t>
  </si>
  <si>
    <t>Paola</t>
  </si>
  <si>
    <t>Ing.</t>
  </si>
  <si>
    <t>Specialista sistemi di automazione e strumentazione</t>
  </si>
  <si>
    <t>A2A CALORE &amp; SERVIZI S.R.L.</t>
  </si>
  <si>
    <t>Rezzato BS</t>
  </si>
  <si>
    <t>paola.alessandrini@gmail.com</t>
  </si>
  <si>
    <t>3282258066</t>
  </si>
  <si>
    <t>https://www.linkedin.com/in/paola-alessandrini-412b9672/</t>
  </si>
  <si>
    <t>MDASFN96D19D284R</t>
  </si>
  <si>
    <t>AMADEI</t>
  </si>
  <si>
    <t>STEFANO</t>
  </si>
  <si>
    <t>Assistant Auditor</t>
  </si>
  <si>
    <t>Brixia Revisione</t>
  </si>
  <si>
    <t>3402108468</t>
  </si>
  <si>
    <t>https://www.linkedin.com/in/stefanoamadei/</t>
  </si>
  <si>
    <t>MCACNZ83M48B157Y</t>
  </si>
  <si>
    <t>Amici</t>
  </si>
  <si>
    <t>Cinzia</t>
  </si>
  <si>
    <t>cinzia.amici@unibs.it</t>
  </si>
  <si>
    <t>393473695498</t>
  </si>
  <si>
    <t>https://www.linkedin.com/in/cinzia-amici-590597b8/</t>
  </si>
  <si>
    <t>14 Maggio 2022 11:14</t>
  </si>
  <si>
    <t>Dottorato di Ricerca in Meccanica Applicata, Curriculum "Robotica e Automazione Industriale", 09 Marzo 2011</t>
  </si>
  <si>
    <t>NCRPLA77L26B180A</t>
  </si>
  <si>
    <t>Ancora</t>
  </si>
  <si>
    <t>Paolo</t>
  </si>
  <si>
    <t>Economia aziendale</t>
  </si>
  <si>
    <t>Exeutive Directos</t>
  </si>
  <si>
    <t>EY SL</t>
  </si>
  <si>
    <t>Madrid</t>
  </si>
  <si>
    <t>Spain</t>
  </si>
  <si>
    <t>paolo.ancora@es.ey.com</t>
  </si>
  <si>
    <t>34609721211</t>
  </si>
  <si>
    <t>https://www.linkedin.com/in/paoloancora/</t>
  </si>
  <si>
    <t>7 Aprile 2022 10:24</t>
  </si>
  <si>
    <t>NDNMTT92H20B157Y</t>
  </si>
  <si>
    <t>Andeni</t>
  </si>
  <si>
    <t>Laurea magistrale, triennale e master</t>
  </si>
  <si>
    <t>Internal auditor</t>
  </si>
  <si>
    <t>Generali</t>
  </si>
  <si>
    <t>matteoandeni@outlook.it</t>
  </si>
  <si>
    <t>393939049867</t>
  </si>
  <si>
    <t>Ho effettuato</t>
  </si>
  <si>
    <t>http://linkedin.com/in/matteoandeni</t>
  </si>
  <si>
    <t>10 Aprile 2022 15:06</t>
  </si>
  <si>
    <t>BRTNMR78A53Z129J</t>
  </si>
  <si>
    <t>Annamaria</t>
  </si>
  <si>
    <t>Birtalan</t>
  </si>
  <si>
    <t>Corso di laurea magistrale in Consulenza aziendale e libera professione</t>
  </si>
  <si>
    <t>ricercatrice presso UNIBS</t>
  </si>
  <si>
    <t>Università Degli Studi di Brescia</t>
  </si>
  <si>
    <t>annamaria.birtalan@unibs.it</t>
  </si>
  <si>
    <t>393290698993</t>
  </si>
  <si>
    <t>Sono stato/a esentat/a dal pagamento</t>
  </si>
  <si>
    <t>https://www.linkedin.com/in/annamaria-birtalan-98291bb/</t>
  </si>
  <si>
    <t>8 Aprile 2022 14:13</t>
  </si>
  <si>
    <t>NTNNCL88L15B157A</t>
  </si>
  <si>
    <t>Antonelli</t>
  </si>
  <si>
    <t>Nicola</t>
  </si>
  <si>
    <t>Funzionario - Area Legale, Diritto d'Impresa e Rapporti con la PA</t>
  </si>
  <si>
    <t>Confindustria Brescia</t>
  </si>
  <si>
    <t>nicolaantonelli1988@gmail.com</t>
  </si>
  <si>
    <t>3338598297</t>
  </si>
  <si>
    <t>https://www.linkedin.com/in/nicola-antonelli-07436b107/</t>
  </si>
  <si>
    <t>NWRFHD87D13Z236I</t>
  </si>
  <si>
    <t>Anwar</t>
  </si>
  <si>
    <t>Fahad</t>
  </si>
  <si>
    <t>Researcher and Lecturer</t>
  </si>
  <si>
    <t>anwar.fahad.011@gmail.com</t>
  </si>
  <si>
    <t>+393347856583</t>
  </si>
  <si>
    <t>https://www.linkedin.com/in/fahad-anwar-phd-15762164/</t>
  </si>
  <si>
    <t>RCHLRD96S28I628X</t>
  </si>
  <si>
    <t>Archetti</t>
  </si>
  <si>
    <t>Leonardo</t>
  </si>
  <si>
    <t>Tecnico dell’Automazione delle Operazioni Produttive</t>
  </si>
  <si>
    <t>SIAD S.p.A.</t>
  </si>
  <si>
    <t>Iseo BS</t>
  </si>
  <si>
    <t>leonardoarchetti@gmail.com</t>
  </si>
  <si>
    <t>3389361515</t>
  </si>
  <si>
    <t>https://www.linkedin.com/in/leonardo-archetti-9a14171b3/</t>
  </si>
  <si>
    <t>RDGLRA91P53B157B</t>
  </si>
  <si>
    <t>Ardigo'</t>
  </si>
  <si>
    <t>Laura</t>
  </si>
  <si>
    <t>Revisore</t>
  </si>
  <si>
    <t>Fidital</t>
  </si>
  <si>
    <t>ardigolaura@gmail.com</t>
  </si>
  <si>
    <t>3332605585</t>
  </si>
  <si>
    <t>https://www.linkedin.com/in/laura-ardig%C3%B2-9348a322b/</t>
  </si>
  <si>
    <t>RNGLRT68A30B157V</t>
  </si>
  <si>
    <t>Arenghi</t>
  </si>
  <si>
    <t>Alberto</t>
  </si>
  <si>
    <t>Professore Associato di Architettura Tecnica</t>
  </si>
  <si>
    <t>Università degli Studi di Brescia</t>
  </si>
  <si>
    <t>alberto.arenghi@unibs.it</t>
  </si>
  <si>
    <t>+393488951411</t>
  </si>
  <si>
    <t>https://www.linkedin.com/in/alberto-arenghi-41a46527/</t>
  </si>
  <si>
    <t>RCAPLA84T51B157R</t>
  </si>
  <si>
    <t>Arici</t>
  </si>
  <si>
    <t>ingegnere civile</t>
  </si>
  <si>
    <t>030362990</t>
  </si>
  <si>
    <t>paola.arici84@gmail.com</t>
  </si>
  <si>
    <t>3386216576</t>
  </si>
  <si>
    <t>https://www.linkedin.com/in/paola-arici-83b13564/</t>
  </si>
  <si>
    <t>STRFRC93B17B157P</t>
  </si>
  <si>
    <t>Astori</t>
  </si>
  <si>
    <t>Laurea specialistica in Ingegneria Meccanica. A seguire Master universitario di I livello in alto apprendistato, The future of engineering and manufacturing: industry 4.0</t>
  </si>
  <si>
    <t>Maintenance Manager</t>
  </si>
  <si>
    <t>Bosch VHIT Spa</t>
  </si>
  <si>
    <t>astori.fede@gmail.com</t>
  </si>
  <si>
    <t>393477088617</t>
  </si>
  <si>
    <t>https://www.linkedin.com/in/federico-astori-a920625b/</t>
  </si>
  <si>
    <t>9 Aprile 2022 19:05</t>
  </si>
  <si>
    <t>VGADLN63A48B157Y</t>
  </si>
  <si>
    <t>Avigo</t>
  </si>
  <si>
    <t>Adelina</t>
  </si>
  <si>
    <t>Amministratore unico</t>
  </si>
  <si>
    <t>Ing4Tech srl</t>
  </si>
  <si>
    <t>amministrazione@ing4tech.it</t>
  </si>
  <si>
    <t>3292715863</t>
  </si>
  <si>
    <t>https://www.linkedin.com/in/adelina-avigo-2699746a/</t>
  </si>
  <si>
    <t>Bccmrc78a29b157x</t>
  </si>
  <si>
    <t>Baccaglioni</t>
  </si>
  <si>
    <t>Dirigente</t>
  </si>
  <si>
    <t>Secoval srl</t>
  </si>
  <si>
    <t>VOBARNO</t>
  </si>
  <si>
    <t>marco.baccaglioni@gmail.com</t>
  </si>
  <si>
    <t>393337108722</t>
  </si>
  <si>
    <t>Laurea magistrale + mba</t>
  </si>
  <si>
    <t>BCCNDR82R24B157D</t>
  </si>
  <si>
    <t>Bacchetti</t>
  </si>
  <si>
    <t>Andrea</t>
  </si>
  <si>
    <t>Researcher &amp; Assistant Professor @University of Brescia; CEO @IQ Consulting &amp; Partner @P4i (Digital360 Group); Director of Osservatorio SmartAgrifood</t>
  </si>
  <si>
    <t>Dipartimento di Ingegneria Meccanica e Industriale</t>
  </si>
  <si>
    <t>3403189531</t>
  </si>
  <si>
    <t>bacchetti.a@gmail.com</t>
  </si>
  <si>
    <t>https://www.linkedin.com/in/andrea-bacchetti-a30bb49/</t>
  </si>
  <si>
    <t>BFFJCP94M05B157W</t>
  </si>
  <si>
    <t>Baffelli</t>
  </si>
  <si>
    <t>Jacopo</t>
  </si>
  <si>
    <t>Ingegnere di processo</t>
  </si>
  <si>
    <t>Turboden</t>
  </si>
  <si>
    <t>jacopo.baffelli@gmail.com</t>
  </si>
  <si>
    <t>393203830135</t>
  </si>
  <si>
    <t>20 Aprile 2022 19:49</t>
  </si>
  <si>
    <t>Laurea Magistrale in Ingegneria meccanica 12/02/2019</t>
  </si>
  <si>
    <t>BGLGPL88L21B157I</t>
  </si>
  <si>
    <t>Baglioni</t>
  </si>
  <si>
    <t>Gio Paolo</t>
  </si>
  <si>
    <t>In cerca di nuove sfide professionali</t>
  </si>
  <si>
    <t>+32478434654</t>
  </si>
  <si>
    <t>giopaolobaglioni@gmail.com</t>
  </si>
  <si>
    <t>https://www.linkedin.com/in/giopaolobaglioni/</t>
  </si>
  <si>
    <t>laureato/a unibs</t>
  </si>
  <si>
    <t>BGRMRC88R03B157X</t>
  </si>
  <si>
    <t>Baiguera</t>
  </si>
  <si>
    <t>Dr</t>
  </si>
  <si>
    <t>Assistant Professor (Lecturer) in Structural Engineering</t>
  </si>
  <si>
    <t>University of Southampton</t>
  </si>
  <si>
    <t>Southampton</t>
  </si>
  <si>
    <t>ma.baigu@gmail.com</t>
  </si>
  <si>
    <t>447771102436</t>
  </si>
  <si>
    <t>www.linkedin.com/in/marco-baiguera</t>
  </si>
  <si>
    <t>9 Maggio 2022 10:27</t>
  </si>
  <si>
    <t>PhD in Civil Engineering, November 2017 (Heriot-Watt University); Laurea Magistrale in Ingegneria Civile, Luglio 2013 (Brescia); Laurea in Ingegneria Civile, Novembre 2011 (Brescia)</t>
  </si>
  <si>
    <t>BLDMRZ74R23I437I</t>
  </si>
  <si>
    <t>Balducchi</t>
  </si>
  <si>
    <t>Maurizio</t>
  </si>
  <si>
    <t>Quadro Direttivo</t>
  </si>
  <si>
    <t>Credito Cooperativo</t>
  </si>
  <si>
    <t>maurizio.balducchi@gmail.com</t>
  </si>
  <si>
    <t>3477930561</t>
  </si>
  <si>
    <t>https://www.linkedin.com/in/maurizio-balducchi-340187b0/</t>
  </si>
  <si>
    <t>BLLJLN83L23Z100Y</t>
  </si>
  <si>
    <t>Balla</t>
  </si>
  <si>
    <t>Julian</t>
  </si>
  <si>
    <t>Dr.</t>
  </si>
  <si>
    <t>Urologo</t>
  </si>
  <si>
    <t>Istituto Clinico Città di Brescia</t>
  </si>
  <si>
    <t>Albanese</t>
  </si>
  <si>
    <t>julianballa@yahoo.com</t>
  </si>
  <si>
    <t>https://www.linkedin.com/in/julian-balla-4ba335137/</t>
  </si>
  <si>
    <t>BLZFRC81B56B157I</t>
  </si>
  <si>
    <t>Balzarini</t>
  </si>
  <si>
    <t>Federica</t>
  </si>
  <si>
    <t>Laurea magistrale in Medicina e Chirurgia</t>
  </si>
  <si>
    <t>Milano</t>
  </si>
  <si>
    <t>federica.balzarini@gmail.com</t>
  </si>
  <si>
    <t>393394176177</t>
  </si>
  <si>
    <t>https://www.linkedin.com/in/federica-balzarini-4329b741/</t>
  </si>
  <si>
    <t>8 Aprile 2022 11:40</t>
  </si>
  <si>
    <t>BNNMSL77B54B157Z</t>
  </si>
  <si>
    <t>Bannò</t>
  </si>
  <si>
    <t>Mariasole</t>
  </si>
  <si>
    <t>Prof.ssa</t>
  </si>
  <si>
    <t>Professoressa di economia</t>
  </si>
  <si>
    <t>3395918096</t>
  </si>
  <si>
    <t>mariasole.banno@unibs.it</t>
  </si>
  <si>
    <t>https://www.linkedin.com/in/mariasole-bann%C3%B2-6a575824/Bannò Mariasole</t>
  </si>
  <si>
    <t>BRMLAI92P08F205T</t>
  </si>
  <si>
    <t>Baram</t>
  </si>
  <si>
    <t>Ali</t>
  </si>
  <si>
    <t>Laurea in medicina e chirurgia</t>
  </si>
  <si>
    <t>Specializzando in neurochirurgia</t>
  </si>
  <si>
    <t>Humanitas Research Hospital</t>
  </si>
  <si>
    <t>alibaram92@gmail.com</t>
  </si>
  <si>
    <t>393345977686</t>
  </si>
  <si>
    <t>https://www.linkedin.com/in/ali-b-419933124</t>
  </si>
  <si>
    <t>8 Aprile 2022 13:05</t>
  </si>
  <si>
    <t>brbmsm66d06c618d</t>
  </si>
  <si>
    <t>Barba</t>
  </si>
  <si>
    <t>Massimo</t>
  </si>
  <si>
    <t>CEO</t>
  </si>
  <si>
    <t>Veridia Holding BV</t>
  </si>
  <si>
    <t>Milwaukee WI</t>
  </si>
  <si>
    <t>Stati Uniti</t>
  </si>
  <si>
    <t>info@ingbarba.com</t>
  </si>
  <si>
    <t>393292310228</t>
  </si>
  <si>
    <t>linkedin.com/in/massimo-barba-042a4b10</t>
  </si>
  <si>
    <t>Laurea in Ingegneria Meccanica - 1990</t>
  </si>
  <si>
    <t>BRDLNZ72B29E704W</t>
  </si>
  <si>
    <t>Bardella</t>
  </si>
  <si>
    <t>Lorenzo</t>
  </si>
  <si>
    <t>Associate Professor of Solid and Structural Mechanics</t>
  </si>
  <si>
    <t>lorenzo.bardella@unibs.it</t>
  </si>
  <si>
    <t>3203309376</t>
  </si>
  <si>
    <t>https://www.linkedin.com/in/lorenzo-bardella-35933326/</t>
  </si>
  <si>
    <t>BRGGGB94E18C618P</t>
  </si>
  <si>
    <t>Bargnani</t>
  </si>
  <si>
    <t>Giangabriele</t>
  </si>
  <si>
    <t>Fixed Income Portfolio Manager</t>
  </si>
  <si>
    <t>Sella SGR</t>
  </si>
  <si>
    <t>Milano MI</t>
  </si>
  <si>
    <t>giangabriele.bargnani@gmail.com</t>
  </si>
  <si>
    <t>3278837540</t>
  </si>
  <si>
    <t>https://www.linkedin.com/in/giangabriele-bargnani-4182b1108/</t>
  </si>
  <si>
    <t>BRNCHR90H51G149R</t>
  </si>
  <si>
    <t>Baronchelli</t>
  </si>
  <si>
    <t>Chiara</t>
  </si>
  <si>
    <t>Laurea magistrale in management - International business, 5/4/2016</t>
  </si>
  <si>
    <t>AB Holding spa</t>
  </si>
  <si>
    <t>Orzinuovi</t>
  </si>
  <si>
    <t>chiara.baro@me.com</t>
  </si>
  <si>
    <t>393351247170</t>
  </si>
  <si>
    <t>https://www.linkedin.com/in/chiarabaronchelli</t>
  </si>
  <si>
    <t>8 Aprile 2022 20:11</t>
  </si>
  <si>
    <t>BRNFBA76B03B157R</t>
  </si>
  <si>
    <t>Baronio</t>
  </si>
  <si>
    <t>Fabio</t>
  </si>
  <si>
    <t>Director</t>
  </si>
  <si>
    <t>Department of Information Engineering, University of Brescia</t>
  </si>
  <si>
    <t>3204480977</t>
  </si>
  <si>
    <t>fabio.baronio@unibs.it</t>
  </si>
  <si>
    <t>https://www.linkedin.com/in/fabio-baronio-0a94bb5/</t>
  </si>
  <si>
    <t>BRNSFN74P04B157H</t>
  </si>
  <si>
    <t>Barontini</t>
  </si>
  <si>
    <t>Stefano</t>
  </si>
  <si>
    <t>Professore associato</t>
  </si>
  <si>
    <t>stefano.barontini@unibs.it</t>
  </si>
  <si>
    <t>3391344424</t>
  </si>
  <si>
    <t>https://www.linkedin.com/in/stefano-barontini-23a44468/</t>
  </si>
  <si>
    <t>BRTLSS77H14I462V</t>
  </si>
  <si>
    <t>Bartolacelli</t>
  </si>
  <si>
    <t>Alessio</t>
  </si>
  <si>
    <t>Jean Monnet Chair in Business Law in the European Union and Sustainable Economy Professore associato di diritto commerciale - Associate Professor of Business Law</t>
  </si>
  <si>
    <t>University of Macerata</t>
  </si>
  <si>
    <t>Bagnolo in Piano</t>
  </si>
  <si>
    <t>3391074935</t>
  </si>
  <si>
    <t>alessio.bartolacelli@unimc.it</t>
  </si>
  <si>
    <t>https://www.linkedin.com/in/alessiobartolacelli/</t>
  </si>
  <si>
    <t>BRTGLI89A68A269F</t>
  </si>
  <si>
    <t>Bartoli</t>
  </si>
  <si>
    <t>Giulia</t>
  </si>
  <si>
    <t>Molecular and Cell Biologist</t>
  </si>
  <si>
    <t>Roma</t>
  </si>
  <si>
    <t>g.bartoli004@unibs.it</t>
  </si>
  <si>
    <t>3473050506</t>
  </si>
  <si>
    <t>https://www.linkedin.com/in/giulia-bartoli-9a7775193/</t>
  </si>
  <si>
    <t>non accettabile</t>
  </si>
  <si>
    <t>dottorato in corso</t>
  </si>
  <si>
    <t>BRTPLA81C05B157H</t>
  </si>
  <si>
    <t>Bartolini</t>
  </si>
  <si>
    <t>Head of Electrical and Electronic Architecture and Software Integration</t>
  </si>
  <si>
    <t>McLaren Automotive Ltd</t>
  </si>
  <si>
    <t>Londra</t>
  </si>
  <si>
    <t>Regno Unito</t>
  </si>
  <si>
    <t>paolo.bartolini@gmail.com</t>
  </si>
  <si>
    <t>+447827346986</t>
  </si>
  <si>
    <t>https://it.linkedin.com/in/pbartolini</t>
  </si>
  <si>
    <t>Laure di II livello Ingegneria Elettronica, 23/03/2005</t>
  </si>
  <si>
    <t>BSSDVD94D30B157B</t>
  </si>
  <si>
    <t>Bassini</t>
  </si>
  <si>
    <t>Davide</t>
  </si>
  <si>
    <t>Research Analyst</t>
  </si>
  <si>
    <t>GVA Redilco</t>
  </si>
  <si>
    <t>davide_bassini@yahoo.it</t>
  </si>
  <si>
    <t>3348625004</t>
  </si>
  <si>
    <t>https://www.linkedin.com/in/davide-bassini-654106136/</t>
  </si>
  <si>
    <t>BSSSLV92A43G149J</t>
  </si>
  <si>
    <t>Silvia</t>
  </si>
  <si>
    <t>Ingegnere Ambientale</t>
  </si>
  <si>
    <t>Libero professionista</t>
  </si>
  <si>
    <t>silvia.bassini92@hotmail.it</t>
  </si>
  <si>
    <t>393387380162</t>
  </si>
  <si>
    <t>www.linkedin.com/in/silviabassini</t>
  </si>
  <si>
    <t>12 Giugno 2022 20:33</t>
  </si>
  <si>
    <t>BZZLNE81M71D284X</t>
  </si>
  <si>
    <t>Bazzoli</t>
  </si>
  <si>
    <t>Elena</t>
  </si>
  <si>
    <t>Categoria D - Area amministrativa-gestionale</t>
  </si>
  <si>
    <t xml:space="preserve">Personale Docente </t>
  </si>
  <si>
    <t>3402569511</t>
  </si>
  <si>
    <t>BCCGLC84T13B157J</t>
  </si>
  <si>
    <t>BECCHETTI</t>
  </si>
  <si>
    <t>GIANLUCA</t>
  </si>
  <si>
    <t>Laura di II livello in Consulenza aziendale e libera professione conseguita il 29/06/2009</t>
  </si>
  <si>
    <t>Dottore commercialista</t>
  </si>
  <si>
    <t>Studio Ramponi e Santini</t>
  </si>
  <si>
    <t>concesio</t>
  </si>
  <si>
    <t>gianlu4@gmail.com</t>
  </si>
  <si>
    <t>393396625631</t>
  </si>
  <si>
    <t>Gianluca Becchetti</t>
  </si>
  <si>
    <t>8 Aprile 2022 11:58</t>
  </si>
  <si>
    <t>BCCSMN96L07B157X</t>
  </si>
  <si>
    <t>Becchetti</t>
  </si>
  <si>
    <t>Simone</t>
  </si>
  <si>
    <t>Progettista hardware</t>
  </si>
  <si>
    <t>Intea Engineering</t>
  </si>
  <si>
    <t>s.becchetti07@gmail.com</t>
  </si>
  <si>
    <t>3662080512</t>
  </si>
  <si>
    <t>https://www.linkedin.com/in/simone-becchetti-1a2a4116a/</t>
  </si>
  <si>
    <t>Belardi</t>
  </si>
  <si>
    <t>Marco vittorio</t>
  </si>
  <si>
    <t>LEAN4DIGITAL</t>
  </si>
  <si>
    <t>marbelardi@gmail.com</t>
  </si>
  <si>
    <t>393383684382</t>
  </si>
  <si>
    <t>http://linkedin.com/in/marco-belardi</t>
  </si>
  <si>
    <t>non trovato in esse3</t>
  </si>
  <si>
    <t>Laura VO Ingegneria Meccanica + MBA</t>
  </si>
  <si>
    <t>BLLNCG62R15B157X</t>
  </si>
  <si>
    <t>Belleri</t>
  </si>
  <si>
    <t>Enrico Giuseppe</t>
  </si>
  <si>
    <t>Direttore industriale</t>
  </si>
  <si>
    <t>Deltacom Srl fonderia di alluminio</t>
  </si>
  <si>
    <t>bellerie@inwind.it</t>
  </si>
  <si>
    <t>3356800365</t>
  </si>
  <si>
    <t>https://www.linkedin.com/in/enrico-belleri-3b423140/</t>
  </si>
  <si>
    <t>BLLLSN86L17G264U</t>
  </si>
  <si>
    <t>Bellini</t>
  </si>
  <si>
    <t>Alessandro</t>
  </si>
  <si>
    <t>Sales Manager</t>
  </si>
  <si>
    <t>Artstyle ARREDAMENTI</t>
  </si>
  <si>
    <t>bellinialessandro.mail@gmail.com</t>
  </si>
  <si>
    <t>3452211392</t>
  </si>
  <si>
    <t>https://www.linkedin.com/in/alessandro-bellini-5013341b0/</t>
  </si>
  <si>
    <t>Belloni</t>
  </si>
  <si>
    <t>0307100996</t>
  </si>
  <si>
    <t>dr.marcobelloni@gmail.com</t>
  </si>
  <si>
    <t>3337593735</t>
  </si>
  <si>
    <t>BLTDNP74A10B157G</t>
  </si>
  <si>
    <t>Beltrami</t>
  </si>
  <si>
    <t>Damiano Pierfausto</t>
  </si>
  <si>
    <t>Avv.</t>
  </si>
  <si>
    <t>avvocato</t>
  </si>
  <si>
    <t>beltrami.cv@gmail.com</t>
  </si>
  <si>
    <t>3389000532</t>
  </si>
  <si>
    <t>https://www.linkedin.com/in/damiano-beltrami-a2994362/</t>
  </si>
  <si>
    <t>BLTFNC89T04B157W</t>
  </si>
  <si>
    <t>Francesco</t>
  </si>
  <si>
    <t>Laurea magistrale in Moneta, finanza e risk management - novembre 2015</t>
  </si>
  <si>
    <t>Sviluppo mercato imprese DT Lombardia Est - Triveneto</t>
  </si>
  <si>
    <t>BPER Banca</t>
  </si>
  <si>
    <t>Cellatica</t>
  </si>
  <si>
    <t>fb.francescobeltrami@gmail.com</t>
  </si>
  <si>
    <t>393333478874</t>
  </si>
  <si>
    <t>https://www.linkedin.com/in/francesco-beltrami-3047a7205/</t>
  </si>
  <si>
    <t>8 Aprile 2022 13:03</t>
  </si>
  <si>
    <t>BNTRSL70E44B157Z</t>
  </si>
  <si>
    <t>Benatti</t>
  </si>
  <si>
    <t>Rossella</t>
  </si>
  <si>
    <t>DIPENDENTE</t>
  </si>
  <si>
    <t>UNIVERSITà DEGLI STUDI DI BRESCIA</t>
  </si>
  <si>
    <t>rossella.benatti@unibs.it</t>
  </si>
  <si>
    <t>393357168707</t>
  </si>
  <si>
    <t>linkedin.com/in/rossella-benatti-58965445</t>
  </si>
  <si>
    <t>Dottorato DI RICERCA</t>
  </si>
  <si>
    <t>BRSNDR89T23B393L</t>
  </si>
  <si>
    <t>Bersini</t>
  </si>
  <si>
    <t>Productiont Plant Occupational Safety and Health Manager</t>
  </si>
  <si>
    <t>Abert Spa</t>
  </si>
  <si>
    <t>Bergamo BG</t>
  </si>
  <si>
    <t>andrea.bersini@gmail.com</t>
  </si>
  <si>
    <t>3487293416</t>
  </si>
  <si>
    <t>https://www.linkedin.com/in/andreabersini/</t>
  </si>
  <si>
    <t>BRTGRG66C15H717D</t>
  </si>
  <si>
    <t>Bertanza</t>
  </si>
  <si>
    <t>Giorgio</t>
  </si>
  <si>
    <t>giorgio.bertanza@unibs.it</t>
  </si>
  <si>
    <t>393335433789</t>
  </si>
  <si>
    <t>https://www.linkedin.com/in/giorgio-bertanza-333327112</t>
  </si>
  <si>
    <t>Laurea V.O. Ingegneria meccanica 1990, Dottorato Ingegneria sanitaria 1996</t>
  </si>
  <si>
    <t>BRTSLV96P22D284G</t>
  </si>
  <si>
    <t>Bertelli</t>
  </si>
  <si>
    <t>Silvio</t>
  </si>
  <si>
    <t>Tecnico</t>
  </si>
  <si>
    <t>AFLUTEC S.R.L.</t>
  </si>
  <si>
    <t>Salò</t>
  </si>
  <si>
    <t>s.bertelli005@studenti.unibs.it</t>
  </si>
  <si>
    <t>3351416465</t>
  </si>
  <si>
    <t>https://www.linkedin.com/in/silvio-bertelli-6492131ba/</t>
  </si>
  <si>
    <t>BRTLSS65R09H717H</t>
  </si>
  <si>
    <t>Ulisse</t>
  </si>
  <si>
    <t>Fondarìtore e socio</t>
  </si>
  <si>
    <t>RDB Software&amp;Open Systems</t>
  </si>
  <si>
    <t>ulisse.bertelli@gmail.com</t>
  </si>
  <si>
    <t>3488745544</t>
  </si>
  <si>
    <t>BRTMTT96R31E884Y</t>
  </si>
  <si>
    <t>Bertocchi</t>
  </si>
  <si>
    <t>Istituto Ospedaliero Multispecialistico Fondazione Poliambulanza</t>
  </si>
  <si>
    <t>matb96@icloud.com</t>
  </si>
  <si>
    <t>393312483412</t>
  </si>
  <si>
    <t>https://www.linkedin.com/in/matteo-bertocchi-669878105/</t>
  </si>
  <si>
    <t>Laurea in Medicina e Chirurgia</t>
  </si>
  <si>
    <t>BRTLCU72H01B157W</t>
  </si>
  <si>
    <t>Bertoglio</t>
  </si>
  <si>
    <t>Luca</t>
  </si>
  <si>
    <t>Global Chief Information Security Officer</t>
  </si>
  <si>
    <t>Marelli</t>
  </si>
  <si>
    <t>luca.bertoglio@gmail.com</t>
  </si>
  <si>
    <t>3355300693</t>
  </si>
  <si>
    <t>https://www.linkedin.com/in/lucabertoglio/</t>
  </si>
  <si>
    <t>BRTFRC90M50B157K</t>
  </si>
  <si>
    <t>Bertoldi</t>
  </si>
  <si>
    <t>Consulente Analista e Progettista</t>
  </si>
  <si>
    <t>Area12 Consulting</t>
  </si>
  <si>
    <t>fede.bertoldi1990@gmail.com</t>
  </si>
  <si>
    <t>393356746708</t>
  </si>
  <si>
    <t>http://linkedin.com/in/federica-bertoldi</t>
  </si>
  <si>
    <t>Laura magistrale in Giurisprudenza</t>
  </si>
  <si>
    <t>BRTRKE89D52B157S</t>
  </si>
  <si>
    <t>Bertoletti</t>
  </si>
  <si>
    <t>Erika</t>
  </si>
  <si>
    <t>Laurea Magistrale in Medicina e Chirurgia (21/03/2016)</t>
  </si>
  <si>
    <t>erika.bertoletti89@gmail.com</t>
  </si>
  <si>
    <t>393482443868</t>
  </si>
  <si>
    <t>https://www.linkedin.com/in/erika-bertoletti-851958139/</t>
  </si>
  <si>
    <t>8 Aprile 2022 19:32</t>
  </si>
  <si>
    <t>BRTLSN90S03C794O</t>
  </si>
  <si>
    <t>Bertolini</t>
  </si>
  <si>
    <t>Laurea Magistrale in Ingegneria Elettronica</t>
  </si>
  <si>
    <t>Senior Analog IC Design Engineer</t>
  </si>
  <si>
    <t>STMicroelectronics</t>
  </si>
  <si>
    <t>Vermiglio</t>
  </si>
  <si>
    <t>bertolinialessandro90@gmail.com</t>
  </si>
  <si>
    <t>393400996393</t>
  </si>
  <si>
    <t>https://www.linkedin.com/in/alessandro-bertolini/</t>
  </si>
  <si>
    <t>10 Aprile 2022 17:54</t>
  </si>
  <si>
    <t>BRTMHL95S22B157J</t>
  </si>
  <si>
    <t>Bertoni</t>
  </si>
  <si>
    <t>Michele</t>
  </si>
  <si>
    <t>praticante presso uno studio di Dottori commercialisti</t>
  </si>
  <si>
    <t>Dottor Luigi Ragazzoni</t>
  </si>
  <si>
    <t>Nave</t>
  </si>
  <si>
    <t>michelebertoni1995@gmail.com</t>
  </si>
  <si>
    <t>393920272551</t>
  </si>
  <si>
    <t>laurea magistrale Economia corso CALP - Consulenza aziendale Libera professione</t>
  </si>
  <si>
    <t>BRTPRZ89R11C800I</t>
  </si>
  <si>
    <t>Patrizio Giuliano</t>
  </si>
  <si>
    <t>Laurea Magistrale in Ingegneria Informatica</t>
  </si>
  <si>
    <t>Head of Software Development</t>
  </si>
  <si>
    <t>Xnext SpA</t>
  </si>
  <si>
    <t>Concorezzo (MB)</t>
  </si>
  <si>
    <t>patrizio.bertoni.89@gmail.com</t>
  </si>
  <si>
    <t>393203182082</t>
  </si>
  <si>
    <t>https://www.linkedin.com/in/pbertoni89/</t>
  </si>
  <si>
    <t>8 Aprile 2022 14:39</t>
  </si>
  <si>
    <t>BSSDCC96M10D612H</t>
  </si>
  <si>
    <t>BESSI PICCOLOMINI</t>
  </si>
  <si>
    <t>DUCCIO</t>
  </si>
  <si>
    <t>LAUREA IN GIURISPRUDENZA</t>
  </si>
  <si>
    <t>praticante notaio</t>
  </si>
  <si>
    <t>-</t>
  </si>
  <si>
    <t>BRESCIA (BS)</t>
  </si>
  <si>
    <t>ducciobessipiccolomini@gmail.com</t>
  </si>
  <si>
    <t>393318415249</t>
  </si>
  <si>
    <t>12 Giugno 2022 23:31</t>
  </si>
  <si>
    <t>LAUREA MAGISTRALE A CICLO UNICO IN GIURISPRUDENZA</t>
  </si>
  <si>
    <t>BTTCLD90C64E704J</t>
  </si>
  <si>
    <t>Bettoni</t>
  </si>
  <si>
    <t>Claudia</t>
  </si>
  <si>
    <t>IBM Account Manager - Intesa Sanpaolo</t>
  </si>
  <si>
    <t>Intesa Sanpaolo</t>
  </si>
  <si>
    <t>3482704822</t>
  </si>
  <si>
    <t>claudiabettoni1990@gmail.com</t>
  </si>
  <si>
    <t>https://www.linkedin.com/in/claudia-bettoni-83a08362/</t>
  </si>
  <si>
    <t>BTTGLL81C21L388W</t>
  </si>
  <si>
    <t xml:space="preserve">Bettoni </t>
  </si>
  <si>
    <t>Guglielmo</t>
  </si>
  <si>
    <t>consulente finanziario</t>
  </si>
  <si>
    <t>Fineco spa</t>
  </si>
  <si>
    <t>guglielmo.bettoni@gmail.com</t>
  </si>
  <si>
    <t>393460908946</t>
  </si>
  <si>
    <t>https://www.linkedin.com/in/guglielmo-bettoni-342b00186</t>
  </si>
  <si>
    <t>Laurea magistrale in Moneta Finanza e Risk Management 26/03/2019</t>
  </si>
  <si>
    <t>BNCLNR95M61B157J</t>
  </si>
  <si>
    <t>Bianchi</t>
  </si>
  <si>
    <t>Eleonora</t>
  </si>
  <si>
    <t>Founder &amp; CEO</t>
  </si>
  <si>
    <t>Terre d'Aenòr</t>
  </si>
  <si>
    <t>0306813305</t>
  </si>
  <si>
    <t>eleonora.bianchi@hotmail.it</t>
  </si>
  <si>
    <t>3490530613</t>
  </si>
  <si>
    <t>https://www.linkedin.com/in/eleonora-bianchi-3Brescia BSa1b18155/</t>
  </si>
  <si>
    <t>BRIRCR98D21B393H</t>
  </si>
  <si>
    <t>BIER</t>
  </si>
  <si>
    <t>RICCARDO</t>
  </si>
  <si>
    <t xml:space="preserve">MSc in Accounting, Financial Management and Control </t>
  </si>
  <si>
    <t>Bocconi University</t>
  </si>
  <si>
    <t>riccardo.bier@gmail.com</t>
  </si>
  <si>
    <t>3348915383</t>
  </si>
  <si>
    <t>https://www.linkedin.com/in/riccardobier/</t>
  </si>
  <si>
    <t>BGNPRI73T66B157F</t>
  </si>
  <si>
    <t>Bignetti</t>
  </si>
  <si>
    <t>Piera</t>
  </si>
  <si>
    <t>San Francisco CA</t>
  </si>
  <si>
    <t>bignetti@hotmail.com</t>
  </si>
  <si>
    <t>+1 415 794 8658</t>
  </si>
  <si>
    <t>https://www.linkedin.com/in/piera-bignetti-30681b5/</t>
  </si>
  <si>
    <t>BNDGZN62R23C591Q</t>
  </si>
  <si>
    <t>Biondi</t>
  </si>
  <si>
    <t>Graziano</t>
  </si>
  <si>
    <t>Consigliere Amministrazione</t>
  </si>
  <si>
    <t>Sintex s.r.l.</t>
  </si>
  <si>
    <t>graziano.biondi@farco.it</t>
  </si>
  <si>
    <t>3355289528</t>
  </si>
  <si>
    <t>https://www.linkedin.com/in/grazianobiondi/</t>
  </si>
  <si>
    <t>BROGLC72L17D150M</t>
  </si>
  <si>
    <t>Boari</t>
  </si>
  <si>
    <t>Gianluca Edoardo Mario</t>
  </si>
  <si>
    <t>ASST Spedali Civili di Brescia</t>
  </si>
  <si>
    <t>Cremona</t>
  </si>
  <si>
    <t>gianluca@boari.net</t>
  </si>
  <si>
    <t>3 Settembre 2022 14:52</t>
  </si>
  <si>
    <t>Laurea in Medicina e Chirurgia, Specializzazione in Medicina interna, laureato il 12/10/2000 e specializzato il 21/11/2005</t>
  </si>
  <si>
    <t>BLPMRZ88E55B157G</t>
  </si>
  <si>
    <t>Bolpagni</t>
  </si>
  <si>
    <t>Marzia</t>
  </si>
  <si>
    <t>Head of BIM International - Associate Director</t>
  </si>
  <si>
    <t>Mace</t>
  </si>
  <si>
    <t>https://www.linkedin.com/in/marzia-bolpagni/</t>
  </si>
  <si>
    <t>BNDLSN96R01B157K</t>
  </si>
  <si>
    <t>Bonadei</t>
  </si>
  <si>
    <t>Full-Stack Engineer</t>
  </si>
  <si>
    <t>MIa-Care</t>
  </si>
  <si>
    <t>alessandro.bonadei96@gmail.com</t>
  </si>
  <si>
    <t>393401043535</t>
  </si>
  <si>
    <t>https://www.linkedin.com/in/alessandro-bonadei/</t>
  </si>
  <si>
    <t>Laurea Magistrale in Ingegneria Informatica, 23/03/2022</t>
  </si>
  <si>
    <t>BNSDVD72E17H598F</t>
  </si>
  <si>
    <t>Bonassi</t>
  </si>
  <si>
    <t>Direttore</t>
  </si>
  <si>
    <t>CSC Centro Servizi Impresa srl</t>
  </si>
  <si>
    <t>Rovato BS</t>
  </si>
  <si>
    <t>davide.bonassi@pmiconsulting.it</t>
  </si>
  <si>
    <t>393356379385</t>
  </si>
  <si>
    <t>linkedin.com/in/davidebonassi</t>
  </si>
  <si>
    <t>Laurea Economia e Commercio, 1996</t>
  </si>
  <si>
    <t>BNRFNC66B04B157X</t>
  </si>
  <si>
    <t>Bonera</t>
  </si>
  <si>
    <t>francesco.bonera@bonera.it</t>
  </si>
  <si>
    <t>3357771864</t>
  </si>
  <si>
    <t>BNFMNC70B56B157Q</t>
  </si>
  <si>
    <t>Bonfardini</t>
  </si>
  <si>
    <t>Monica</t>
  </si>
  <si>
    <t>Dirigente Settore Didattica, Ricerca e Impegno nel Territorio</t>
  </si>
  <si>
    <t>0302988913</t>
  </si>
  <si>
    <t>monica.bonfardini@unibs.it</t>
  </si>
  <si>
    <t>3282655233</t>
  </si>
  <si>
    <t>https://www.linkedin.com/in/monica-bonfardini-9a307b86/</t>
  </si>
  <si>
    <t>BNNSNN79L66D150O</t>
  </si>
  <si>
    <t>Bonini</t>
  </si>
  <si>
    <t>Sara Anna</t>
  </si>
  <si>
    <t>Dipartimento di Medicina Molecolare e Traslazionale</t>
  </si>
  <si>
    <t>sara.bonini@unibs.it</t>
  </si>
  <si>
    <t>3283149373</t>
  </si>
  <si>
    <t>BNZNCL89L26D940N</t>
  </si>
  <si>
    <t>Bonizzardi</t>
  </si>
  <si>
    <t>IT Manager</t>
  </si>
  <si>
    <t>PIRAMIS SRL</t>
  </si>
  <si>
    <t>Prevalle</t>
  </si>
  <si>
    <t>nicola.bonizzardi@gmail.com</t>
  </si>
  <si>
    <t>393386956659</t>
  </si>
  <si>
    <t>Laurea triennale in Ingegneria Informatica conseguita il 24/10/2018</t>
  </si>
  <si>
    <t>BNMFRC92T28B157X</t>
  </si>
  <si>
    <t>Bonometti</t>
  </si>
  <si>
    <t>Laurea Magistrale in Management - International Business, 2017</t>
  </si>
  <si>
    <t>Parts Category Manager Australia &amp; New Zealand</t>
  </si>
  <si>
    <t>AGCO Corporation</t>
  </si>
  <si>
    <t>Melbourne</t>
  </si>
  <si>
    <t>Australia</t>
  </si>
  <si>
    <t>icobonometti@yahoo.com</t>
  </si>
  <si>
    <t>61452268695</t>
  </si>
  <si>
    <t>www.linkedin.com/in/federicobonometti</t>
  </si>
  <si>
    <t>8 Aprile 2022 12:47</t>
  </si>
  <si>
    <t>BNMGMN69E28D940V</t>
  </si>
  <si>
    <t>Bonomi</t>
  </si>
  <si>
    <t>Germano</t>
  </si>
  <si>
    <t>germano.bonomi@unibs.it</t>
  </si>
  <si>
    <t>3208597016</t>
  </si>
  <si>
    <t>https://www.linkedin.com/in/germano-bonomi-910b2711a/</t>
  </si>
  <si>
    <t>Onorario</t>
  </si>
  <si>
    <t>BNMSFN89S04C618F</t>
  </si>
  <si>
    <t>Senior Auditor</t>
  </si>
  <si>
    <t>Deloitte Italia</t>
  </si>
  <si>
    <t>stefanobonomi.89@gmail.com</t>
  </si>
  <si>
    <t>3311536459</t>
  </si>
  <si>
    <t>https://www.linkedin.com/in/stefano-bonomi-92409378/</t>
  </si>
  <si>
    <t>BNSMRC63C01F205P</t>
  </si>
  <si>
    <t>Bonsi</t>
  </si>
  <si>
    <t>marco.tre.tredici@gmail.com</t>
  </si>
  <si>
    <t>3357895116</t>
  </si>
  <si>
    <t>BNTLZE71M70Z110G</t>
  </si>
  <si>
    <t>Bontempi</t>
  </si>
  <si>
    <t>Elza Laura</t>
  </si>
  <si>
    <t>0303715573</t>
  </si>
  <si>
    <t>elza.bontempi@unibs.it</t>
  </si>
  <si>
    <t>3474591122</t>
  </si>
  <si>
    <t>https://www.linkedin.com/in/elza-bontempi-869b53b1/</t>
  </si>
  <si>
    <t>Bnzlll86r58b149p</t>
  </si>
  <si>
    <t>Bonzi</t>
  </si>
  <si>
    <t>Luisella</t>
  </si>
  <si>
    <t>luisella.bonzi@hotmail.com</t>
  </si>
  <si>
    <t>393484686374</t>
  </si>
  <si>
    <t>Laurea</t>
  </si>
  <si>
    <t>BSTLSU78C65B157R</t>
  </si>
  <si>
    <t>Bosetti</t>
  </si>
  <si>
    <t>Luisa</t>
  </si>
  <si>
    <t>assistant professor</t>
  </si>
  <si>
    <t>0302988615</t>
  </si>
  <si>
    <t>luisa.bosetti@unibs.it</t>
  </si>
  <si>
    <t>3477900750</t>
  </si>
  <si>
    <t>https://www.linkedin.com/in/luisa-bosetti-8082b4a5/</t>
  </si>
  <si>
    <t>BSSMRC91T26B157Y</t>
  </si>
  <si>
    <t>Bossini</t>
  </si>
  <si>
    <t xml:space="preserve">Tax Manager </t>
  </si>
  <si>
    <t>PwC Italy</t>
  </si>
  <si>
    <t>m.bossini91@gmail.com</t>
  </si>
  <si>
    <t>3206321696</t>
  </si>
  <si>
    <t>https://www.linkedin.com/in/marco-bossini-04bb9b121/</t>
  </si>
  <si>
    <t>BTTMHL98C12E884X</t>
  </si>
  <si>
    <t>Botta</t>
  </si>
  <si>
    <t>Mechanical &amp; Materials Engineer| studente al 2°anno del corso magistrale in Ingegneria per l'innovazione dei materiali e del prodotto</t>
  </si>
  <si>
    <t>Manerbio BS</t>
  </si>
  <si>
    <t>m.botta003@studenti.unibs.it</t>
  </si>
  <si>
    <t>3207954045</t>
  </si>
  <si>
    <t>https://www.linkedin.com/in/michele-botta-939533227/</t>
  </si>
  <si>
    <t>BTTPLA97T22B157U</t>
  </si>
  <si>
    <t>Botticini</t>
  </si>
  <si>
    <t>Studente</t>
  </si>
  <si>
    <t>p.botticini@studenti.unibs.it</t>
  </si>
  <si>
    <t>393421489999</t>
  </si>
  <si>
    <t>Prossimo al conseguimento della laurea magistrale in Ingegneria Meccanica</t>
  </si>
  <si>
    <t>BRCJDN97D11B157G</t>
  </si>
  <si>
    <t>Bracchi</t>
  </si>
  <si>
    <t>Jordan</t>
  </si>
  <si>
    <t>Studente di Ingeneria Meccanica</t>
  </si>
  <si>
    <t>italiana</t>
  </si>
  <si>
    <t>j.bracchi@studenti.unibs.it</t>
  </si>
  <si>
    <t>3884890778</t>
  </si>
  <si>
    <t>BRDMRT94T52A246G</t>
  </si>
  <si>
    <t>Breda</t>
  </si>
  <si>
    <t>Marta</t>
  </si>
  <si>
    <t>marta.blodwyn.breda@gmail.com</t>
  </si>
  <si>
    <t>3468711928</t>
  </si>
  <si>
    <t>BRDSFN91T30E884S</t>
  </si>
  <si>
    <t>breda.stefano1991@libero.it</t>
  </si>
  <si>
    <t>3348006955</t>
  </si>
  <si>
    <t>BRSLNZ87R24B157X</t>
  </si>
  <si>
    <t>Bresciani</t>
  </si>
  <si>
    <t>Spedali Civili Brescia</t>
  </si>
  <si>
    <t>Brscia</t>
  </si>
  <si>
    <t>lorenzobresciani87@gmail.com</t>
  </si>
  <si>
    <t>BRSMRT88M45A470R</t>
  </si>
  <si>
    <t>Legal Counsel IP &amp; Marketing</t>
  </si>
  <si>
    <t>New Guards Group Holding S.p.A.</t>
  </si>
  <si>
    <t>martabre@gmail.com</t>
  </si>
  <si>
    <t>393487108814</t>
  </si>
  <si>
    <t>https://www.linkedin.com/in/marta-bresciani-148b4058/</t>
  </si>
  <si>
    <t>11 Aprile 2022 17:39</t>
  </si>
  <si>
    <t>Master of Laws (LLM) in Intellectual Property presso WIPO/Università degli Studi di Torino</t>
  </si>
  <si>
    <t>BRSMHL90P06B157B</t>
  </si>
  <si>
    <t>Consulente Business PMI</t>
  </si>
  <si>
    <t>+393297030896</t>
  </si>
  <si>
    <t>michelebresciani90@gmail.com</t>
  </si>
  <si>
    <t>https://www.linkedin.com/in/michele-bresciani-61277771/</t>
  </si>
  <si>
    <t>Collaboratore</t>
  </si>
  <si>
    <t>Studio Nassini</t>
  </si>
  <si>
    <t>stefanobresciani1@gmail.com</t>
  </si>
  <si>
    <t>Laurea magistrale in Economia</t>
  </si>
  <si>
    <t>BRGMRC82A06B157K</t>
  </si>
  <si>
    <t>Brognoli</t>
  </si>
  <si>
    <t>Coordinatore Infermieristico</t>
  </si>
  <si>
    <t>ASST Spedali Civili - Terapia intensiva e Semintensiva Covid</t>
  </si>
  <si>
    <t>brognoli.marco@gmail.com</t>
  </si>
  <si>
    <t>3398487744</t>
  </si>
  <si>
    <t>https://www.linkedin.com/in/marco-brognoli-7179575b/</t>
  </si>
  <si>
    <t>BFFMTT90R11B157M</t>
  </si>
  <si>
    <t>Buffoli</t>
  </si>
  <si>
    <t>Mattia</t>
  </si>
  <si>
    <t>Industrial Masterplan Manager</t>
  </si>
  <si>
    <t>Stellantis</t>
  </si>
  <si>
    <t>Torino</t>
  </si>
  <si>
    <t>mattia.buffoli@gmail.com</t>
  </si>
  <si>
    <t>linkedin.com/in/mbuffoli</t>
  </si>
  <si>
    <t>14 Aprile 2022 16:49</t>
  </si>
  <si>
    <t>Laurea Magistrale in Ingegneria Gestionale - Marzo 2015</t>
  </si>
  <si>
    <t>BLLMTT90C13B157N</t>
  </si>
  <si>
    <t>Bulla</t>
  </si>
  <si>
    <t>Operations and R&amp;D Manager</t>
  </si>
  <si>
    <t>Ghidini &amp; Lucitalia Lighting</t>
  </si>
  <si>
    <t>3202529045</t>
  </si>
  <si>
    <t>matteobulla1990@gmail.com</t>
  </si>
  <si>
    <t>https://www.linkedin.com/in/matteo-bulla-5b526071/</t>
  </si>
  <si>
    <t>BZUSFN92P18B157Y</t>
  </si>
  <si>
    <t>Buzi</t>
  </si>
  <si>
    <t>Abilitato all'esercizio della professione forense</t>
  </si>
  <si>
    <t>Autonomo</t>
  </si>
  <si>
    <t>stefano.buzi@gmail.com</t>
  </si>
  <si>
    <t>3935739603</t>
  </si>
  <si>
    <t>https://www.linkedin.com/in/stefano-buzi-958029197/</t>
  </si>
  <si>
    <t>CDATLI63L26B711U</t>
  </si>
  <si>
    <t>Cadei</t>
  </si>
  <si>
    <t>Italo</t>
  </si>
  <si>
    <t>Senior Manager Financial Reporting</t>
  </si>
  <si>
    <t>Comap Italia Spa</t>
  </si>
  <si>
    <t>cadeitalo@gmail.com</t>
  </si>
  <si>
    <t>3346744288</t>
  </si>
  <si>
    <t>https://www.linkedin.com/in/italo-cadei-a3b67b3/</t>
  </si>
  <si>
    <t>CGNSFN93P25H509C</t>
  </si>
  <si>
    <t>Cagnana</t>
  </si>
  <si>
    <t>Application Engineer</t>
  </si>
  <si>
    <t>cagnana.stefano@gmail.com</t>
  </si>
  <si>
    <t>3394773572</t>
  </si>
  <si>
    <t>https://www.linkedin.com/in/stefano-cagnana-372487159/</t>
  </si>
  <si>
    <t>CRNNCL97R46E884K</t>
  </si>
  <si>
    <t>Cairone</t>
  </si>
  <si>
    <t>Nicole</t>
  </si>
  <si>
    <t>Dottoressa Magistrale in Giurisprudenza</t>
  </si>
  <si>
    <t>Verolanuova - 25028 (BS)</t>
  </si>
  <si>
    <t>ncairone97@gmail.com</t>
  </si>
  <si>
    <t>393495145118</t>
  </si>
  <si>
    <t>https://www.linkedin.com/in/nicole-cairone-935896247</t>
  </si>
  <si>
    <t>8 Agosto 2022 15:20</t>
  </si>
  <si>
    <t>Laurea Magistrale a ciclo unico in Giurisprudenza conseguita in data 26 aprile 2022</t>
  </si>
  <si>
    <t>CLNLRA76L54D284R</t>
  </si>
  <si>
    <t>Calandra</t>
  </si>
  <si>
    <t>0309914601</t>
  </si>
  <si>
    <t>calandra76@inwind.it</t>
  </si>
  <si>
    <t>3332533596</t>
  </si>
  <si>
    <t>CLZSFN70P28A794D</t>
  </si>
  <si>
    <t>Calza</t>
  </si>
  <si>
    <t>Full Professor in Biostatistics</t>
  </si>
  <si>
    <t>+39030377713</t>
  </si>
  <si>
    <t>stefano.calza@unibs.it</t>
  </si>
  <si>
    <t>3387539448</t>
  </si>
  <si>
    <t>https://www.linkedin.com/in/stefano-calza-185b4121/</t>
  </si>
  <si>
    <t>CMNLSN89M11B157N</t>
  </si>
  <si>
    <t>Camnasio</t>
  </si>
  <si>
    <t>Legale d'azienda</t>
  </si>
  <si>
    <t>Duferco Italia Holding SpA</t>
  </si>
  <si>
    <t>camnasio.ale@gmail.com</t>
  </si>
  <si>
    <t>393427573230</t>
  </si>
  <si>
    <t>https://www.linkedin.com/in/alessandro-camnasio/</t>
  </si>
  <si>
    <t>15 Aprile 2022 9:51</t>
  </si>
  <si>
    <t>Laurea magistrale in giurisprudenza</t>
  </si>
  <si>
    <t>CMPMTT97B04B157V</t>
  </si>
  <si>
    <t>Camparada</t>
  </si>
  <si>
    <t>Laurea Magistrale in Ingegneria Gestionale, 14/02/2022</t>
  </si>
  <si>
    <t>Assegnista di ricerca</t>
  </si>
  <si>
    <t>Collebeato</t>
  </si>
  <si>
    <t>camparadamatteo@gmail.com</t>
  </si>
  <si>
    <t>393477378281</t>
  </si>
  <si>
    <t>https://www.linkedin.com/in/matteo-camparada-56a633154</t>
  </si>
  <si>
    <t>8 Aprile 2022 11:17</t>
  </si>
  <si>
    <t>CMPFRC93P51B157M</t>
  </si>
  <si>
    <t>Campolo</t>
  </si>
  <si>
    <t>Dottoranda di ricerca in Business and Law</t>
  </si>
  <si>
    <t>federicacampolo@icloud.com</t>
  </si>
  <si>
    <t>393334105607</t>
  </si>
  <si>
    <t>https://www.linkedin.com/in/federica-campolo-8470941b2?lipi=urnlipaged_flagship3_profile_view_base_contact_detailsb8vJEVQBSBCkmldc83v7Kw</t>
  </si>
  <si>
    <t>Laurea magistrale in Giurisprudenza conseguita in data 17-04-2018 - Dottorato di ricerca in Business and Law in corso</t>
  </si>
  <si>
    <t>CPTMRC74D26B157U</t>
  </si>
  <si>
    <t>Capitanio</t>
  </si>
  <si>
    <t>Managing director</t>
  </si>
  <si>
    <t>Automazioni Industriali Capitanio</t>
  </si>
  <si>
    <t>0365 826333</t>
  </si>
  <si>
    <t>marco.capitanio@aicnet.it</t>
  </si>
  <si>
    <t>335 6846043</t>
  </si>
  <si>
    <t>https://www.linkedin.com/in/marco-capitanio-2626aa9/Capitanio Marco</t>
  </si>
  <si>
    <t>CPRMHL83T15B157L</t>
  </si>
  <si>
    <t>Capra</t>
  </si>
  <si>
    <t>Director of Engineering</t>
  </si>
  <si>
    <t>Portchain</t>
  </si>
  <si>
    <t>michelecapra83@gmail.com</t>
  </si>
  <si>
    <t>3496383909</t>
  </si>
  <si>
    <t>https://www.linkedin.com/in/michelecapra/</t>
  </si>
  <si>
    <t>CRBMNR94E45L419I</t>
  </si>
  <si>
    <t>Carbone</t>
  </si>
  <si>
    <t>Marina Rita</t>
  </si>
  <si>
    <t>Laurea Magistrale in Giurisprudenza conseguita il 12/12/2017</t>
  </si>
  <si>
    <t>Avvocato</t>
  </si>
  <si>
    <t>M&amp;D Advance STA Srl</t>
  </si>
  <si>
    <t>marina.r.carbone@gmail.com</t>
  </si>
  <si>
    <t>https://it.linkedin.com/in/marina-carbone</t>
  </si>
  <si>
    <t>8 Aprile 2022 11:02</t>
  </si>
  <si>
    <t>CRNRNI95S42Z140I</t>
  </si>
  <si>
    <t>Carnat</t>
  </si>
  <si>
    <t>Irina</t>
  </si>
  <si>
    <t>National Ph.D. Candidate in Artificial Intelligence</t>
  </si>
  <si>
    <t>Scuola Superiore Sant'Anna</t>
  </si>
  <si>
    <t>Rumena</t>
  </si>
  <si>
    <t>irinacnt@gmail.com</t>
  </si>
  <si>
    <t>3280615723</t>
  </si>
  <si>
    <t>https://www.linkedin.com/in/irina-carnat/</t>
  </si>
  <si>
    <t>CRNFNC79H30L388F</t>
  </si>
  <si>
    <t>Carnevale</t>
  </si>
  <si>
    <t>Civil Engineering | Geotechnics | Specialized consultant | Project Management |Design Challenge | PhD</t>
  </si>
  <si>
    <t>CESI SpA</t>
  </si>
  <si>
    <t>ing.carnevale.francesco@gmail.com</t>
  </si>
  <si>
    <t>3408237921</t>
  </si>
  <si>
    <t>https://www.linkedin.com/in/francesco-carnevale-ph-d-1975a926/</t>
  </si>
  <si>
    <t>CRLMRC88D29B157Y</t>
  </si>
  <si>
    <t>Carolli</t>
  </si>
  <si>
    <t>Amministratore delegato</t>
  </si>
  <si>
    <t>TECNOLOGIE AMBIENTALI S.R.L.</t>
  </si>
  <si>
    <t>marco.carolli@yahoo.it</t>
  </si>
  <si>
    <t>393407449134</t>
  </si>
  <si>
    <t>https://www.linkedin.com/in/marcocarolli/</t>
  </si>
  <si>
    <t>CRRCLD85T06B157L</t>
  </si>
  <si>
    <t>Carriero</t>
  </si>
  <si>
    <t>Claudio</t>
  </si>
  <si>
    <t>Analista ed Advisor</t>
  </si>
  <si>
    <t>CFO SIM S.p.A.</t>
  </si>
  <si>
    <t>carriero.claudio@gmail.com</t>
  </si>
  <si>
    <t>393405577976</t>
  </si>
  <si>
    <t>https://www.linkedin.com/in/claudio-carriero-95b5281ab</t>
  </si>
  <si>
    <t>Laurea specialistica, Moneta finanza e risk management, 27/03/2019</t>
  </si>
  <si>
    <t>CSNPLA93A05A470N</t>
  </si>
  <si>
    <t>Casnici</t>
  </si>
  <si>
    <t>High School Professor</t>
  </si>
  <si>
    <t>I.I.S. Torriani</t>
  </si>
  <si>
    <t>Creona CR</t>
  </si>
  <si>
    <t>paolo.casnici@gmail.com</t>
  </si>
  <si>
    <t>3922230107</t>
  </si>
  <si>
    <t>https://www.linkedin.com/in/paolocasnici/</t>
  </si>
  <si>
    <t>Cassetti</t>
  </si>
  <si>
    <t>Fausto</t>
  </si>
  <si>
    <t>fausto.cassetti@libero.it</t>
  </si>
  <si>
    <t>CSTMRT84E60F471G</t>
  </si>
  <si>
    <t>Castellini</t>
  </si>
  <si>
    <t>Maria</t>
  </si>
  <si>
    <t>Ricercatore post doc / ricercatore</t>
  </si>
  <si>
    <t>Università degli Studi di Brescia / Fondazione Eni Enrico Mattei</t>
  </si>
  <si>
    <t>marta.castellini@unibs.it</t>
  </si>
  <si>
    <t>393334319219</t>
  </si>
  <si>
    <t>https://www.linkedin.com/in/martacastelliniprofile/</t>
  </si>
  <si>
    <t>si chiama marta</t>
  </si>
  <si>
    <t>Dottorato</t>
  </si>
  <si>
    <t>CSTFRC95S18D918Y</t>
  </si>
  <si>
    <t>Castelnovo</t>
  </si>
  <si>
    <t>Junior software developer</t>
  </si>
  <si>
    <t>Dinema S.p.A.</t>
  </si>
  <si>
    <t>castelnovof@gmail.com</t>
  </si>
  <si>
    <t>393927928032</t>
  </si>
  <si>
    <t>https://www.linkedin.com/in/federico-castelnovo-38a4b4190/</t>
  </si>
  <si>
    <t>Laurea Magistrale Ingegneria informatica, laurato il 21-10-2020</t>
  </si>
  <si>
    <t>CVLFBA79R13B157W</t>
  </si>
  <si>
    <t>Cavalli</t>
  </si>
  <si>
    <t>fabio_cavalli@alice.it</t>
  </si>
  <si>
    <t>3899982626</t>
  </si>
  <si>
    <t>CVLFNC62D23B157J</t>
  </si>
  <si>
    <t>Owner</t>
  </si>
  <si>
    <t>IMTT</t>
  </si>
  <si>
    <t>imtt@imtt.it</t>
  </si>
  <si>
    <t>3892282554</t>
  </si>
  <si>
    <t>https://www.linkedin.com/in/francesco-cavalli-bb305a7/</t>
  </si>
  <si>
    <t>CVLMRC72D26E526Z</t>
  </si>
  <si>
    <t>Product Manager</t>
  </si>
  <si>
    <t>Google</t>
  </si>
  <si>
    <t>San Francisco</t>
  </si>
  <si>
    <t>mcavalli72@gmail.com</t>
  </si>
  <si>
    <t>14155530526</t>
  </si>
  <si>
    <t>https://www.linkedin.com/in/marcocavalli1</t>
  </si>
  <si>
    <t>Laurea 5 anni Ing. Elettronica, 1998</t>
  </si>
  <si>
    <t>CVLDNL79T41A940E</t>
  </si>
  <si>
    <t>Cavolla</t>
  </si>
  <si>
    <t>Daniela</t>
  </si>
  <si>
    <t>d.cavolla@tiscali.it</t>
  </si>
  <si>
    <t>3484458566</t>
  </si>
  <si>
    <t>Laurea Magistrale in Giurisprudenza</t>
  </si>
  <si>
    <t>CRNNDR98C20D940P</t>
  </si>
  <si>
    <t>CERANI</t>
  </si>
  <si>
    <t>ANDREA</t>
  </si>
  <si>
    <t>0365825244</t>
  </si>
  <si>
    <t>andrea.cerani98@gmail.com</t>
  </si>
  <si>
    <t>3382305276</t>
  </si>
  <si>
    <t>CRLRGR63P06H230X</t>
  </si>
  <si>
    <t>Ceriali</t>
  </si>
  <si>
    <t>Ruggero</t>
  </si>
  <si>
    <t>OMR spa</t>
  </si>
  <si>
    <t>r.ceriali@omrspa.com</t>
  </si>
  <si>
    <t>3356259436</t>
  </si>
  <si>
    <t>https://www.linkedin.com/in/ruggero-ceriali-10708234/</t>
  </si>
  <si>
    <t>CRNDVD98B24B157R</t>
  </si>
  <si>
    <t>Cernetig</t>
  </si>
  <si>
    <t>Progettista dell'automazione</t>
  </si>
  <si>
    <t>Pietro Fiorentini S.p.A.</t>
  </si>
  <si>
    <t>3779823934</t>
  </si>
  <si>
    <t>cernetigdavide@gmail.com</t>
  </si>
  <si>
    <t>https://www.linkedin.com/in/davide-cernetig-3719671b3/</t>
  </si>
  <si>
    <t>CRRSLV91T69B157D</t>
  </si>
  <si>
    <t>Cerri</t>
  </si>
  <si>
    <t>HR</t>
  </si>
  <si>
    <t>silvia.cerri91@gmail.com</t>
  </si>
  <si>
    <t>393386286943</t>
  </si>
  <si>
    <t>Silvia Cerri</t>
  </si>
  <si>
    <t>13 Aprile 2022 14:02</t>
  </si>
  <si>
    <t>Laurea magistrale</t>
  </si>
  <si>
    <t>CRVMTT92D15D918J</t>
  </si>
  <si>
    <t>Cervati</t>
  </si>
  <si>
    <t>Junior Controlle</t>
  </si>
  <si>
    <t>GIMATIC Srl</t>
  </si>
  <si>
    <t>cervati.matteo@gmail.com</t>
  </si>
  <si>
    <t>3345767956</t>
  </si>
  <si>
    <t>https://www.linkedin.com/in/matteo-cervati-86394019b/</t>
  </si>
  <si>
    <t>CSRLNZ88L20B157O</t>
  </si>
  <si>
    <t>Cesaretti</t>
  </si>
  <si>
    <t>Lorenzo Jacopo</t>
  </si>
  <si>
    <t>Specializzando in Ortopedia</t>
  </si>
  <si>
    <t>Università di Roma 2 Tor Vergata</t>
  </si>
  <si>
    <t>ljc88@hotmail.it</t>
  </si>
  <si>
    <t>3201541880</t>
  </si>
  <si>
    <t>https://www.linkedin.com/in/lorenzo-jacopo-cesaretti-111a9a105/</t>
  </si>
  <si>
    <t>CHRTST97E18B157U</t>
  </si>
  <si>
    <t>Cherubini</t>
  </si>
  <si>
    <t>Temistocle</t>
  </si>
  <si>
    <t>Laurea Magistrale Ingegneria meccanica curriculum autoveicoli (anno accademico 2020/2021)</t>
  </si>
  <si>
    <t>tcherubini.3@gmail.com</t>
  </si>
  <si>
    <t>393483677856</t>
  </si>
  <si>
    <t>https://www.linkedin.com/in/temistocle-cherubini/</t>
  </si>
  <si>
    <t>8 Aprile 2022 23:05</t>
  </si>
  <si>
    <t>CHRVNC82C61D284Q</t>
  </si>
  <si>
    <t>Chiarini</t>
  </si>
  <si>
    <t>Veronica</t>
  </si>
  <si>
    <t>Ing</t>
  </si>
  <si>
    <t>Studio Chiarini&amp;Pinelli</t>
  </si>
  <si>
    <t>veronica.chiarini@gmail.com</t>
  </si>
  <si>
    <t>393406828930</t>
  </si>
  <si>
    <t>linkedin.com/in/veronica-chiarini-0b47584a</t>
  </si>
  <si>
    <t>CBLDNL85S46B157S</t>
  </si>
  <si>
    <t>Cibaldi</t>
  </si>
  <si>
    <t>Laurea specialistica</t>
  </si>
  <si>
    <t>BRESCIA</t>
  </si>
  <si>
    <t>tabata85@hotmail.it</t>
  </si>
  <si>
    <t>393394341593</t>
  </si>
  <si>
    <t>8 Aprile 2022 13:29</t>
  </si>
  <si>
    <t>CBNVSL89R25Z140V</t>
  </si>
  <si>
    <t>Ciobanu</t>
  </si>
  <si>
    <t>Vasile</t>
  </si>
  <si>
    <t xml:space="preserve">Senior Internal Auditor, EMEA </t>
  </si>
  <si>
    <t>Whirlpool Corporation</t>
  </si>
  <si>
    <t>Castiglione D.S. BS</t>
  </si>
  <si>
    <t>Moldova</t>
  </si>
  <si>
    <t>vasileciobanu89@gmail.com</t>
  </si>
  <si>
    <t>3480376060</t>
  </si>
  <si>
    <t>https://www.linkedin.com/in/vasileciobanu89</t>
  </si>
  <si>
    <t>CLIFLV90C31D918I</t>
  </si>
  <si>
    <t>Cioli</t>
  </si>
  <si>
    <t>Flavio</t>
  </si>
  <si>
    <t>flatz90s@gmail.com</t>
  </si>
  <si>
    <t>3342261049</t>
  </si>
  <si>
    <t>https://www.linkedin.com/in/flavio-cioli-4a278b215/</t>
  </si>
  <si>
    <t>CCCPLA81S53D940A</t>
  </si>
  <si>
    <t>Cocca</t>
  </si>
  <si>
    <t>paola.cocca@unibs.it</t>
  </si>
  <si>
    <t>390303715524</t>
  </si>
  <si>
    <t>https://www.linkedin.com/in/paola-cocca-a025aa113/</t>
  </si>
  <si>
    <t>Laurea in Ingegneria gestionale (V.O.); Dottorato in Progettazione e gestione dei sistemi logistici e produttivi integrati</t>
  </si>
  <si>
    <t>CCCMHL96T27B157F</t>
  </si>
  <si>
    <t>Cocchetti</t>
  </si>
  <si>
    <t>0307701361</t>
  </si>
  <si>
    <t>m.cocchetti002@studenti.unibs.it</t>
  </si>
  <si>
    <t>3461459363</t>
  </si>
  <si>
    <t>https://www.linkedin.com/in/michele-cocchetti-8bb446222/</t>
  </si>
  <si>
    <t>CGLFPP94R08B157J</t>
  </si>
  <si>
    <t>Cogoli</t>
  </si>
  <si>
    <t>Filippo</t>
  </si>
  <si>
    <t>SALES ENGINEER</t>
  </si>
  <si>
    <t>THETA STUDIO SRL</t>
  </si>
  <si>
    <t>filippo.cogoli@gmail.com</t>
  </si>
  <si>
    <t>393209638641</t>
  </si>
  <si>
    <t>LAUREA II LIVELLO</t>
  </si>
  <si>
    <t>CLTNDR91B27B157B</t>
  </si>
  <si>
    <t>Coletto</t>
  </si>
  <si>
    <t>Laurea magistrale in Ingegneria per l'Ambiente ed il Territorio, 2016</t>
  </si>
  <si>
    <t>R&amp;D Engineer - Head of Calculation Dept</t>
  </si>
  <si>
    <t>A&amp;T Europe</t>
  </si>
  <si>
    <t>andrea.coletto@outlook.com</t>
  </si>
  <si>
    <t>393488712328</t>
  </si>
  <si>
    <t>www.linkedin.com/in/andrea-coletto-938a86120</t>
  </si>
  <si>
    <t>8 Aprile 2022 12:32</t>
  </si>
  <si>
    <t>CLLTMS74S04Z107D</t>
  </si>
  <si>
    <t>Colla</t>
  </si>
  <si>
    <t>Thomas</t>
  </si>
  <si>
    <t>Global GSE director</t>
  </si>
  <si>
    <t>Fomas Group</t>
  </si>
  <si>
    <t>Adro</t>
  </si>
  <si>
    <t>thomasitdk@gmail.com</t>
  </si>
  <si>
    <t>393441081739</t>
  </si>
  <si>
    <t>https://www.linkedin.com/in/thomas-colla-a9885a10/</t>
  </si>
  <si>
    <t>CLMMTT88C12E884B</t>
  </si>
  <si>
    <t>COLOMBO</t>
  </si>
  <si>
    <t>MATTIA</t>
  </si>
  <si>
    <t>Impiegato tecnico senior</t>
  </si>
  <si>
    <t>Forgiatura A. Vienna S.r.l.</t>
  </si>
  <si>
    <t>Leno</t>
  </si>
  <si>
    <t>clm.mtt@gmail.com</t>
  </si>
  <si>
    <t>393333472263</t>
  </si>
  <si>
    <t>www.linkedin.com/in/mattia-colombo-0a503185</t>
  </si>
  <si>
    <t>14 Aprile 2022 14:54</t>
  </si>
  <si>
    <t>Laurea I livello, CdS TPALL, 20/10/2010</t>
  </si>
  <si>
    <t>CLSMNL70R46B157I</t>
  </si>
  <si>
    <t>Colosio</t>
  </si>
  <si>
    <t>Emanuela</t>
  </si>
  <si>
    <t>Amministratore presso Colosio S.r.l. Presidente Apid - Gruppo Donne Imprenditrici Apindustria Brescia</t>
  </si>
  <si>
    <t>Colosio Srl</t>
  </si>
  <si>
    <t>0302692181</t>
  </si>
  <si>
    <t>e.colosio@colosiopresse.it</t>
  </si>
  <si>
    <t>3355758916</t>
  </si>
  <si>
    <t>https://www.linkedin.com/in/emanuelacolosio/</t>
  </si>
  <si>
    <t>CLPLND96E09D284F</t>
  </si>
  <si>
    <t>Colpani</t>
  </si>
  <si>
    <t>Alexander</t>
  </si>
  <si>
    <t>alex.colpani96@gmail.com</t>
  </si>
  <si>
    <t>393396724418</t>
  </si>
  <si>
    <t>https://www.linkedin.com/in/alexander-colpani-5314981b1/</t>
  </si>
  <si>
    <t>Laurea Magistrale</t>
  </si>
  <si>
    <t>CNSPLA80M28D284C</t>
  </si>
  <si>
    <t>Consolini</t>
  </si>
  <si>
    <t>Senior Wealth Advisor</t>
  </si>
  <si>
    <t>CheBanca! S.p.A - Gruppo Mediobanca</t>
  </si>
  <si>
    <t>paolo.consolini@gmail.com</t>
  </si>
  <si>
    <t>3282827378</t>
  </si>
  <si>
    <t>https://www.linkedin.com/in/paolo-consolini/</t>
  </si>
  <si>
    <t>CNTMRA87L41E704M</t>
  </si>
  <si>
    <t>Contessi</t>
  </si>
  <si>
    <t>Mara</t>
  </si>
  <si>
    <t>Employer Branding Specialist</t>
  </si>
  <si>
    <t>mara.contessi@gmail.com</t>
  </si>
  <si>
    <t>393406785785</t>
  </si>
  <si>
    <t>8 Giugno 2022 17:38</t>
  </si>
  <si>
    <t>Laurea di secondo livello in Azienda, Mercato e Informazione, Marzo 2012</t>
  </si>
  <si>
    <t>CRFNDR85E22B157F</t>
  </si>
  <si>
    <t>Corfani</t>
  </si>
  <si>
    <t>andrea.corfani@gmail.com</t>
  </si>
  <si>
    <t>393395030523</t>
  </si>
  <si>
    <t>12 Aprile 2022 10:18</t>
  </si>
  <si>
    <t>Laurea Specialistica in Direzione Aziendale, Curriculum in General Management, 11-01-2011</t>
  </si>
  <si>
    <t>CRNCST88P67B157V</t>
  </si>
  <si>
    <t>Cornacchiari</t>
  </si>
  <si>
    <t>Celeste</t>
  </si>
  <si>
    <t>HR Manager</t>
  </si>
  <si>
    <t>Bonera Group</t>
  </si>
  <si>
    <t>celeste.cornacchiari@yahoo.it</t>
  </si>
  <si>
    <t>3474551569</t>
  </si>
  <si>
    <t>https://www.linkedin.com/in/celeste-cornacchiari-79a060a2/</t>
  </si>
  <si>
    <t>CRRNDR88H16A470O</t>
  </si>
  <si>
    <t>Correnti</t>
  </si>
  <si>
    <t>Consulente Contabile</t>
  </si>
  <si>
    <t>Calvisano</t>
  </si>
  <si>
    <t>andrecorrenti88@gmail.com</t>
  </si>
  <si>
    <t>393395634595</t>
  </si>
  <si>
    <t>https://www.linkedin.com/in/andrea-correnti-28b677b0/</t>
  </si>
  <si>
    <t>28 Aprile 2022 18:06</t>
  </si>
  <si>
    <t>Laurea Magistrale in Management, 18/12/2015</t>
  </si>
  <si>
    <t>CRSMRC85D03B157N</t>
  </si>
  <si>
    <t>Corsini</t>
  </si>
  <si>
    <t>Direttore tecnico</t>
  </si>
  <si>
    <t>Aerotecnica Coltri SpA</t>
  </si>
  <si>
    <t>corsini.marco@hotmail.it</t>
  </si>
  <si>
    <t>3494482354</t>
  </si>
  <si>
    <t>https://www.linkedin.com/in/marco-corsini-260a5b64/</t>
  </si>
  <si>
    <t>CSTSST77T13B157Z</t>
  </si>
  <si>
    <t>Costa</t>
  </si>
  <si>
    <t>Sebastiano</t>
  </si>
  <si>
    <t>Senior Vice President - Business Development</t>
  </si>
  <si>
    <t>PIMCO</t>
  </si>
  <si>
    <t>costalibero@libero.it</t>
  </si>
  <si>
    <t>3398722641</t>
  </si>
  <si>
    <t>50 + 10</t>
  </si>
  <si>
    <t>https://www.linkedin.com/in/sebastianocosta/</t>
  </si>
  <si>
    <t>secondo versamento in data 15/03/22</t>
  </si>
  <si>
    <t>Laurea di Economia e Commercio V.O. - Indirizzo Aziendale - 2003</t>
  </si>
  <si>
    <t>CSTSLV94A65H223Q</t>
  </si>
  <si>
    <t>Borse di ricerca</t>
  </si>
  <si>
    <t>Dipartimento di Ingegneria Civile, Architettura, Territorio, Ambiente e di Matematica</t>
  </si>
  <si>
    <t>ing.silvia.costa@gmail.com</t>
  </si>
  <si>
    <t>3462288258</t>
  </si>
  <si>
    <t>https://www.linkedin.com/in/-silviacosta-/</t>
  </si>
  <si>
    <t>CTTDNL60L08L741M</t>
  </si>
  <si>
    <t>Cotta</t>
  </si>
  <si>
    <t>Danilo</t>
  </si>
  <si>
    <t>030731602</t>
  </si>
  <si>
    <t>danilo.cotta@blu.it</t>
  </si>
  <si>
    <t>3313617775</t>
  </si>
  <si>
    <t>CRSNDR93S11D918W</t>
  </si>
  <si>
    <t>Crescini</t>
  </si>
  <si>
    <t>andrea.crescini@outlook.com</t>
  </si>
  <si>
    <t>3348575343</t>
  </si>
  <si>
    <t>https://www.linkedin.com/in/cresciniandrea/</t>
  </si>
  <si>
    <t>CRTMRN79E15B157L</t>
  </si>
  <si>
    <t xml:space="preserve">Crotti Partel
</t>
  </si>
  <si>
    <t>Moreno</t>
  </si>
  <si>
    <t xml:space="preserve">Docente a contratto convenzionato </t>
  </si>
  <si>
    <t>Dipartimento di Scienze Cliniche e Sperimentali</t>
  </si>
  <si>
    <t>moreno.crottipartel@unibs.it</t>
  </si>
  <si>
    <t>3477888802</t>
  </si>
  <si>
    <t>https://www.linkedin.com/in/moreno-crotti-partel-985988b7/</t>
  </si>
  <si>
    <t>DGNDRA96H11E884Z</t>
  </si>
  <si>
    <t>Dagani</t>
  </si>
  <si>
    <t>Dario</t>
  </si>
  <si>
    <t>Pralboino</t>
  </si>
  <si>
    <t>dariodagani@gmail.com</t>
  </si>
  <si>
    <t>393272047904</t>
  </si>
  <si>
    <t>https://it.linkedin.com/in/dario-dagani</t>
  </si>
  <si>
    <t>14 Giugno 2022 11:40</t>
  </si>
  <si>
    <t>Laurea magistrale a ciclo unico, LM-41 abilitante, Medicina e Chirurgia, 13/10/2021</t>
  </si>
  <si>
    <t>DLDLDI72B42A470S</t>
  </si>
  <si>
    <t>Daldoss</t>
  </si>
  <si>
    <t>Lidia</t>
  </si>
  <si>
    <t>Senior Director</t>
  </si>
  <si>
    <t>Visa</t>
  </si>
  <si>
    <t>San Mateo CA</t>
  </si>
  <si>
    <t>lidia.daldoss@yahoo.com</t>
  </si>
  <si>
    <t>14087686055</t>
  </si>
  <si>
    <t>https://www.linkedin.com/in/lidia-daldoss-ph-d-1bb5552/</t>
  </si>
  <si>
    <t>Dottorato Ingegneria dell'Informazione, 2001. Laurea Ingegneria Elettronica, 1997</t>
  </si>
  <si>
    <t>DLLLRT96T01L781H</t>
  </si>
  <si>
    <t>Dalle Donne</t>
  </si>
  <si>
    <t>Junior accountant</t>
  </si>
  <si>
    <t>albertodalledonne@yahoo.it</t>
  </si>
  <si>
    <t>3454406188</t>
  </si>
  <si>
    <t>https://www.linkedin.com/in/alberto-dalle-donne-a818a0223/</t>
  </si>
  <si>
    <t>DNSGTN78A12C118P</t>
  </si>
  <si>
    <t>Danasi</t>
  </si>
  <si>
    <t>Gaetano</t>
  </si>
  <si>
    <t>Responsabile tecnico</t>
  </si>
  <si>
    <t>Di Massa Srl</t>
  </si>
  <si>
    <t>Catel Goffredo MN</t>
  </si>
  <si>
    <t>gaetano.danasi@gmail.com</t>
  </si>
  <si>
    <t>3286818507</t>
  </si>
  <si>
    <t>https://www.linkedin.com/in/gaetanodanasi/</t>
  </si>
  <si>
    <t>DCRLRT87M20D142K</t>
  </si>
  <si>
    <t>De Carli</t>
  </si>
  <si>
    <t>Dottor</t>
  </si>
  <si>
    <t>Product Marketing Manager</t>
  </si>
  <si>
    <t>Antares Vision spa</t>
  </si>
  <si>
    <t>Travagliato</t>
  </si>
  <si>
    <t>plasmatek58@gmail.com</t>
  </si>
  <si>
    <t>393491041911</t>
  </si>
  <si>
    <t>www.linkedin.com/in/albertodecarli</t>
  </si>
  <si>
    <t>12 Giugno 2022 17:43</t>
  </si>
  <si>
    <t>Laurea Magistrale in Management, curriculum in marketing, 2013,</t>
  </si>
  <si>
    <t>DDMCLD95S67B157R</t>
  </si>
  <si>
    <t>De Domenico</t>
  </si>
  <si>
    <t>cla.dedomenico@gmail.com</t>
  </si>
  <si>
    <t>393479504364</t>
  </si>
  <si>
    <t>https://www.linkedin.com/in/claudia-de-domenico-4a60991b9/</t>
  </si>
  <si>
    <t>Laurea Magistrale a ciclo unico in Medicina e Chirurgia</t>
  </si>
  <si>
    <t>DDNRME86T17A662W</t>
  </si>
  <si>
    <t>De Donno</t>
  </si>
  <si>
    <t>Remo</t>
  </si>
  <si>
    <t>Innovation Manager</t>
  </si>
  <si>
    <t>Industrie Saleri Italo S.p.A.</t>
  </si>
  <si>
    <t>393383830276</t>
  </si>
  <si>
    <t>www.linkedin.com/in/remo-de-donno-44688991</t>
  </si>
  <si>
    <t>DTVMHL63R03B157C</t>
  </si>
  <si>
    <t>De Tavonatti</t>
  </si>
  <si>
    <t>segreteria@studiodetavonatti.it</t>
  </si>
  <si>
    <t>335264846</t>
  </si>
  <si>
    <t>DLLCHR96L45F471X</t>
  </si>
  <si>
    <t>Dell'Aglio</t>
  </si>
  <si>
    <t>Montichiari</t>
  </si>
  <si>
    <t>chiara.dellaglio96@gmail.com</t>
  </si>
  <si>
    <t>14 Giugno 2022 22:19</t>
  </si>
  <si>
    <t>Laurea magistrale in Moneta, Finanza e Risk Management in data 19/07/2021</t>
  </si>
  <si>
    <t>DLLDRA95L01B157I</t>
  </si>
  <si>
    <t>Dell'Ovo</t>
  </si>
  <si>
    <t>dario.dell.ovo@outlook.it</t>
  </si>
  <si>
    <t>3454539526</t>
  </si>
  <si>
    <t>DPRLSN97S30B157D</t>
  </si>
  <si>
    <t>Deprà</t>
  </si>
  <si>
    <t>a.alessandrodepra@gmail.com</t>
  </si>
  <si>
    <t>393484436903</t>
  </si>
  <si>
    <t>https://www.linkedin.com/in/alessandrodepra</t>
  </si>
  <si>
    <t>9 Giugno 2022 20:41</t>
  </si>
  <si>
    <t>Laurea triennale</t>
  </si>
  <si>
    <t>DSNCST71R54B157L</t>
  </si>
  <si>
    <t>Desenzani</t>
  </si>
  <si>
    <t>Cristina</t>
  </si>
  <si>
    <t>cristina.desenzani@aol.com</t>
  </si>
  <si>
    <t>3356818774</t>
  </si>
  <si>
    <t>DSTFBA79C24B157F</t>
  </si>
  <si>
    <t>Destro</t>
  </si>
  <si>
    <t>Country Interface Advisor - Mexico Branch</t>
  </si>
  <si>
    <t>ISS International - Integrated Service Solutions</t>
  </si>
  <si>
    <t>Città del Messico</t>
  </si>
  <si>
    <t>Messico</t>
  </si>
  <si>
    <t>fabiodx79@protonmail.com</t>
  </si>
  <si>
    <t>3661533283</t>
  </si>
  <si>
    <t>https://www.linkedin.com/in/fabiodestro/</t>
  </si>
  <si>
    <t>DGRNGL88L06B157Z</t>
  </si>
  <si>
    <t>Di Giorgi</t>
  </si>
  <si>
    <t>Angelo</t>
  </si>
  <si>
    <t>Laurea Magistrale in Giurispudenza, 15 Ottobre 2013</t>
  </si>
  <si>
    <t>Programme Officer</t>
  </si>
  <si>
    <t>Delegazione dell'UE in Etiopia</t>
  </si>
  <si>
    <t>Addis Abeba</t>
  </si>
  <si>
    <t>Ethiopia</t>
  </si>
  <si>
    <t>angelo.digiorgi00@gmail.com</t>
  </si>
  <si>
    <t>393388488511</t>
  </si>
  <si>
    <t>https://www.linkedin.com/in/angelodigiorgi/</t>
  </si>
  <si>
    <t>10 Aprile 2022 21:23</t>
  </si>
  <si>
    <t>DGRNDR96C12H769R</t>
  </si>
  <si>
    <t>DI GREGORIO</t>
  </si>
  <si>
    <t>andreadigregorio96@gmail.com</t>
  </si>
  <si>
    <t>3408052115</t>
  </si>
  <si>
    <t>https://www.linkedin.com/in/andrea-di-gregorio-0ba75610a/</t>
  </si>
  <si>
    <t>DMIMTN87R47F839Y</t>
  </si>
  <si>
    <t>Di Maio</t>
  </si>
  <si>
    <t>Martina</t>
  </si>
  <si>
    <t>Collaboratrice</t>
  </si>
  <si>
    <t>Studio Legale</t>
  </si>
  <si>
    <t>di.maio87@gmail.com</t>
  </si>
  <si>
    <t>Laurea in Giurisprudenza</t>
  </si>
  <si>
    <t>DRSGLC90D04B157E</t>
  </si>
  <si>
    <t>Di Rosario</t>
  </si>
  <si>
    <t>Gianluca</t>
  </si>
  <si>
    <t>International affairs and students mobility officer</t>
  </si>
  <si>
    <t>3208654100</t>
  </si>
  <si>
    <t>g.dirosario@unibs.it</t>
  </si>
  <si>
    <t>https://www.linkedin.com/in/gianluca-di-rosario-52714592/</t>
  </si>
  <si>
    <t>DDTRKE95M60A783A</t>
  </si>
  <si>
    <t>DIODATO</t>
  </si>
  <si>
    <t>ERIKA</t>
  </si>
  <si>
    <t xml:space="preserve">Stage marketing e comunicazione </t>
  </si>
  <si>
    <t>Chaininitaly</t>
  </si>
  <si>
    <t>Bedizzole BS</t>
  </si>
  <si>
    <t>erika.diodato.95@hotmail.it</t>
  </si>
  <si>
    <t>3884671167</t>
  </si>
  <si>
    <t>https://www.linkedin.com/in/erika-diodato-7693b6203/</t>
  </si>
  <si>
    <t>DCCFNC52B02F205G</t>
  </si>
  <si>
    <t>Docchio</t>
  </si>
  <si>
    <t>Franco</t>
  </si>
  <si>
    <t>Prof. Em.</t>
  </si>
  <si>
    <t>Professore Emerito di Misure</t>
  </si>
  <si>
    <t>030394201</t>
  </si>
  <si>
    <t>franco.docchio@gmail.com</t>
  </si>
  <si>
    <t>3472331869</t>
  </si>
  <si>
    <t>https://www.linkedin.com/in/francodocchio/</t>
  </si>
  <si>
    <t>DCCSLV82P42A794V</t>
  </si>
  <si>
    <t>Pianificazione urbanistica e mobilità sostenibile</t>
  </si>
  <si>
    <t>META</t>
  </si>
  <si>
    <t>Bergamo</t>
  </si>
  <si>
    <t>docchio.silvia@gmail.com</t>
  </si>
  <si>
    <t>393495283963</t>
  </si>
  <si>
    <t>https://www.linkedin.com/in/silviadocchio/</t>
  </si>
  <si>
    <t>Laurea in Ingegneria Edile Architettura, Dottorato in Tecniche Urbanistiche</t>
  </si>
  <si>
    <t>DNTRHL84H55B157E</t>
  </si>
  <si>
    <t>Donati</t>
  </si>
  <si>
    <t>Rachele</t>
  </si>
  <si>
    <t>Ingegnere</t>
  </si>
  <si>
    <t>HSE SPECIALIST - settore ambiente</t>
  </si>
  <si>
    <t>A2A SpA</t>
  </si>
  <si>
    <t>rachel.donati@gmail.com</t>
  </si>
  <si>
    <t>393332161381</t>
  </si>
  <si>
    <t>Laurea di secondo livello, 2012</t>
  </si>
  <si>
    <t>DNNDNL94R31E884U</t>
  </si>
  <si>
    <t>Doninelli</t>
  </si>
  <si>
    <t>Daniele</t>
  </si>
  <si>
    <t>Mr</t>
  </si>
  <si>
    <t>Project Manager</t>
  </si>
  <si>
    <t>VedrAi</t>
  </si>
  <si>
    <t>Gottolengo</t>
  </si>
  <si>
    <t>dani.doni74@gmail.com</t>
  </si>
  <si>
    <t>393336759748</t>
  </si>
  <si>
    <t>https://www.linkedin.com/in/daniele-doninelli-7b0b0315a/</t>
  </si>
  <si>
    <t>26 Maggio 2022 9:17</t>
  </si>
  <si>
    <t>Laurea II livello in Ingegneria Meccanica (curriculum Produzione) conseguita a Ottobre 2018</t>
  </si>
  <si>
    <t>DNZNNT65H59B157Z</t>
  </si>
  <si>
    <t>Donzella</t>
  </si>
  <si>
    <t>Antonietta</t>
  </si>
  <si>
    <t>Doctor</t>
  </si>
  <si>
    <t>antonietta.donzella@unibs.it</t>
  </si>
  <si>
    <t>3384728315</t>
  </si>
  <si>
    <t>https://www.linkedin.com/in/antonietta-donzella-60a1a163/</t>
  </si>
  <si>
    <t>dottorato concluso</t>
  </si>
  <si>
    <t>DRCRNN96C48B157B</t>
  </si>
  <si>
    <t>Dorici</t>
  </si>
  <si>
    <t>Arianna</t>
  </si>
  <si>
    <t>Tirocinante</t>
  </si>
  <si>
    <t>Ente Sistema Edilizia Brescia ESEB</t>
  </si>
  <si>
    <t>arianna.dorici@gmail.com</t>
  </si>
  <si>
    <t>3408180337</t>
  </si>
  <si>
    <t>https://www.linkedin.com/in/ariannadorici/</t>
  </si>
  <si>
    <t>DTTPRI90T10B157B</t>
  </si>
  <si>
    <t>Dotti</t>
  </si>
  <si>
    <t>Piero</t>
  </si>
  <si>
    <t>Tech Lead</t>
  </si>
  <si>
    <t>Monade Srl</t>
  </si>
  <si>
    <t>Provaglio d'Iseo</t>
  </si>
  <si>
    <t>dotti.piero@gmail.com</t>
  </si>
  <si>
    <t>https://www.linkedin.com/in/piero-dotti/</t>
  </si>
  <si>
    <t>13 Aprile 2022 20:32</t>
  </si>
  <si>
    <t>DNUPLA75B20B157Z</t>
  </si>
  <si>
    <t>Duina</t>
  </si>
  <si>
    <t>Impiegato Tecnico</t>
  </si>
  <si>
    <t>Doss Visual Solution s.r.l.</t>
  </si>
  <si>
    <t>pduina@gmail.com</t>
  </si>
  <si>
    <t>393392080469</t>
  </si>
  <si>
    <t>https://www.linkedin.com/in/paolo-duina-091b9816/</t>
  </si>
  <si>
    <t>Ingegneria Elettonica, vecchio ordinamento, laurea il 20/12/2000</t>
  </si>
  <si>
    <t>CNMPLA75T16H598Z</t>
  </si>
  <si>
    <t>Econimo</t>
  </si>
  <si>
    <t>Regional Sales Director</t>
  </si>
  <si>
    <t>Vencomatic Group</t>
  </si>
  <si>
    <t>paolo.econimo@gmail.com</t>
  </si>
  <si>
    <t>+393452718184</t>
  </si>
  <si>
    <t>https://www.linkedin.com/in/paoloeconimo/</t>
  </si>
  <si>
    <t>DDHRHD99A22Z330I</t>
  </si>
  <si>
    <t>Eddaha</t>
  </si>
  <si>
    <t>Rachid</t>
  </si>
  <si>
    <t>rachideddaha199.ra@gmail.com</t>
  </si>
  <si>
    <t>393925900176</t>
  </si>
  <si>
    <t>https://www.linkedin.com/in/rachid-eddaha-639447148</t>
  </si>
  <si>
    <t>8 Aprile 2022 12:25</t>
  </si>
  <si>
    <t>FCCMTT88E20B157X</t>
  </si>
  <si>
    <t>Facchetti</t>
  </si>
  <si>
    <t>Responsabile amministrazione e controllo</t>
  </si>
  <si>
    <t>MCS Facchetti S.r.l.</t>
  </si>
  <si>
    <t>matteo.facchetti@hotmail.it</t>
  </si>
  <si>
    <t>3387204603</t>
  </si>
  <si>
    <t>https://www.linkedin.com/in/matteo-facchetti-5467b388/</t>
  </si>
  <si>
    <t>CPRLSN84E04D940E</t>
  </si>
  <si>
    <t>Facchini</t>
  </si>
  <si>
    <t>Alessandro Caprettini</t>
  </si>
  <si>
    <t>Laurea magistrale in Moneta, Finanza e Risk Management</t>
  </si>
  <si>
    <t>Associate</t>
  </si>
  <si>
    <t>Zulli Tabanelli e Associati</t>
  </si>
  <si>
    <t>alessandro.caprettini@zullitabanelli.it</t>
  </si>
  <si>
    <t>393388069158</t>
  </si>
  <si>
    <t>https://www.linkedin.com/in/alessandro-caprettini-facchini-616ba620/</t>
  </si>
  <si>
    <t>8 Aprile 2022 11:00</t>
  </si>
  <si>
    <t>FGGLSN94D14E333D</t>
  </si>
  <si>
    <t>FAGGI</t>
  </si>
  <si>
    <t>ALESSANDRO</t>
  </si>
  <si>
    <t>alessandrofaggi94@gmail.com</t>
  </si>
  <si>
    <t>3347267608</t>
  </si>
  <si>
    <t>FGLRLF62B03B157S</t>
  </si>
  <si>
    <t>Faglia</t>
  </si>
  <si>
    <t>Rodolfo</t>
  </si>
  <si>
    <t>Professore Ordinario di Meccanica Applicata</t>
  </si>
  <si>
    <t>Università degli Studi di Bescia</t>
  </si>
  <si>
    <t>rodolfo.faglia@unibs.it</t>
  </si>
  <si>
    <t>3498348955</t>
  </si>
  <si>
    <t>FLNFNC87S07F471R</t>
  </si>
  <si>
    <t>Falanga</t>
  </si>
  <si>
    <t>Chief Executive Officer</t>
  </si>
  <si>
    <t>Palmabit</t>
  </si>
  <si>
    <t>falanga.fra@gmail.com</t>
  </si>
  <si>
    <t>+393402739492</t>
  </si>
  <si>
    <t>https://www.linkedin.com/in/francescofalanga/</t>
  </si>
  <si>
    <t>FNTNCL97R16B157O</t>
  </si>
  <si>
    <t>Fantoni</t>
  </si>
  <si>
    <t>Dottore</t>
  </si>
  <si>
    <t>fantoninicola46@gmail.com</t>
  </si>
  <si>
    <t>393775137151</t>
  </si>
  <si>
    <t>https://www.linkedin.com/in/nicola-fantoni-39145122b</t>
  </si>
  <si>
    <t>14 Luglio 2022 19:38</t>
  </si>
  <si>
    <t>Laurea in Economia e Azienda Digitale</t>
  </si>
  <si>
    <t>FSTPLG95B18B157J</t>
  </si>
  <si>
    <t>Fastidio</t>
  </si>
  <si>
    <t>Pierluigi</t>
  </si>
  <si>
    <t>fastibrixia@gmail.com</t>
  </si>
  <si>
    <t>3338142558</t>
  </si>
  <si>
    <t>FSTGAI94M44D918E</t>
  </si>
  <si>
    <t>Fausti</t>
  </si>
  <si>
    <t>Gaia</t>
  </si>
  <si>
    <t>Altrocomma Legal</t>
  </si>
  <si>
    <t>Marcheno</t>
  </si>
  <si>
    <t>faustigaia@gmail.com</t>
  </si>
  <si>
    <t>https://www.linkedin.com/mwlite/in/gaia-fausti</t>
  </si>
  <si>
    <t>15 Giugno 2022 23:07</t>
  </si>
  <si>
    <t>FBBNDR85E26B157U</t>
  </si>
  <si>
    <t>Febbrari</t>
  </si>
  <si>
    <t>Manager</t>
  </si>
  <si>
    <t>ITALFOND</t>
  </si>
  <si>
    <t>andrea.febbrari@icloud.com</t>
  </si>
  <si>
    <t>3406679391</t>
  </si>
  <si>
    <t>https://www.linkedin.com/in/andrea-febbrari-33b76531/Febbrari Andrea</t>
  </si>
  <si>
    <t>FDRNDR95S02C618L</t>
  </si>
  <si>
    <t>Federici</t>
  </si>
  <si>
    <t>Machinery Safety Specialist</t>
  </si>
  <si>
    <t>GT Engineering</t>
  </si>
  <si>
    <t>andreafederici05@gmail.com</t>
  </si>
  <si>
    <t>3484231833</t>
  </si>
  <si>
    <t>https://www.linkedin.com/in/andrea-federici-0556851bb/</t>
  </si>
  <si>
    <t>FDRNCL96H08G337T</t>
  </si>
  <si>
    <t>Process Support Engineer</t>
  </si>
  <si>
    <t>ECOTRE VALENTE SRL</t>
  </si>
  <si>
    <t>Solferino</t>
  </si>
  <si>
    <t>nicola96f@gmail.com</t>
  </si>
  <si>
    <t>www.linkedin.com/in/nicola-federici-2aa108183</t>
  </si>
  <si>
    <t>6 Settembre 2022 11:47</t>
  </si>
  <si>
    <t>FLPDVD80S11B157U</t>
  </si>
  <si>
    <t>Felappi</t>
  </si>
  <si>
    <t>Commercialista in Brescia</t>
  </si>
  <si>
    <t>FELAPPI &amp; PARTNERS SRL STP</t>
  </si>
  <si>
    <t>3395825099</t>
  </si>
  <si>
    <t>https://www.linkedin.com/in/davide-felappi-3b165237/</t>
  </si>
  <si>
    <t>FLCNDR88A18A470B</t>
  </si>
  <si>
    <t>Felicetti</t>
  </si>
  <si>
    <t>Laurea magistrale in giurisprudenza (dicembre 2012)</t>
  </si>
  <si>
    <t>Notaio</t>
  </si>
  <si>
    <t>Peschiera del Garda</t>
  </si>
  <si>
    <t>andreafelicetti@me.com</t>
  </si>
  <si>
    <t>393488583136</t>
  </si>
  <si>
    <t>8 Aprile 2022 13:21</t>
  </si>
  <si>
    <t>FRRNDR95A27D940U</t>
  </si>
  <si>
    <t>Ferrari</t>
  </si>
  <si>
    <t>Ingegnere civile progettista</t>
  </si>
  <si>
    <t>Progettazione integrata professionale</t>
  </si>
  <si>
    <t>Rodengo Saiano</t>
  </si>
  <si>
    <t>andrea.ferrari33@yahoo.it</t>
  </si>
  <si>
    <t>393394051446</t>
  </si>
  <si>
    <t>https://www.linkedin.com/in/andrea-ferrari-3a5792180</t>
  </si>
  <si>
    <t>8 Aprile 2022 12:07</t>
  </si>
  <si>
    <t>FRRRKE90E59B157K</t>
  </si>
  <si>
    <t>Neurochirurgo</t>
  </si>
  <si>
    <t>ASST Valtellina e Alto Lario</t>
  </si>
  <si>
    <t>e.ferrari195@gmail.com</t>
  </si>
  <si>
    <t>393939011014</t>
  </si>
  <si>
    <t>https://www.linkedin.com/in/erika-ferrari-3a74aa130/</t>
  </si>
  <si>
    <t>Specializzazione in Neurochirurgia</t>
  </si>
  <si>
    <t>FRRFBA91M06G149Z</t>
  </si>
  <si>
    <t>Laura Triennale in Banca e Finanza</t>
  </si>
  <si>
    <t>Addetto Payroll</t>
  </si>
  <si>
    <t>A&amp;F Consulting-Crema</t>
  </si>
  <si>
    <t>Orzivecchi</t>
  </si>
  <si>
    <t>fabioferrari1991@gmail.com</t>
  </si>
  <si>
    <t>393332549500</t>
  </si>
  <si>
    <t>www.linkedin.com/in/fabio-ferrari-97631116a</t>
  </si>
  <si>
    <t>8 Aprile 2022 17:44</t>
  </si>
  <si>
    <t>FRRGCM96S01B157T</t>
  </si>
  <si>
    <t>Giacomo</t>
  </si>
  <si>
    <t>Ingegnere idraulico</t>
  </si>
  <si>
    <t>FROSIO NEXT S.r.l.</t>
  </si>
  <si>
    <t>giacomoferrari2@alice.it</t>
  </si>
  <si>
    <t>3481861489</t>
  </si>
  <si>
    <t>https://www.linkedin.com/in/giacomo-ferrari-gf/</t>
  </si>
  <si>
    <t>FRRMTT87T10D205Q</t>
  </si>
  <si>
    <t>0039 3381374650</t>
  </si>
  <si>
    <t>FRRMHL98R18B157C</t>
  </si>
  <si>
    <t>Studente Laurea Magistrale</t>
  </si>
  <si>
    <t>michele.ferrari1998@gmail.com</t>
  </si>
  <si>
    <t>393886559313</t>
  </si>
  <si>
    <t>https://www.linkedin.com/in/michele-ferrari-176505225</t>
  </si>
  <si>
    <t>Secondo anno Laurea Magistrale in Ingegneria dell'Automazione Industriale</t>
  </si>
  <si>
    <t>FRRNCL78R25B157I</t>
  </si>
  <si>
    <t>Istruttore Direttivo Informatico</t>
  </si>
  <si>
    <t>COMUNE DI BRESCIA</t>
  </si>
  <si>
    <t>nicola.ferrari@gmail.com</t>
  </si>
  <si>
    <t>3333335348</t>
  </si>
  <si>
    <t>https://www.linkedin.com/in/niferrari/</t>
  </si>
  <si>
    <t>FRRSMN88M13G149P</t>
  </si>
  <si>
    <t>Responsabile Tecnico</t>
  </si>
  <si>
    <t>EtaCarinae s.r.l.</t>
  </si>
  <si>
    <t>simoneferrari.bs@gmail.com</t>
  </si>
  <si>
    <t>393284555471</t>
  </si>
  <si>
    <t>http://linkedin.com/in/simone-ferrari-40545593</t>
  </si>
  <si>
    <t>22 Aprile 2022 22:47</t>
  </si>
  <si>
    <t>FLPSMN93A09B157P</t>
  </si>
  <si>
    <t>Filippini</t>
  </si>
  <si>
    <t>filippini.simone93@gmail.com</t>
  </si>
  <si>
    <t>393331001960</t>
  </si>
  <si>
    <t>https://www.linkedin.com/in/simone-filippini-80b57420a/</t>
  </si>
  <si>
    <t>laureato/a unibs + laurea magistrale in corso</t>
  </si>
  <si>
    <t>Laurea Triennale, Banca e Finanza (Economia), 16/12/2021</t>
  </si>
  <si>
    <t>FLPSFN82M15B157R</t>
  </si>
  <si>
    <t>Dott. Avv.</t>
  </si>
  <si>
    <t>Personale amministrativo UNIBS, legal specialist</t>
  </si>
  <si>
    <t>stefano.filippini@unibs.it</t>
  </si>
  <si>
    <t>393391964060</t>
  </si>
  <si>
    <t>https://www.linkedin.com/mwlite/in/stefano-filippini-082259101</t>
  </si>
  <si>
    <t>20 Aprile 2022 10:25</t>
  </si>
  <si>
    <t>Laurea specialistica in giurisprudenza, ottobre 2006</t>
  </si>
  <si>
    <t>FNZDNL95E22I628N</t>
  </si>
  <si>
    <t>Finazzi</t>
  </si>
  <si>
    <t>Dottorando</t>
  </si>
  <si>
    <t>Ghent University</t>
  </si>
  <si>
    <t>danifina95@hotmail.it</t>
  </si>
  <si>
    <t>393406786472</t>
  </si>
  <si>
    <t>https://www.linkedin.com/in/daniele-finazzi-64636b177/</t>
  </si>
  <si>
    <t>Laurea Magistrale in Ingegneria Meccanica, 17/03/2020</t>
  </si>
  <si>
    <t>FRTFNC92M25F839T</t>
  </si>
  <si>
    <t>Fioretti</t>
  </si>
  <si>
    <t>Laurea Magistrale a ciclo unico in Medicina e Chirurgia, 16/03/2020</t>
  </si>
  <si>
    <t>franc.fioretti@gmail.com</t>
  </si>
  <si>
    <t>393351598356</t>
  </si>
  <si>
    <t>9 Aprile 2022 11:48</t>
  </si>
  <si>
    <t>FYLLNO96L53Z138U</t>
  </si>
  <si>
    <t>Fiyalka</t>
  </si>
  <si>
    <t>Olena</t>
  </si>
  <si>
    <t>Student</t>
  </si>
  <si>
    <t>olenaolena525@gmail.com</t>
  </si>
  <si>
    <t>393891917378</t>
  </si>
  <si>
    <t>https://www.linkedin.com/in/olena-fiyalka-425b6b193/</t>
  </si>
  <si>
    <t>Laurea prevista a marzo 2022</t>
  </si>
  <si>
    <t>FGZFBA71E14B157D</t>
  </si>
  <si>
    <t>Fogazzi</t>
  </si>
  <si>
    <t>Risk Manager e Responsabile Amministrazione e Finanza</t>
  </si>
  <si>
    <t>Confapifidi s.c.</t>
  </si>
  <si>
    <t>ilfogaz@gmail.com</t>
  </si>
  <si>
    <t>3396903726</t>
  </si>
  <si>
    <t>https://www.linkedin.com/in/fabio-fogazzi-b0b84b37/</t>
  </si>
  <si>
    <t>FNTFRC65C11B157A</t>
  </si>
  <si>
    <t>Fontana</t>
  </si>
  <si>
    <t>Federico Giovanni</t>
  </si>
  <si>
    <t>Direttore Generale</t>
  </si>
  <si>
    <t>Azienda Speciale Tignale Servizi Manlio Bonincontri</t>
  </si>
  <si>
    <t>3387550546</t>
  </si>
  <si>
    <t>federico4@bresciaonline.it</t>
  </si>
  <si>
    <t>https://www.linkedin.com/in/federico-fontana-1961788a/</t>
  </si>
  <si>
    <t>FRMSFN85T13B157F</t>
  </si>
  <si>
    <t>Formenti</t>
  </si>
  <si>
    <t>Montirone</t>
  </si>
  <si>
    <t>stefano.formenti.bs@gmail.com</t>
  </si>
  <si>
    <t>https://www.linkedin.com/in/stefano-formenti-5650417b/</t>
  </si>
  <si>
    <t>13 Aprile 2022 13:55</t>
  </si>
  <si>
    <t>FRNTMS85P12B157F</t>
  </si>
  <si>
    <t>Fornasari</t>
  </si>
  <si>
    <t>Tommaso</t>
  </si>
  <si>
    <t>Dottore di Ricerca</t>
  </si>
  <si>
    <t>Assegnista di Ricerca</t>
  </si>
  <si>
    <t>Unibs</t>
  </si>
  <si>
    <t>tommaso.fornasari@unibs.it</t>
  </si>
  <si>
    <t>390307777101</t>
  </si>
  <si>
    <t>https://www.linkedin.com/in/tommasofornasari/</t>
  </si>
  <si>
    <t>8 Aprile 2022 12:29</t>
  </si>
  <si>
    <t>FRNCRN96M71L551Y</t>
  </si>
  <si>
    <t>Caterina</t>
  </si>
  <si>
    <t>caterinafranco.1996@gmail.com</t>
  </si>
  <si>
    <t>3203053527</t>
  </si>
  <si>
    <t>laureato/a unibs + dottorato in corso</t>
  </si>
  <si>
    <t>FRNPLA77H14I828M</t>
  </si>
  <si>
    <t>Franzinelli</t>
  </si>
  <si>
    <t>Consulente finanziario</t>
  </si>
  <si>
    <t>Fineco Bank</t>
  </si>
  <si>
    <t>Bormio SO</t>
  </si>
  <si>
    <t>paolofranzinelli@gmail.com</t>
  </si>
  <si>
    <t>3394035661</t>
  </si>
  <si>
    <t>https://www.linkedin.com/in/paolo-franzinelli-7b2b111b6/</t>
  </si>
  <si>
    <t>FRNLCU71C02F471F</t>
  </si>
  <si>
    <t>Franzoni</t>
  </si>
  <si>
    <t>Director Power &amp; Gas Sales, Operations &amp; Customer Care</t>
  </si>
  <si>
    <t>E.ON Energia S.p.A.</t>
  </si>
  <si>
    <t>luca_franzoni@yahoo.it</t>
  </si>
  <si>
    <t>3489002251</t>
  </si>
  <si>
    <t>https://www.linkedin.com/in/luca-franzoni-67133b13/</t>
  </si>
  <si>
    <t>FRNRRT78A31B157Q</t>
  </si>
  <si>
    <t>Roberto</t>
  </si>
  <si>
    <t>Consulenza in Governance, Risk, Audit, Amministrazione e Finanza</t>
  </si>
  <si>
    <t>Consulente indipendente</t>
  </si>
  <si>
    <t>03361080983</t>
  </si>
  <si>
    <t>roberto@franzoniroberto.it</t>
  </si>
  <si>
    <t>3346051704</t>
  </si>
  <si>
    <t>https://www.linkedin.com/in/robertofranzoni/</t>
  </si>
  <si>
    <t>FRSPLA93S26B157H</t>
  </si>
  <si>
    <t>Frassi</t>
  </si>
  <si>
    <t>Metallurgy and Development Projects Specialist</t>
  </si>
  <si>
    <t>Lucchini RS</t>
  </si>
  <si>
    <t>3405086494</t>
  </si>
  <si>
    <t>paolo93frassi@gmail.com</t>
  </si>
  <si>
    <t>https://www.linkedin.com/in/paolo-frassi-b39899b5/2</t>
  </si>
  <si>
    <t>FRSLRA99C57B157L</t>
  </si>
  <si>
    <t>Frassine</t>
  </si>
  <si>
    <t>studente magistrale</t>
  </si>
  <si>
    <t>laurafra.lf99@gmail.com</t>
  </si>
  <si>
    <t>393450460551</t>
  </si>
  <si>
    <t>Laurea triennale 20/07/2021 in Economia e gestione aziendale (gestione delle imprese), attualmente primo anno del corso magistrale in Management (International business)</t>
  </si>
  <si>
    <t>FRDGPP91P18B157Z</t>
  </si>
  <si>
    <t>Freddi</t>
  </si>
  <si>
    <t>Giuseppe Vittorio</t>
  </si>
  <si>
    <t>Houston</t>
  </si>
  <si>
    <t>United States of America</t>
  </si>
  <si>
    <t>gvfreddi@gmail.com</t>
  </si>
  <si>
    <t>393333589442</t>
  </si>
  <si>
    <t>23 Maggio 2022 22:26</t>
  </si>
  <si>
    <t>Laurea di Primo Livello in Economia, (L-33 - Classe delle lauree in Scienze economiche - D.M. 270/2004) - Percorso generale in Economia, titolo conseguito in data 29/10/2013 con voto 92/110</t>
  </si>
  <si>
    <t>FRDTBO95C06D918E</t>
  </si>
  <si>
    <t>Tobia</t>
  </si>
  <si>
    <t>Project Engineer</t>
  </si>
  <si>
    <t>Camozzi SpA</t>
  </si>
  <si>
    <t>tobiafreddi@gmail.com</t>
  </si>
  <si>
    <t>393383427367</t>
  </si>
  <si>
    <t>https://www.linkedin.com/in/tobiafreddi</t>
  </si>
  <si>
    <t>Laurea Magistrale, Ingegneria meccanica, 22/10/2019</t>
  </si>
  <si>
    <t>FRTGRG69S09B157O</t>
  </si>
  <si>
    <t>Fritzsch</t>
  </si>
  <si>
    <t>Relationship Manager</t>
  </si>
  <si>
    <t>Barclays Corporate Banking</t>
  </si>
  <si>
    <t>gfrit01a@gmail.com</t>
  </si>
  <si>
    <t>3486660558</t>
  </si>
  <si>
    <t>https://www.linkedin.com/in/giorgio-fritzsch-9a310769/</t>
  </si>
  <si>
    <t>FSCFNC90H06B157J</t>
  </si>
  <si>
    <t>Fusca</t>
  </si>
  <si>
    <t>Praticante</t>
  </si>
  <si>
    <t>Studio Legale Concari</t>
  </si>
  <si>
    <t>0308911173</t>
  </si>
  <si>
    <t>francesco.fusca.90@gmail.com</t>
  </si>
  <si>
    <t>3347634206</t>
  </si>
  <si>
    <t>https://www.linkedin.com/in/francesco-fusca-684211168/</t>
  </si>
  <si>
    <t>GBRGNN90B23B157M</t>
  </si>
  <si>
    <t>Gabrieli</t>
  </si>
  <si>
    <t>Giovanni</t>
  </si>
  <si>
    <t>Laurea breve in Economia e Gestione delle piccole medie imprese. (2013)</t>
  </si>
  <si>
    <t>Owner | General Manager</t>
  </si>
  <si>
    <t>ARGAL srl</t>
  </si>
  <si>
    <t>giovanni@argalpumps.com</t>
  </si>
  <si>
    <t>390303507051</t>
  </si>
  <si>
    <t>https://www.linkedin.com/in/giovanni-gabrieli-5a409450/</t>
  </si>
  <si>
    <t>8 Aprile 2022 11:38</t>
  </si>
  <si>
    <t>GBRNNA95H56B157N</t>
  </si>
  <si>
    <t>Gaburri</t>
  </si>
  <si>
    <t>Anna</t>
  </si>
  <si>
    <t>Junior PP Consultant</t>
  </si>
  <si>
    <t>Regesta</t>
  </si>
  <si>
    <t>3333102128</t>
  </si>
  <si>
    <t>annagaburri@yahoo.it</t>
  </si>
  <si>
    <t>https://www.linkedin.com/in/anna-gaburri/</t>
  </si>
  <si>
    <t>GBTGRL95T24B157Z</t>
  </si>
  <si>
    <t>Gaibotti</t>
  </si>
  <si>
    <t>Gabriele</t>
  </si>
  <si>
    <t>g.gaibotti@studenti.unibs.it</t>
  </si>
  <si>
    <t>3401579116</t>
  </si>
  <si>
    <t>GLLGDL64P70D150P</t>
  </si>
  <si>
    <t>Galli</t>
  </si>
  <si>
    <t>Guendalina</t>
  </si>
  <si>
    <t>LIBERO PROFESSIONISTA</t>
  </si>
  <si>
    <t>Studio di Ingegneria</t>
  </si>
  <si>
    <t>guendalina.galli@libero.it</t>
  </si>
  <si>
    <t>393283754744</t>
  </si>
  <si>
    <t>https://www.linkedin.com/in/guendalina-galli-23523a26/</t>
  </si>
  <si>
    <t>GLLMRC90M27B157D</t>
  </si>
  <si>
    <t>Direttore Ufficio Tecnico</t>
  </si>
  <si>
    <t>Test Industry</t>
  </si>
  <si>
    <t>Paratico</t>
  </si>
  <si>
    <t>deltam.galli@gmail.com</t>
  </si>
  <si>
    <t>393470679984</t>
  </si>
  <si>
    <t>marcogalli3</t>
  </si>
  <si>
    <t>1 Luglio 2022 0:19</t>
  </si>
  <si>
    <t>Laurea Triennale Automazione industriale; Laurea Specialistica Automazione Ind.; Master Mechatronics System for Rehabilitation; 2015</t>
  </si>
  <si>
    <t>GLLGDU89P03B157U</t>
  </si>
  <si>
    <t>Gallico</t>
  </si>
  <si>
    <t>Guido</t>
  </si>
  <si>
    <t>Docente a contratto/collaboratore all'attività didattica</t>
  </si>
  <si>
    <t>guido.gallico@unibs.it</t>
  </si>
  <si>
    <t>3489293949</t>
  </si>
  <si>
    <t>https://www.linkedin.com/in/guido-gallico-ggg/</t>
  </si>
  <si>
    <t>GLVLCU69D23D940L</t>
  </si>
  <si>
    <t>Galvani</t>
  </si>
  <si>
    <t>036585215</t>
  </si>
  <si>
    <t>lucagalvani69@gmail.com</t>
  </si>
  <si>
    <t>3355897713</t>
  </si>
  <si>
    <t>GMBMRC78H09B157F</t>
  </si>
  <si>
    <t>Gamba</t>
  </si>
  <si>
    <t>Fott.</t>
  </si>
  <si>
    <t>marcogamba@studioassociatogamba.it</t>
  </si>
  <si>
    <t>+393286665585</t>
  </si>
  <si>
    <t>https://www.linkedin.com/in/marcogamba/</t>
  </si>
  <si>
    <t>GMBMTT97A09B157P</t>
  </si>
  <si>
    <t>Gambera</t>
  </si>
  <si>
    <t>Amministratore e responsabile delle operations</t>
  </si>
  <si>
    <t>Stema Srl</t>
  </si>
  <si>
    <t>tdvita.it@gmail.com</t>
  </si>
  <si>
    <t>393315203231</t>
  </si>
  <si>
    <t>https://www.linkedin.com/in/matteo-gambera/</t>
  </si>
  <si>
    <t>25 Giugno 2022 10:23</t>
  </si>
  <si>
    <t>Laurea Magistrale, Ingegneria dell'Automazione Industriale, Ottobre 2022</t>
  </si>
  <si>
    <t>GRGCLD91S65D150O</t>
  </si>
  <si>
    <t>Gargiulo</t>
  </si>
  <si>
    <t>Vodafone</t>
  </si>
  <si>
    <t>claudiagargiulo91@gmail.com</t>
  </si>
  <si>
    <t>393281192474</t>
  </si>
  <si>
    <t>http://linkedin.com/in/claudia-gargiulo</t>
  </si>
  <si>
    <t>24 Agosto 2022 10:21</t>
  </si>
  <si>
    <t>Laurea Specialistica in Information Technology and Multimedia, Marzo 2016 - Master of Science in Electrical and Computer Engineering at Georgia Institute of Technology, 2015</t>
  </si>
  <si>
    <t>GRZLBA92S50D940G</t>
  </si>
  <si>
    <t>Garzoni</t>
  </si>
  <si>
    <t>Alba</t>
  </si>
  <si>
    <t>Odontoiatra libero professionista</t>
  </si>
  <si>
    <t>alba.garzoni@yahoo.it</t>
  </si>
  <si>
    <t>393342065106</t>
  </si>
  <si>
    <t>http://linkedin.com/in/alba-garzoni-741518b8</t>
  </si>
  <si>
    <t>10 Aprile 2022 22:38</t>
  </si>
  <si>
    <t>Laurea magistrale in odontoiatria. Specializzazione in odontoiatria pediatrica.</t>
  </si>
  <si>
    <t>GDNLSN97E11D434G</t>
  </si>
  <si>
    <t>Gaudenzi</t>
  </si>
  <si>
    <t>alegau97@gmail.com</t>
  </si>
  <si>
    <t>393665362964</t>
  </si>
  <si>
    <t>Laurea Triennale, Ingegneria Informatica, 21/10/2022</t>
  </si>
  <si>
    <t>GCCLSN70H01H501I</t>
  </si>
  <si>
    <t>Gecchele</t>
  </si>
  <si>
    <t>Libero Professionista</t>
  </si>
  <si>
    <t>a.gecchele70@gmail.com</t>
  </si>
  <si>
    <t>393406056944</t>
  </si>
  <si>
    <t>https://www.linkedin.com/in/alessandro-gecchele-a6b00759/</t>
  </si>
  <si>
    <t>Laurea in Ingegneria Meccanica 5 anni vecchio ordinamento</t>
  </si>
  <si>
    <t>GCCLSE98E41B157K</t>
  </si>
  <si>
    <t>Gecchelin</t>
  </si>
  <si>
    <t>Elisa</t>
  </si>
  <si>
    <t>ing. ir</t>
  </si>
  <si>
    <t>junior partner</t>
  </si>
  <si>
    <t>TEAM 4.0 s.r.l. / ENTER s.r.l.</t>
  </si>
  <si>
    <t>elisa@gecchelin.it</t>
  </si>
  <si>
    <t>393409022329</t>
  </si>
  <si>
    <t>https://www.linkedin.com/in/elisagecchelin/</t>
  </si>
  <si>
    <t>5 Maggio 2022 9:56</t>
  </si>
  <si>
    <t>GCCGUO61M31A182E</t>
  </si>
  <si>
    <t>Ugo</t>
  </si>
  <si>
    <t>ing.</t>
  </si>
  <si>
    <t>ugo@gecchelin.it</t>
  </si>
  <si>
    <t>393485109887</t>
  </si>
  <si>
    <t>https://www.linkedin.com/in/ugogecchelin/</t>
  </si>
  <si>
    <t>5 Maggio 2022 9:54</t>
  </si>
  <si>
    <t>Laurea quinquennale (v.o.)</t>
  </si>
  <si>
    <t>GRRNDR92T07D918T</t>
  </si>
  <si>
    <t>Gerardini</t>
  </si>
  <si>
    <t>Ingegnere strutturista</t>
  </si>
  <si>
    <t>ing. Gerardini Andrea</t>
  </si>
  <si>
    <t>3319474494</t>
  </si>
  <si>
    <t>gerardini.a@gmail.com</t>
  </si>
  <si>
    <t>https://www.linkedin.com/in/andrea-gerardini-4b1095138/G</t>
  </si>
  <si>
    <t>GHDGPT61E04E738E</t>
  </si>
  <si>
    <t>Ghidini</t>
  </si>
  <si>
    <t>Gianpietro</t>
  </si>
  <si>
    <t>gianpietro@pesciolinorosso.org</t>
  </si>
  <si>
    <t>3921151495</t>
  </si>
  <si>
    <t>https://www.linkedin.com/in/pesciolinorosso/</t>
  </si>
  <si>
    <t>GHSMRC91E15B157U</t>
  </si>
  <si>
    <t>Ghislanzoni</t>
  </si>
  <si>
    <t>Dottore Commercialista</t>
  </si>
  <si>
    <t>Studio Piccinelli</t>
  </si>
  <si>
    <t>marco.ghislanzoni@hotmail.it</t>
  </si>
  <si>
    <t>393333958097</t>
  </si>
  <si>
    <t>https://www.linkedin.com/in/marco-ghislanzoni-6a410413a/</t>
  </si>
  <si>
    <t>8 Aprile 2022 11:14</t>
  </si>
  <si>
    <t>GGLLCA88B48D711I</t>
  </si>
  <si>
    <t>Gigli</t>
  </si>
  <si>
    <t>Alice</t>
  </si>
  <si>
    <t>Occupata</t>
  </si>
  <si>
    <t>STUDIO LEGALE AVV.TO ALICE GIGLI</t>
  </si>
  <si>
    <t>al.gigliaffrini@gmail.com</t>
  </si>
  <si>
    <t>393396584909</t>
  </si>
  <si>
    <t>11 Aprile 2022 10:17</t>
  </si>
  <si>
    <t>LAUREA MAGISTRALE A CICLO UNICO 2013. Conseguimento titolo abilitazioni professionale 2015</t>
  </si>
  <si>
    <t>GRDJDN87S11B157A</t>
  </si>
  <si>
    <t>Giordani</t>
  </si>
  <si>
    <t>giordanij87@gmail.com</t>
  </si>
  <si>
    <t>3381887314</t>
  </si>
  <si>
    <t>https://www.linkedin.com/in/jordan-giordani-823b98a1/</t>
  </si>
  <si>
    <t>Laura triennale in Biotecnologie &amp; Laureando in Medicina e Chirurgia (Ottobre 2022)</t>
  </si>
  <si>
    <t>GRGMRA89A22D940C</t>
  </si>
  <si>
    <t>Giorgi</t>
  </si>
  <si>
    <t>Mauro</t>
  </si>
  <si>
    <t>Laurea Magistrale in Ingegneria dell'Automazione Industriale - Ottobre 2014</t>
  </si>
  <si>
    <t>Programmatore PLC - HMI - SCADA</t>
  </si>
  <si>
    <t>Esea 2G S.r.l.</t>
  </si>
  <si>
    <t>Piancogno</t>
  </si>
  <si>
    <t>mauro.giorgi1@gmail.com</t>
  </si>
  <si>
    <t>393290677679</t>
  </si>
  <si>
    <t>9 Aprile 2022 16:46</t>
  </si>
  <si>
    <t>GLSMRK99M26D940G</t>
  </si>
  <si>
    <t>Glisenti</t>
  </si>
  <si>
    <t>Mirko</t>
  </si>
  <si>
    <t>Studente in Ingegneria Informatica Magistrale</t>
  </si>
  <si>
    <t>mirko.glisenti1999@gmail.com</t>
  </si>
  <si>
    <t>3395465527</t>
  </si>
  <si>
    <t>https://www.linkedin.com/in/mirko-glisenti-934a3815b/</t>
  </si>
  <si>
    <t>GRDNRY90H29Z138K</t>
  </si>
  <si>
    <t>Gordiychuk</t>
  </si>
  <si>
    <t>Andriy</t>
  </si>
  <si>
    <t>Gussago</t>
  </si>
  <si>
    <t>a.gordiychuk@icloud.com</t>
  </si>
  <si>
    <t>PhD</t>
  </si>
  <si>
    <t>GSTSFN70M02D940E</t>
  </si>
  <si>
    <t>Gosetti</t>
  </si>
  <si>
    <t>Vice Presidente</t>
  </si>
  <si>
    <t>Vigilate S.r.l.</t>
  </si>
  <si>
    <t>stefano.gosetti@gmail.com</t>
  </si>
  <si>
    <t>393473130029</t>
  </si>
  <si>
    <t>https://www.linkedin.com/in/stefanogosetti</t>
  </si>
  <si>
    <t>GZZFBN91H09C618W</t>
  </si>
  <si>
    <t>Gozzini</t>
  </si>
  <si>
    <t>Fabiano</t>
  </si>
  <si>
    <t>Financial Consultant</t>
  </si>
  <si>
    <t>3407448319</t>
  </si>
  <si>
    <t>fabian.91.gozzini@gmail.com</t>
  </si>
  <si>
    <t>https://www.linkedin.com/in/fabiano-gozzini/</t>
  </si>
  <si>
    <t>GZZSFN94C22B393M</t>
  </si>
  <si>
    <t>Stagista</t>
  </si>
  <si>
    <t>FAITPLAST</t>
  </si>
  <si>
    <t>Coccaglio</t>
  </si>
  <si>
    <t>gozzinistefano@gmail.com</t>
  </si>
  <si>
    <t>https://www.linkedin.com/in/stefano-gozzini-52aa52209/</t>
  </si>
  <si>
    <t>12 Giugno 2022 19:15</t>
  </si>
  <si>
    <t>GRLFRC92R20D284G</t>
  </si>
  <si>
    <t>Grillo</t>
  </si>
  <si>
    <t>Laurea Magistrale in Economia</t>
  </si>
  <si>
    <t>Titolare Azienda</t>
  </si>
  <si>
    <t>ASSI+ di Grillo e Carini snc</t>
  </si>
  <si>
    <t>Ghedi</t>
  </si>
  <si>
    <t>federicogrillo@icloud.com</t>
  </si>
  <si>
    <t>393921419766</t>
  </si>
  <si>
    <t>https://www.linkedin.com/in/federico-grillo-357714133</t>
  </si>
  <si>
    <t>8 Aprile 2022 14:29</t>
  </si>
  <si>
    <t>GRSSST82C05F471X</t>
  </si>
  <si>
    <t>Guarisco</t>
  </si>
  <si>
    <t>Responsabile commerciale</t>
  </si>
  <si>
    <t>Florenter Srl</t>
  </si>
  <si>
    <t>sebastiano@legeorgiche.it</t>
  </si>
  <si>
    <t>3489971096</t>
  </si>
  <si>
    <t>https://www.linkedin.com/in/sebastiano-guarisco-61272696/</t>
  </si>
  <si>
    <t>GRNLCU93D03E333R</t>
  </si>
  <si>
    <t>Guerini</t>
  </si>
  <si>
    <t>Director of Sales</t>
  </si>
  <si>
    <t>Gruppo UTR / EVO International Group</t>
  </si>
  <si>
    <t>l.guerini009@studenti.unibs.it</t>
  </si>
  <si>
    <t>3349592915</t>
  </si>
  <si>
    <t>https://www.linkedin.com/in/lucaguerini/</t>
  </si>
  <si>
    <t>GSNLNZ92M14B157B</t>
  </si>
  <si>
    <t>Gusinu</t>
  </si>
  <si>
    <t>Consulente del Lavoro -Titolare</t>
  </si>
  <si>
    <t>Studio Lorenzo Gusinu in Brescia</t>
  </si>
  <si>
    <t>3346233187</t>
  </si>
  <si>
    <t>lorenzogusinu92@virgilio.it</t>
  </si>
  <si>
    <t>https://www.linkedin.com/in/lorenzo-gusinu-a5111086/</t>
  </si>
  <si>
    <t>HSNDHR88P61Z118R</t>
  </si>
  <si>
    <t>Hasani</t>
  </si>
  <si>
    <t>Deshira</t>
  </si>
  <si>
    <t>Teaching Assistant</t>
  </si>
  <si>
    <t>Università Cattolica del Sacro Cuore</t>
  </si>
  <si>
    <t>Macedone</t>
  </si>
  <si>
    <t>deshira.hasani@gmail.com</t>
  </si>
  <si>
    <t>3472957273</t>
  </si>
  <si>
    <t>https://www.linkedin.com/in/deshira-hasani-91556374/</t>
  </si>
  <si>
    <t>NCRGNN65H22C816U</t>
  </si>
  <si>
    <t>Incerti</t>
  </si>
  <si>
    <t>UNIBS</t>
  </si>
  <si>
    <t>giovanni.incerti@unibs.it</t>
  </si>
  <si>
    <t>393349271378</t>
  </si>
  <si>
    <t>***</t>
  </si>
  <si>
    <t>Dottorato in Meccanica applicata</t>
  </si>
  <si>
    <t>NSLLSE86A57B157K</t>
  </si>
  <si>
    <t>Inselvini</t>
  </si>
  <si>
    <t>Referente Ufficio Risorse Umane RSA di Desenzano del Garda</t>
  </si>
  <si>
    <t>Fondazione S. Angela Merici O.N.L.U.S.</t>
  </si>
  <si>
    <t>elisainselvini@gmail.com</t>
  </si>
  <si>
    <t>393454805651</t>
  </si>
  <si>
    <t>13 Aprile 2022 14:21</t>
  </si>
  <si>
    <t>Specializzazione in professioni legali</t>
  </si>
  <si>
    <t>NVRNLT93P59B157F</t>
  </si>
  <si>
    <t>Inverardi</t>
  </si>
  <si>
    <t>Nicoletta</t>
  </si>
  <si>
    <t>Postgraduate Researcher</t>
  </si>
  <si>
    <t>Boston MA</t>
  </si>
  <si>
    <t>nicolettafabiola.inverardi@gmail.com</t>
  </si>
  <si>
    <t>3490626655</t>
  </si>
  <si>
    <t>https://www.linkedin.com/in/nicoletta-fabiola-inverardi/</t>
  </si>
  <si>
    <t>NNSSRA79A48D940U</t>
  </si>
  <si>
    <t>Ioannes</t>
  </si>
  <si>
    <t>Sara</t>
  </si>
  <si>
    <t>International Dealer Development &amp; Performance Management</t>
  </si>
  <si>
    <t>BMW Motorrad</t>
  </si>
  <si>
    <t>Monaco di Baviera</t>
  </si>
  <si>
    <t>Germania</t>
  </si>
  <si>
    <t>saraioannes@yahoo.it</t>
  </si>
  <si>
    <t>+491781700201</t>
  </si>
  <si>
    <t>https://www.linkedin.com/in/sara-ioannes-03614793/</t>
  </si>
  <si>
    <t>PPRMHL89B26B157E</t>
  </si>
  <si>
    <t>Ipprio</t>
  </si>
  <si>
    <t>E-Commerce Manager</t>
  </si>
  <si>
    <t>BERETTA</t>
  </si>
  <si>
    <t>mipprio@gmail.com</t>
  </si>
  <si>
    <t>3343249918</t>
  </si>
  <si>
    <t>https://www.linkedin.com/in/michele-ipprio-8029b7b1/</t>
  </si>
  <si>
    <t>KHNDNN88D05Z236E</t>
  </si>
  <si>
    <t>Khan</t>
  </si>
  <si>
    <t>Adnan</t>
  </si>
  <si>
    <t>Transfermation Consultant</t>
  </si>
  <si>
    <t>Capgemini</t>
  </si>
  <si>
    <t>a.khan003@studenti.unibs.it</t>
  </si>
  <si>
    <t>393888758331</t>
  </si>
  <si>
    <t>https://www.linkedin.com/in/adnan-khan-7087987b</t>
  </si>
  <si>
    <t>14 Aprile 2022 18:11</t>
  </si>
  <si>
    <t>17/05/2020</t>
  </si>
  <si>
    <t>KSSMCR97S09L781H</t>
  </si>
  <si>
    <t>KOSSEIFI</t>
  </si>
  <si>
    <t>MELCART</t>
  </si>
  <si>
    <t>Finance Internship</t>
  </si>
  <si>
    <t>Bank Audi</t>
  </si>
  <si>
    <t>kosseifimelcart@gmail.com</t>
  </si>
  <si>
    <t>3922834971</t>
  </si>
  <si>
    <t>https://www.linkedin.com/in/melcartkosseifi/</t>
  </si>
  <si>
    <t>KYRNDR96R60Z318J</t>
  </si>
  <si>
    <t>Kyere</t>
  </si>
  <si>
    <t>Anita Ardarkwah</t>
  </si>
  <si>
    <t>ghanese</t>
  </si>
  <si>
    <t>a.kyere@studenti.unibs.it</t>
  </si>
  <si>
    <t>+393286086466</t>
  </si>
  <si>
    <t>studente unibs</t>
  </si>
  <si>
    <t>LDAMRC92P19F979C</t>
  </si>
  <si>
    <t>Ladu</t>
  </si>
  <si>
    <t>Visiting PHD Student</t>
  </si>
  <si>
    <t>Centre de droit et de politique comparés Jean-Claude Escarras</t>
  </si>
  <si>
    <t>marco.ladu@unibs.it</t>
  </si>
  <si>
    <t>3462146708</t>
  </si>
  <si>
    <t>https://www.linkedin.com/in/marcoladu/</t>
  </si>
  <si>
    <t>LNCMHL65P01D940K</t>
  </si>
  <si>
    <t>Lancellotti</t>
  </si>
  <si>
    <t>Michele Fausto</t>
  </si>
  <si>
    <t>Dott</t>
  </si>
  <si>
    <t>C.E.O. of IMBAL CARTON SRL and President of ALUMNI UNIBS</t>
  </si>
  <si>
    <t xml:space="preserve"> IMBAL CARTON SR</t>
  </si>
  <si>
    <t>michele.lancellotti65@gmail.com</t>
  </si>
  <si>
    <t>3357856514</t>
  </si>
  <si>
    <t>https://www.linkedin.com/in/michele-lancellotti-b02a4819/</t>
  </si>
  <si>
    <t>LNCMTT78H08B157V</t>
  </si>
  <si>
    <t>Lancini</t>
  </si>
  <si>
    <t>Associate Professor</t>
  </si>
  <si>
    <t>Universitá degli Studi di Brescia</t>
  </si>
  <si>
    <t>+390303715539</t>
  </si>
  <si>
    <t>matteo.lancini@unibs.it</t>
  </si>
  <si>
    <t>+393288230012</t>
  </si>
  <si>
    <t>https://www.linkedin.com/in/matteo-lancini-94303218/Lancini Matteo</t>
  </si>
  <si>
    <t>LTRNTN88D30B157C</t>
  </si>
  <si>
    <t>Latronico</t>
  </si>
  <si>
    <t>Antonio</t>
  </si>
  <si>
    <t>Buyer</t>
  </si>
  <si>
    <t>A2A S.p.A.</t>
  </si>
  <si>
    <t>antoniolatronico88@gmail.com</t>
  </si>
  <si>
    <t>393392069862</t>
  </si>
  <si>
    <t>https://www.linkedin.com/in/antonio-latronico-8a00b364</t>
  </si>
  <si>
    <t>15 Aprile 2022 9:18</t>
  </si>
  <si>
    <t>Laurea magistrale in Management, Economia, data laurea 20/12/2012</t>
  </si>
  <si>
    <t>LNRPTR90T19B157V</t>
  </si>
  <si>
    <t>Leonardi</t>
  </si>
  <si>
    <t>Pietro</t>
  </si>
  <si>
    <t>Laurea Magistrale in Ingegneria Gestionale, Laurea Triennale in Scienze e Tecniche Psicologiche</t>
  </si>
  <si>
    <t>Manager, Team Leader &amp; Project Manager</t>
  </si>
  <si>
    <t>Techedge SpA</t>
  </si>
  <si>
    <t>pietroleonardi20@gmail.com</t>
  </si>
  <si>
    <t>393391297665</t>
  </si>
  <si>
    <t>https://www.linkedin.com/in/pietro-leonardi/</t>
  </si>
  <si>
    <t>LNENDR85H12B157D</t>
  </si>
  <si>
    <t>Leoni</t>
  </si>
  <si>
    <t>Project Manager - Process and Industry</t>
  </si>
  <si>
    <t>COWI</t>
  </si>
  <si>
    <t>004794257620</t>
  </si>
  <si>
    <t>leonners@gmail.com</t>
  </si>
  <si>
    <t>https://www.linkedin.com/in/leoniandrea/</t>
  </si>
  <si>
    <t>LNEPLA90D03A470T</t>
  </si>
  <si>
    <t>Lib. Professionista</t>
  </si>
  <si>
    <t>Desenzano D/G</t>
  </si>
  <si>
    <t>info@leonipaolo.it</t>
  </si>
  <si>
    <t>393336634711</t>
  </si>
  <si>
    <t>https://www.linkedin.com/in/paololeoni-engineer/</t>
  </si>
  <si>
    <t>8 Aprile 2022 15:22</t>
  </si>
  <si>
    <t>LRNLSN91P28E884H</t>
  </si>
  <si>
    <t>Leronni</t>
  </si>
  <si>
    <t>Research Associate</t>
  </si>
  <si>
    <t>University of Cambridge</t>
  </si>
  <si>
    <t>Cambridge</t>
  </si>
  <si>
    <t>aleronni91@gmail.com</t>
  </si>
  <si>
    <t>447927167312</t>
  </si>
  <si>
    <t>19 Giugno 2022 15:28</t>
  </si>
  <si>
    <t>Dottorato in Ingegneria Civile, Ambientale, della Cooperazione Internazionale e di Matematica</t>
  </si>
  <si>
    <t>LVEFNC95P62B157U</t>
  </si>
  <si>
    <t>Levi</t>
  </si>
  <si>
    <t>Francesca</t>
  </si>
  <si>
    <t>Phd-student</t>
  </si>
  <si>
    <t>francescalevi95@gmail.com</t>
  </si>
  <si>
    <t>3465800196</t>
  </si>
  <si>
    <t>https://www.linkedin.com/in/francesca-levi-56306197/</t>
  </si>
  <si>
    <t>LQTMMM91R09Z236T</t>
  </si>
  <si>
    <t>LIAQAT</t>
  </si>
  <si>
    <t>MUHAMMAD USMAN</t>
  </si>
  <si>
    <t>m.liaqat@unibs.it</t>
  </si>
  <si>
    <t>393895521145</t>
  </si>
  <si>
    <t>PhD, Natural Risk Assessment and Management, DICATAM, Department of Civil, Environmental, Architectural Engineering and Mathematics</t>
  </si>
  <si>
    <t>LSSVLR93B18E884E</t>
  </si>
  <si>
    <t>Lissignoli</t>
  </si>
  <si>
    <t>Valerio</t>
  </si>
  <si>
    <t>LAUREA SECONDO LIVELLO MANAGEMENT PERCORSO FINANZA, 23/03/2021</t>
  </si>
  <si>
    <t>AMMINISTRATORE</t>
  </si>
  <si>
    <t>L.S. GROUP AGROMECCANICA SRL</t>
  </si>
  <si>
    <t>SAN PAOLO</t>
  </si>
  <si>
    <t>valerio.lissignoli@gmail.com</t>
  </si>
  <si>
    <t>393452819223</t>
  </si>
  <si>
    <t>https://it.linkedin.com/in/valerio-lissignoli-42b40318b</t>
  </si>
  <si>
    <t>8 Aprile 2022 14:47</t>
  </si>
  <si>
    <t>LCTSFN95P16B157C</t>
  </si>
  <si>
    <t>Locatelli</t>
  </si>
  <si>
    <t>Impiegato bancario</t>
  </si>
  <si>
    <t>Banca Valsabbina SCPa</t>
  </si>
  <si>
    <t>loca.ste95@hotmail.it</t>
  </si>
  <si>
    <t>393472968517</t>
  </si>
  <si>
    <t>https://www.linkedin.com/in/stefanolocatelli006/</t>
  </si>
  <si>
    <t>Laurea magistrale conseguita il 17/07/2020</t>
  </si>
  <si>
    <t>LDOLSN88L03B157L</t>
  </si>
  <si>
    <t>Loda</t>
  </si>
  <si>
    <t>Responsabile Data Analysis &amp; BI</t>
  </si>
  <si>
    <t>VIVI energia</t>
  </si>
  <si>
    <t>Lumezzane BS</t>
  </si>
  <si>
    <t>alessandro.loda.1988@gmail.com</t>
  </si>
  <si>
    <t>3384780046</t>
  </si>
  <si>
    <t>https://www.linkedin.com/in/alessandro-loda/</t>
  </si>
  <si>
    <t>LDRLNZ88E03B157H</t>
  </si>
  <si>
    <t>Lodrini</t>
  </si>
  <si>
    <t>Planning Manager</t>
  </si>
  <si>
    <t>Forgiafer - Italian Padel</t>
  </si>
  <si>
    <t>l.lodrini-88@hotmail.it</t>
  </si>
  <si>
    <t>393407936838</t>
  </si>
  <si>
    <t>Dottore Magistrale in Ingegneria Gestionale, 23/05/2017</t>
  </si>
  <si>
    <t>Lombardo</t>
  </si>
  <si>
    <t>Carlo Mario</t>
  </si>
  <si>
    <t>Univs</t>
  </si>
  <si>
    <t>carlo.lombardi@unibs.it</t>
  </si>
  <si>
    <t>393383225230</t>
  </si>
  <si>
    <t>https://www.linkedin.com/in/lombardi-carlo-91137b8b/</t>
  </si>
  <si>
    <t>Medicina</t>
  </si>
  <si>
    <t>LNGLCU95B22B157U</t>
  </si>
  <si>
    <t>Longo</t>
  </si>
  <si>
    <t>Pirelli</t>
  </si>
  <si>
    <t>longo.luca95@gmail.com</t>
  </si>
  <si>
    <t>3332272154</t>
  </si>
  <si>
    <t>https://www.linkedin.com/in/luca-longo-24956618a/</t>
  </si>
  <si>
    <t>LRNLSU82T44B157Z</t>
  </si>
  <si>
    <t>Lorenzi</t>
  </si>
  <si>
    <t>PHD Student</t>
  </si>
  <si>
    <t>lorenziluisa@gmail.com</t>
  </si>
  <si>
    <t>3407642102</t>
  </si>
  <si>
    <t>https://www.linkedin.com/in/luisa-lorenzi-7b049798/</t>
  </si>
  <si>
    <t>LRNFLV93P23F704I</t>
  </si>
  <si>
    <t>Imprenditore e ingegnere software</t>
  </si>
  <si>
    <t>WeByte</t>
  </si>
  <si>
    <t>flavio.lorenzo1993@gmail.com</t>
  </si>
  <si>
    <t>393891669323</t>
  </si>
  <si>
    <t>www.linkedin.com/in/flavio-lorenzo</t>
  </si>
  <si>
    <t>23 Giugno 2022 10:10</t>
  </si>
  <si>
    <t>MCCPLA63A15B157W</t>
  </si>
  <si>
    <t>Macchini</t>
  </si>
  <si>
    <t>Paolo Giovanni</t>
  </si>
  <si>
    <t>0302511852</t>
  </si>
  <si>
    <t>macchini.paolo@gmail.com</t>
  </si>
  <si>
    <t>3401799665</t>
  </si>
  <si>
    <t>https://www.linkedin.com/in/paolo-macchini-3798abb8/</t>
  </si>
  <si>
    <t>MDDMRC90H11B157I</t>
  </si>
  <si>
    <t>Maddiona</t>
  </si>
  <si>
    <t>Sviluppatore software freelance</t>
  </si>
  <si>
    <t>marco.maddiona990@gmail.com</t>
  </si>
  <si>
    <t>393889410107</t>
  </si>
  <si>
    <t>https://www.linkedin.com/in/marco-maddiona-11001497/</t>
  </si>
  <si>
    <t>30 Maggio 2022 17:32</t>
  </si>
  <si>
    <t>Mstsrg77l26z133g</t>
  </si>
  <si>
    <t>Maestri</t>
  </si>
  <si>
    <t>Sergio</t>
  </si>
  <si>
    <t>Detusche bank sa</t>
  </si>
  <si>
    <t>Lussemburgo</t>
  </si>
  <si>
    <t>serhk@me.com</t>
  </si>
  <si>
    <t>352621731598</t>
  </si>
  <si>
    <t>https://www.linkedin.com/in/serovi</t>
  </si>
  <si>
    <t>Laurea economia 2001</t>
  </si>
  <si>
    <t>MFFMRS61E43B157D</t>
  </si>
  <si>
    <t>Maffetti</t>
  </si>
  <si>
    <t>Mariarosa</t>
  </si>
  <si>
    <t>mr.maffetti@studiomaffetti.it</t>
  </si>
  <si>
    <t>3939297648</t>
  </si>
  <si>
    <t>MGGGPP96R29B157O</t>
  </si>
  <si>
    <t>Maggi</t>
  </si>
  <si>
    <t>Giuseppe</t>
  </si>
  <si>
    <t>giuseppemaggi96@yahoo.it</t>
  </si>
  <si>
    <t>393661393114</t>
  </si>
  <si>
    <t>13 Giugno 2022 15:24</t>
  </si>
  <si>
    <t>Laurea Magistrale a Ciclo Unico in Medicina e Chirurgia, conseguita il 21/10/2021</t>
  </si>
  <si>
    <t>MGNLDS83H14Z611O</t>
  </si>
  <si>
    <t>Maguina Romero</t>
  </si>
  <si>
    <t>Alcides Milton</t>
  </si>
  <si>
    <t>Management engineer</t>
  </si>
  <si>
    <t>CepavDue</t>
  </si>
  <si>
    <t>loqui110@hotmail.com</t>
  </si>
  <si>
    <t>393299176811</t>
  </si>
  <si>
    <t>www.linkedin.com/in/milton-maguina-95a453157</t>
  </si>
  <si>
    <t>LM Ingegneria Gestionale, 2016</t>
  </si>
  <si>
    <t>MJRLSN56L67B157K</t>
  </si>
  <si>
    <t>Majorana</t>
  </si>
  <si>
    <t>Alessandra</t>
  </si>
  <si>
    <t>Professoressa Ordinaria Direttore Scuola di Specializzazione in Odontoiatria Pediatrica</t>
  </si>
  <si>
    <t>Università deli Studi di Brescia</t>
  </si>
  <si>
    <t>0303756120</t>
  </si>
  <si>
    <t>alessandra.majorana@unibs.it</t>
  </si>
  <si>
    <t>3389390475</t>
  </si>
  <si>
    <t>https://www.linkedin.com/in/prof-ssa-alessandra-majorana-9a314b52/</t>
  </si>
  <si>
    <t>MLGLRT69R08H598Z</t>
  </si>
  <si>
    <t>Malaguti</t>
  </si>
  <si>
    <t>Bonomi North America Inc.</t>
  </si>
  <si>
    <t>Clover SC 29710</t>
  </si>
  <si>
    <t>alb.malaguti@gmail.com</t>
  </si>
  <si>
    <t>18034126794</t>
  </si>
  <si>
    <t>https://www.linkedin.com/in/albertomalaguti15321564</t>
  </si>
  <si>
    <t>15 Agosto 2022 6:08</t>
  </si>
  <si>
    <t>Laurea in Economia e Commercio 12 luglio 1995</t>
  </si>
  <si>
    <t>MLDMRA85S50D150D</t>
  </si>
  <si>
    <t>Maldotti</t>
  </si>
  <si>
    <t>Ricercatore (RTDa)</t>
  </si>
  <si>
    <t>Università degli Studi di Torino</t>
  </si>
  <si>
    <t>Torino TO</t>
  </si>
  <si>
    <t>mmaldotti@gmail.com</t>
  </si>
  <si>
    <t>3333846125</t>
  </si>
  <si>
    <t>https://www.linkedin.com/in/mara-maldotti-145b33a9/</t>
  </si>
  <si>
    <t>MLNNCL97C15D434T</t>
  </si>
  <si>
    <t>Malnati</t>
  </si>
  <si>
    <t>R&amp;D CAD DEV JR Engineer</t>
  </si>
  <si>
    <t>3453227572</t>
  </si>
  <si>
    <t>nicola97malnati@live.it</t>
  </si>
  <si>
    <t>https://www.linkedin.com/in/nicola-malnati-74b402196/</t>
  </si>
  <si>
    <t>MNLMRA68H06B157D</t>
  </si>
  <si>
    <t>Manelli</t>
  </si>
  <si>
    <t>Mario</t>
  </si>
  <si>
    <t>Aftersales Group Manager</t>
  </si>
  <si>
    <t>3774909603</t>
  </si>
  <si>
    <t>mario.manelli@bonera.it</t>
  </si>
  <si>
    <t>https://www.linkedin.com/in/mario-manelli-19264b84/</t>
  </si>
  <si>
    <t>MNNMNL95R29C618G</t>
  </si>
  <si>
    <t>Manenti</t>
  </si>
  <si>
    <t>Cost Engineer</t>
  </si>
  <si>
    <t>Brembo S.p.A.</t>
  </si>
  <si>
    <t>e.manenti1995@gmail.it</t>
  </si>
  <si>
    <t>3348673187</t>
  </si>
  <si>
    <t>https://www.linkedin.com/in/emanuele-manenti/</t>
  </si>
  <si>
    <t>mnnfrc89a19b157k</t>
  </si>
  <si>
    <t>Laurea specialistica Marketing Management</t>
  </si>
  <si>
    <t>Commercial Partner</t>
  </si>
  <si>
    <t>Inser SpA</t>
  </si>
  <si>
    <t>Rovato</t>
  </si>
  <si>
    <t>393333879219</t>
  </si>
  <si>
    <t>Corso Bonomelli Silvio, 5</t>
  </si>
  <si>
    <t>18 Maggio 2022 17:28</t>
  </si>
  <si>
    <t>Laurea di II livello specializzazione, economia e commercio, conseguita a luglio 2016</t>
  </si>
  <si>
    <t>MNFSFN69A03D284P</t>
  </si>
  <si>
    <t>Manfrin</t>
  </si>
  <si>
    <t>Operations manager (experienced Supply chain, Lean, Manufacturing)</t>
  </si>
  <si>
    <t>stefanopacer69@gmail.com</t>
  </si>
  <si>
    <t>3485667337</t>
  </si>
  <si>
    <t>https://www.linkedin.com/in/stefano-manfrin-953652a9/</t>
  </si>
  <si>
    <t>MNGLSN81H13B149X</t>
  </si>
  <si>
    <t>Manganoni</t>
  </si>
  <si>
    <t>info@alessandromanganoni.it</t>
  </si>
  <si>
    <t>00393396366769</t>
  </si>
  <si>
    <t>MNGPLA84E25B157F</t>
  </si>
  <si>
    <t>Mangiarini</t>
  </si>
  <si>
    <t>Manager, Asset and Wealth Management Consulting - Luxembourg</t>
  </si>
  <si>
    <t>Alpha FMC</t>
  </si>
  <si>
    <t>paolo.mangiarini@gmail.com</t>
  </si>
  <si>
    <t>00352691845367</t>
  </si>
  <si>
    <t>https://www.linkedin.com/in/paolomangiarini/</t>
  </si>
  <si>
    <t>MNSMRC77P56B157F</t>
  </si>
  <si>
    <t>Manisera</t>
  </si>
  <si>
    <t>Marica</t>
  </si>
  <si>
    <t>Professoressa di seconda fascia in Statistica</t>
  </si>
  <si>
    <t>marica.manisera@unibs.it</t>
  </si>
  <si>
    <t>390302988673</t>
  </si>
  <si>
    <t>https://www.linkedin.com/in/marica-manisera-5b856643/</t>
  </si>
  <si>
    <t>Laurea in Economia Politica conseguita nel 2001 presso unibs, PhD in Statistica Metodologica ed Applicata conseguito nel 2005 presso unimib</t>
  </si>
  <si>
    <t>MRCFRC84B26G149W</t>
  </si>
  <si>
    <t>Marchesi</t>
  </si>
  <si>
    <t>Laurea Magistrale Ingegneria (2008); Executive MBA (2016)</t>
  </si>
  <si>
    <t>Global Supply Chain Director</t>
  </si>
  <si>
    <t>Brembo SpA</t>
  </si>
  <si>
    <t>fede.alexi@gmail.com</t>
  </si>
  <si>
    <t>393396506944</t>
  </si>
  <si>
    <t xml:space="preserve">federico-marchesi-297b4716
</t>
  </si>
  <si>
    <t>8 Aprile 2022 11:55</t>
  </si>
  <si>
    <t>MRCNRC79D15B157D</t>
  </si>
  <si>
    <t>Marchioni</t>
  </si>
  <si>
    <t>Enrico</t>
  </si>
  <si>
    <t>Ingegnere | Macchine Utensili &amp; Tecnologia di Produzione | executive MBA</t>
  </si>
  <si>
    <t>ing.enrico@marchioni.me</t>
  </si>
  <si>
    <t>3291965623</t>
  </si>
  <si>
    <t>https://www.linkedin.com/in/marchionienrico/</t>
  </si>
  <si>
    <t>MRCSFN88M22B157D</t>
  </si>
  <si>
    <t>Laurea Triennale, Ingegneria Informatica, 2015</t>
  </si>
  <si>
    <t>Full Stack Developer\Analyst</t>
  </si>
  <si>
    <t>MBB Open Solutions S.R.L.</t>
  </si>
  <si>
    <t>Rezzato</t>
  </si>
  <si>
    <t>marchioni.stefano88@gmail.com</t>
  </si>
  <si>
    <t>393200555014</t>
  </si>
  <si>
    <t>https://www.linkedin.com/in/stefano-marchioni-54541326/</t>
  </si>
  <si>
    <t>8 Aprile 2022 13:09</t>
  </si>
  <si>
    <t>MRNGLI93L69B157V</t>
  </si>
  <si>
    <t>Marini</t>
  </si>
  <si>
    <t>3386312912</t>
  </si>
  <si>
    <t>giuli-marini@hotmail.it</t>
  </si>
  <si>
    <t>MRNRRT95A24B157E</t>
  </si>
  <si>
    <t>Marniga</t>
  </si>
  <si>
    <t>Data Scientist - Quant</t>
  </si>
  <si>
    <t>Anima SGR</t>
  </si>
  <si>
    <t>roberto.marniga1@gmail.com</t>
  </si>
  <si>
    <t>393384018351</t>
  </si>
  <si>
    <t>https://www.linkedin.com/in/roberto-marniga/</t>
  </si>
  <si>
    <t>11 Aprile 2022 16:37</t>
  </si>
  <si>
    <t>Double Master Degree in Finance e Data Analytics</t>
  </si>
  <si>
    <t>MRLRRT54A14L840Q</t>
  </si>
  <si>
    <t>Maroldi</t>
  </si>
  <si>
    <t>Professore Ordinario di Radiologia</t>
  </si>
  <si>
    <t>abrescia</t>
  </si>
  <si>
    <t>roberto.maroldi@unibs.it</t>
  </si>
  <si>
    <t>3475940881</t>
  </si>
  <si>
    <t>MRPSFN72A20B157Y</t>
  </si>
  <si>
    <t>Marpicati</t>
  </si>
  <si>
    <t>Production Manager, Purchasing Manager</t>
  </si>
  <si>
    <t>ELCA SRL</t>
  </si>
  <si>
    <t>stefano@marpicati.it</t>
  </si>
  <si>
    <t>3470669556</t>
  </si>
  <si>
    <t>https://www.linkedin.com/in/stefanomarpicati/</t>
  </si>
  <si>
    <t>MSCSFN97P20C800L</t>
  </si>
  <si>
    <t>Mascarino</t>
  </si>
  <si>
    <t>Sovere</t>
  </si>
  <si>
    <t>stefanomascarino@gmail.com</t>
  </si>
  <si>
    <t>393450373503</t>
  </si>
  <si>
    <t>10 Aprile 2022 7:10</t>
  </si>
  <si>
    <t>Laurea Magistrale in Management - Curriculum: Finanza</t>
  </si>
  <si>
    <t>MSLNDR92E07D150F</t>
  </si>
  <si>
    <t>Maselli</t>
  </si>
  <si>
    <t>andreamaselli@hotmail.com</t>
  </si>
  <si>
    <t>393346148078</t>
  </si>
  <si>
    <t>linkedin.com/in/andreamaselli1992</t>
  </si>
  <si>
    <t>Laurea Magistrale in “Moneta, Finanza &amp; Risk Management”</t>
  </si>
  <si>
    <t>MSSMNL71E02B157Q</t>
  </si>
  <si>
    <t>Massardi</t>
  </si>
  <si>
    <t>Manuel</t>
  </si>
  <si>
    <t>CEO @ In.Ar. Technology Srl | MBD + Sales &amp; Marketing Director @ Iotready Srl | MEP Specialist</t>
  </si>
  <si>
    <t>In.Ar. Technology Srl</t>
  </si>
  <si>
    <t>manuel.massardi@gmail.com</t>
  </si>
  <si>
    <t>3382005132</t>
  </si>
  <si>
    <t>https://www.linkedin.com/in/manuel-massardi-3381a94/</t>
  </si>
  <si>
    <t>MTRNCL87P06B157L</t>
  </si>
  <si>
    <t>Materzanini</t>
  </si>
  <si>
    <t>Laurea Magistrale in Management e Marketing</t>
  </si>
  <si>
    <t>nicola.materzanini@gmail.com</t>
  </si>
  <si>
    <t>393402668224</t>
  </si>
  <si>
    <t>https://www.linkedin.com/in/nicola-materzanini-10193b70/</t>
  </si>
  <si>
    <t>8 Aprile 2022 16:17</t>
  </si>
  <si>
    <t>MZZGLN86P03A089Y</t>
  </si>
  <si>
    <t>MAZZA</t>
  </si>
  <si>
    <t>Gerlando</t>
  </si>
  <si>
    <t>Avvocato penalista del foro di BRESCIA</t>
  </si>
  <si>
    <t>gerlandomazza.gm@gmail.com</t>
  </si>
  <si>
    <t>393423960382</t>
  </si>
  <si>
    <t>https://www.linkedin.com/in/gerlandomazza/</t>
  </si>
  <si>
    <t>14 Maggio 2022 12:07</t>
  </si>
  <si>
    <t>11/10/2016 Laurea Magistrale in Giurisprudenza voto: 110/110 con Lode</t>
  </si>
  <si>
    <t>MZZLSN94L44B1R7X</t>
  </si>
  <si>
    <t>Mazzola</t>
  </si>
  <si>
    <t xml:space="preserve">Prof. a contratto corso diverso da ufficiale </t>
  </si>
  <si>
    <t>Dipartimento di Economia e Management</t>
  </si>
  <si>
    <t>alessandra.mazzola@unibs.it</t>
  </si>
  <si>
    <t>3389903129</t>
  </si>
  <si>
    <t>MZZLLR91T49B157A</t>
  </si>
  <si>
    <t>Mazzoldi</t>
  </si>
  <si>
    <t>Elena Laura</t>
  </si>
  <si>
    <t>Borsista</t>
  </si>
  <si>
    <t>Istituto Oncologico Veneto IOV - IRCCS</t>
  </si>
  <si>
    <t>Travagliato BS</t>
  </si>
  <si>
    <t>elena.mazzoldi@unibs.it</t>
  </si>
  <si>
    <t>3201614814</t>
  </si>
  <si>
    <t>https://www.linkedin.com/in/elena-laura-mazzoldi-ba5133b8/</t>
  </si>
  <si>
    <t>MZZGNN61H49B157E</t>
  </si>
  <si>
    <t>Mazzoleni</t>
  </si>
  <si>
    <t>Giovanna</t>
  </si>
  <si>
    <t>Professore Associato</t>
  </si>
  <si>
    <t>Università Studi di Brescia</t>
  </si>
  <si>
    <t>giovanna.mazzoleni@unibs.it</t>
  </si>
  <si>
    <t>393441330224</t>
  </si>
  <si>
    <t>https://www.linkedin.com/in/giovanna-mazzoleni-11501612</t>
  </si>
  <si>
    <t>MZZFRC96A01D434D</t>
  </si>
  <si>
    <t>Mazzoli</t>
  </si>
  <si>
    <t>PhD Student in Electronics Engineering, Sensors and Instrumentation</t>
  </si>
  <si>
    <t>f.mazzoli002@unibs.it</t>
  </si>
  <si>
    <t>3331272335</t>
  </si>
  <si>
    <t>https://www.linkedin.com/in/federico-mazzoli/</t>
  </si>
  <si>
    <t>MZZMNL89M30B157A</t>
  </si>
  <si>
    <t>Mazzuca</t>
  </si>
  <si>
    <t>Responsabile Solutions Consulting &amp; Market Expansion South Europe</t>
  </si>
  <si>
    <t>Hootsuite Inc.</t>
  </si>
  <si>
    <t>emanuele.mazzuca@gmail.com</t>
  </si>
  <si>
    <t>393298996478</t>
  </si>
  <si>
    <t>https://www.linkedin.com/in/emanuelemazzuca/</t>
  </si>
  <si>
    <t>Laurea II Livello</t>
  </si>
  <si>
    <t>MDGDNL96E16D940V</t>
  </si>
  <si>
    <t>Medaglia</t>
  </si>
  <si>
    <t>Process engineer</t>
  </si>
  <si>
    <t>Streparava S.p.A.</t>
  </si>
  <si>
    <t>3349777137</t>
  </si>
  <si>
    <t>medagliadaniele@gmail.com</t>
  </si>
  <si>
    <t>https://www.linkedin.com/in/danielemedaglia/</t>
  </si>
  <si>
    <t>MHMTHR85P06Z236E</t>
  </si>
  <si>
    <t>Mehmood</t>
  </si>
  <si>
    <t>Tahir</t>
  </si>
  <si>
    <t>tahirmehmood.mrd@gmail.com</t>
  </si>
  <si>
    <t>Dottore di Ricerca in Ingegneria dell'Informazione (XXXIII ciclo)</t>
  </si>
  <si>
    <t>MRGMRA96D29B157U</t>
  </si>
  <si>
    <t>Mereghetti</t>
  </si>
  <si>
    <t>mario.mereghetti@gmail.com</t>
  </si>
  <si>
    <t>393395602430</t>
  </si>
  <si>
    <t>10 Giugno 2022 15:08</t>
  </si>
  <si>
    <t>Laurea Triennale in Economia e Gestione Aziendale in data 27/03/2020</t>
  </si>
  <si>
    <t>MRCNDR96R18B157Z</t>
  </si>
  <si>
    <t>Merici</t>
  </si>
  <si>
    <t>a.merici001@studenti.unibs.it</t>
  </si>
  <si>
    <t>+39 3803423216</t>
  </si>
  <si>
    <t>MLNLCU79D19A944S</t>
  </si>
  <si>
    <t>Milani</t>
  </si>
  <si>
    <t>Laurea Vecchio Ordinamento Ingegneria dei Materiali, 2007</t>
  </si>
  <si>
    <t>Technical Sales Manager</t>
  </si>
  <si>
    <t>Vesuvius</t>
  </si>
  <si>
    <t>luca.milani@gmail.com</t>
  </si>
  <si>
    <t>393468468937</t>
  </si>
  <si>
    <t>https://www.linkedin.com/in/luca-milani-70059715?</t>
  </si>
  <si>
    <t>8 Aprile 2022 19:07</t>
  </si>
  <si>
    <t>MLNPLA94P05B157C</t>
  </si>
  <si>
    <t>Milini</t>
  </si>
  <si>
    <t>IT Consultant</t>
  </si>
  <si>
    <t>LightOne</t>
  </si>
  <si>
    <t>paolomilini1994@gmail.com</t>
  </si>
  <si>
    <t>+393335462398</t>
  </si>
  <si>
    <t>https://www.linkedin.com/in/paolomilini/</t>
  </si>
  <si>
    <t>MNLMTT96M15B157G</t>
  </si>
  <si>
    <t>Minelli</t>
  </si>
  <si>
    <t>Progettista Software</t>
  </si>
  <si>
    <t>Dinema</t>
  </si>
  <si>
    <t>mattia.minelli3@gmail.com</t>
  </si>
  <si>
    <t>393382212147</t>
  </si>
  <si>
    <t>https://www.linkedin.com/in/mattia-minelli-3a48111b5</t>
  </si>
  <si>
    <t>MCKGZL95M46B157S</t>
  </si>
  <si>
    <t>Mocka</t>
  </si>
  <si>
    <t>Graziella</t>
  </si>
  <si>
    <t>Sales Support | Graduated in Green Economy and Sustainability</t>
  </si>
  <si>
    <t>graziellamocka95@hotmail.it</t>
  </si>
  <si>
    <t>3897841261</t>
  </si>
  <si>
    <t>https://www.linkedin.com/in/graziella-mocka-97748ba0/</t>
  </si>
  <si>
    <t>MLNLCU96R29D434L</t>
  </si>
  <si>
    <t>Molinari</t>
  </si>
  <si>
    <t>Junior Analyst</t>
  </si>
  <si>
    <t>CO'S'TA - Consulenza Strategia Talenti</t>
  </si>
  <si>
    <t>molinari.luca@outlook.it</t>
  </si>
  <si>
    <t>3881224226</t>
  </si>
  <si>
    <t>https://www.linkedin.com/in/molinari-luca/</t>
  </si>
  <si>
    <t>Mmbfnc85h24e884t</t>
  </si>
  <si>
    <t>Mombelli</t>
  </si>
  <si>
    <t>Impiegato tecnico</t>
  </si>
  <si>
    <t>Cembre spa</t>
  </si>
  <si>
    <t>Castenedolo</t>
  </si>
  <si>
    <t>f.mombelli@alice.it</t>
  </si>
  <si>
    <t>393896775789</t>
  </si>
  <si>
    <t>https://www.linkedin.com/in/francesco-mombelli-72631192</t>
  </si>
  <si>
    <t>8 Aprile 2022 13:25</t>
  </si>
  <si>
    <t>mncdns84d08h163q</t>
  </si>
  <si>
    <t>Monaco</t>
  </si>
  <si>
    <t>Denis</t>
  </si>
  <si>
    <t>Digital Solution IA/RPA - Co-Lead CoC HyperAutomation - Manager Financial Services</t>
  </si>
  <si>
    <t>Capgemini Italia</t>
  </si>
  <si>
    <t>denismonaco@hotmail.it</t>
  </si>
  <si>
    <t>393206051685</t>
  </si>
  <si>
    <t>https://www.linkedin.com/in/denis-monaco-0484a160/</t>
  </si>
  <si>
    <t>8 Aprile 2022 11:37</t>
  </si>
  <si>
    <t>MNDNCL81P29B157G</t>
  </si>
  <si>
    <t>Mondinelli</t>
  </si>
  <si>
    <t>Scao Informatica 🚀 l'innovazione fatta bene e a misura di industria, #SmartFactory da prima dell'hype</t>
  </si>
  <si>
    <t>3281552387</t>
  </si>
  <si>
    <t>nicola.mondinelli@gmail.com</t>
  </si>
  <si>
    <t>https://www.linkedin.com/in/nicola-mondinelli/</t>
  </si>
  <si>
    <t>MNTSLV95P63B157X</t>
  </si>
  <si>
    <t>Montanari</t>
  </si>
  <si>
    <t>Non assegnato</t>
  </si>
  <si>
    <t>Diritto allo studio e Post Laurea</t>
  </si>
  <si>
    <t>3385801103</t>
  </si>
  <si>
    <t>s.montanari008@studenti.unibs.it</t>
  </si>
  <si>
    <t>https://www.linkedin.com/in/silvia-montanari/</t>
  </si>
  <si>
    <t>MNTCRS75M09I441Z</t>
  </si>
  <si>
    <t>Montani</t>
  </si>
  <si>
    <t>Christian</t>
  </si>
  <si>
    <t>Ingegnere e SAFETY AMBASSADOR. EHS Manager e RSPP, CTU presso Tribunale Brescia, Covid Manager, Lead Auditor per Sistemi di Gestione, Formatore e Safety Coach, Membro di Organismi di Vigilanza e Controllo ex D.Lgs. 231.</t>
  </si>
  <si>
    <t>Tribunale di Brescia</t>
  </si>
  <si>
    <t>3485613737</t>
  </si>
  <si>
    <t>https://www.linkedin.com/in/ingchristianmontani/</t>
  </si>
  <si>
    <t>MNTPLG70C22B157S</t>
  </si>
  <si>
    <t>Monticelli</t>
  </si>
  <si>
    <t>Regional Sales Manager, Middle East and Americas</t>
  </si>
  <si>
    <t>Comelit Group S.p.A.</t>
  </si>
  <si>
    <t>pierluigi.monticelli@gmail.com</t>
  </si>
  <si>
    <t>3356155420</t>
  </si>
  <si>
    <t>https://www.linkedin.com/in/pierluigimonticelli/\</t>
  </si>
  <si>
    <t>Mntndr72b25b157j</t>
  </si>
  <si>
    <t>Montuschi</t>
  </si>
  <si>
    <t>Employee Experience Strategist</t>
  </si>
  <si>
    <t>Qualtrics</t>
  </si>
  <si>
    <t>montuschi.eu@gmail.com</t>
  </si>
  <si>
    <t>393465018053</t>
  </si>
  <si>
    <t>https://www.linkedin.com/in/andreamontuschi</t>
  </si>
  <si>
    <t>Laura vecchio ordinamento</t>
  </si>
  <si>
    <t>wsmdrd84s18z611m</t>
  </si>
  <si>
    <t>Morales Bermudez</t>
  </si>
  <si>
    <t>Eduardo Wiese</t>
  </si>
  <si>
    <t>Aula Masgistrale in "Communication technologies and multimedia"</t>
  </si>
  <si>
    <t>Software Engineer</t>
  </si>
  <si>
    <t>TxT e-Solutions</t>
  </si>
  <si>
    <t>Legnano</t>
  </si>
  <si>
    <t>Peru</t>
  </si>
  <si>
    <t>edu.wiese@gmail.com</t>
  </si>
  <si>
    <t>393896175739</t>
  </si>
  <si>
    <t>https://www.linkedin.com/in/eduwiese/</t>
  </si>
  <si>
    <t>8 Aprile 2022 10:55</t>
  </si>
  <si>
    <t>MROGNN93D06D918T</t>
  </si>
  <si>
    <t>Mori</t>
  </si>
  <si>
    <t>Energy Engineer / Sustainability Consultant / Fridays for Future Activist</t>
  </si>
  <si>
    <t>Caino</t>
  </si>
  <si>
    <t>giovanni.mori2323@gmail.com</t>
  </si>
  <si>
    <t>393351463895</t>
  </si>
  <si>
    <t>https://www.linkedin.com/in/giovanni-mori-energy/</t>
  </si>
  <si>
    <t>MRNCSR71B23F839F</t>
  </si>
  <si>
    <t>Moroni</t>
  </si>
  <si>
    <t>Cesare</t>
  </si>
  <si>
    <t>S2E Sprint SRL</t>
  </si>
  <si>
    <t>Cazzago San Martino</t>
  </si>
  <si>
    <t>cesare.moroni@gmail.com</t>
  </si>
  <si>
    <t>393347051500</t>
  </si>
  <si>
    <t>https://www.linkedin.com/in/cesare-moroni</t>
  </si>
  <si>
    <t>4 Maggio 2022 16:58</t>
  </si>
  <si>
    <t>Laurea in Economia e Commercio vecchio ordinamento, indirizzo Economia Bancaria, conseguita nel 1999</t>
  </si>
  <si>
    <t>MRZMHL95P29B157R</t>
  </si>
  <si>
    <t>Morzenti</t>
  </si>
  <si>
    <t>Laurea in Economia e gestione aziendale L-18</t>
  </si>
  <si>
    <t>Lombardia</t>
  </si>
  <si>
    <t>Merck Group</t>
  </si>
  <si>
    <t>michele.morzenti@gmail.com</t>
  </si>
  <si>
    <t>393382700174</t>
  </si>
  <si>
    <t>https://www.linkedin.com/in/michelemorzenti</t>
  </si>
  <si>
    <t>MSCNGL85C25D284T</t>
  </si>
  <si>
    <t>Mosca</t>
  </si>
  <si>
    <t>MONTICHIARI</t>
  </si>
  <si>
    <t>angelo.mosca.25@gmail.com</t>
  </si>
  <si>
    <t>https://www.linkedin.com/in/angelo-mosca-csr/</t>
  </si>
  <si>
    <t>26 Maggio 2022 9:03</t>
  </si>
  <si>
    <t>LAUREA SPECIALISTICA GENERAL MANAGEMENT, 2011</t>
  </si>
  <si>
    <t>MSCNTN93T15B157A</t>
  </si>
  <si>
    <t>Moscardi</t>
  </si>
  <si>
    <t>Design Project Manager</t>
  </si>
  <si>
    <t>studiOmega</t>
  </si>
  <si>
    <t>3931883190</t>
  </si>
  <si>
    <t>antonio.moscardi93@gmail.com</t>
  </si>
  <si>
    <t>https://www.linkedin.com/in/antonio-moscardi/</t>
  </si>
  <si>
    <t>MRTMTT97B05E884T</t>
  </si>
  <si>
    <t>Muratore</t>
  </si>
  <si>
    <t>Marketing Specialist</t>
  </si>
  <si>
    <t>ADD Group</t>
  </si>
  <si>
    <t>muratorematteo.mm@gmail.com</t>
  </si>
  <si>
    <t>3318623814</t>
  </si>
  <si>
    <t>https://www.linkedin.com/in/matteo-muratore/</t>
  </si>
  <si>
    <t>NRDSRA98C49D918R</t>
  </si>
  <si>
    <t>NARDI</t>
  </si>
  <si>
    <t>SARA</t>
  </si>
  <si>
    <t>Ingegnere civile</t>
  </si>
  <si>
    <t>impresa Edile Baratti</t>
  </si>
  <si>
    <t>3318781499</t>
  </si>
  <si>
    <t>https://www.linkedin.com/in/sara-nardi-01445a144/</t>
  </si>
  <si>
    <t>NZRVLY95B48Z138Q</t>
  </si>
  <si>
    <t>Nazaruk</t>
  </si>
  <si>
    <t>Vitaliya</t>
  </si>
  <si>
    <t>vitalianazaruk95@gmail.com</t>
  </si>
  <si>
    <t>393804694596</t>
  </si>
  <si>
    <t>https://www.linkedin.com/in/vitalia-nazaruk-a28b141a0/</t>
  </si>
  <si>
    <t>NCRGGN91D50Z129R</t>
  </si>
  <si>
    <t>Necoara</t>
  </si>
  <si>
    <t>Georgiana</t>
  </si>
  <si>
    <t>Nuvolera</t>
  </si>
  <si>
    <t>georgiana.necoara01@gmail.com</t>
  </si>
  <si>
    <t>393207442386</t>
  </si>
  <si>
    <t>8 Aprile 2022 14:03</t>
  </si>
  <si>
    <t>NGYHGD93T21Z251U</t>
  </si>
  <si>
    <t>Nguyen</t>
  </si>
  <si>
    <t>Hoang Duong</t>
  </si>
  <si>
    <t>People Planning Specialist</t>
  </si>
  <si>
    <t>Ikea Italia Retail SRL</t>
  </si>
  <si>
    <t>hoangduong2112@gmail.com</t>
  </si>
  <si>
    <t>393892549953</t>
  </si>
  <si>
    <t>www.linkedin.com/in/hoang-nguyen-83587b169</t>
  </si>
  <si>
    <t>3 Luglio 2022 10:46</t>
  </si>
  <si>
    <t>Laurea magistrale in Management, LM-77 scienze economico - aziendali. 20/12/2018</t>
  </si>
  <si>
    <t>nllndr75m09b157a</t>
  </si>
  <si>
    <t>nolli</t>
  </si>
  <si>
    <t>andrea</t>
  </si>
  <si>
    <t>Socio fondatore e managing partener</t>
  </si>
  <si>
    <t>Studio Nolli e Associati</t>
  </si>
  <si>
    <t>a.nolli@studionolli.com</t>
  </si>
  <si>
    <t>393397108845</t>
  </si>
  <si>
    <t>https://www.linkedin.com/in/andrea-nolli-13244617?lipi=urnlipaged_flagship3_profile_view_base_contact_detailspLpisOW4TWiVvdldY8R2A</t>
  </si>
  <si>
    <t>8 Aprile 2022 12:21</t>
  </si>
  <si>
    <t>NRSNDR91H07B157J</t>
  </si>
  <si>
    <t>Noris</t>
  </si>
  <si>
    <t>Dottore Commercialista e Revisore Legale - Audit Manager</t>
  </si>
  <si>
    <t>EY</t>
  </si>
  <si>
    <t>andreanoris91@gmail.com</t>
  </si>
  <si>
    <t>3384141461</t>
  </si>
  <si>
    <t>https://www.linkedin.com/in/andrea-noris-301393114/</t>
  </si>
  <si>
    <t>BRTLSE96S43A794N</t>
  </si>
  <si>
    <t>Oberti</t>
  </si>
  <si>
    <t>Dott.ssa</t>
  </si>
  <si>
    <t>Treviolo</t>
  </si>
  <si>
    <t>obertielisa1@gmail.com</t>
  </si>
  <si>
    <t>elisa-oberti</t>
  </si>
  <si>
    <t>13 Giugno 2022 8:53</t>
  </si>
  <si>
    <t>Laurea Magistrale a ciclo unico, Medicina e Chirurgia, 22/10/2021</t>
  </si>
  <si>
    <t>DLLNGL89T18B157Q</t>
  </si>
  <si>
    <t>Odelli</t>
  </si>
  <si>
    <t>Account Executive</t>
  </si>
  <si>
    <t>Salesforce.com</t>
  </si>
  <si>
    <t>angelo.odelli@gmail.com</t>
  </si>
  <si>
    <t>393349467825</t>
  </si>
  <si>
    <t>https://it.linkedin.com/in/angeloodelli</t>
  </si>
  <si>
    <t>26 Aprile 2022 19:39</t>
  </si>
  <si>
    <t>Laurea Magistrale, Ingegneria Gestionale, 2016</t>
  </si>
  <si>
    <t>Olivetti</t>
  </si>
  <si>
    <t>Desenzano d.g.</t>
  </si>
  <si>
    <t>erminia.olivetti@yahoo.it</t>
  </si>
  <si>
    <t>+393381553583</t>
  </si>
  <si>
    <t>ROILRT84E21B157G</t>
  </si>
  <si>
    <t>ORI</t>
  </si>
  <si>
    <t>ALBERTO</t>
  </si>
  <si>
    <t>LAUREA MAGISTRALE</t>
  </si>
  <si>
    <t>DOTTORE COMMERCIALISTA E REVISORE LEGALE</t>
  </si>
  <si>
    <t>STUDIO COSSU E ASSOCIATI</t>
  </si>
  <si>
    <t>MANERBIO</t>
  </si>
  <si>
    <t>a.ori@studiocossu.it</t>
  </si>
  <si>
    <t>393334414578</t>
  </si>
  <si>
    <t>10 Aprile 2022 14:00</t>
  </si>
  <si>
    <t>SGOGHS93D10Z335V</t>
  </si>
  <si>
    <t>Osagie</t>
  </si>
  <si>
    <t>Oghosa</t>
  </si>
  <si>
    <t>Magistrando</t>
  </si>
  <si>
    <t>Nigeriana</t>
  </si>
  <si>
    <t>osagieoghosa@gmail.com</t>
  </si>
  <si>
    <t>3713212141</t>
  </si>
  <si>
    <t>https://www.linkedin.com/in/profilepageoghosa/</t>
  </si>
  <si>
    <t>TTLDNL97R06D918K</t>
  </si>
  <si>
    <t>OTTELLI</t>
  </si>
  <si>
    <t>DANIELE</t>
  </si>
  <si>
    <t>Founder</t>
  </si>
  <si>
    <t>www.digitalstudent.it</t>
  </si>
  <si>
    <t>+393664747852</t>
  </si>
  <si>
    <t>danielematix67@gmail.com</t>
  </si>
  <si>
    <t>https://www.linkedin.com/in/daniele-ottelli/</t>
  </si>
  <si>
    <t>Hbomra89l50z330t</t>
  </si>
  <si>
    <t>Ouahbi</t>
  </si>
  <si>
    <t>Responsabile logistico</t>
  </si>
  <si>
    <t>Lilla spa</t>
  </si>
  <si>
    <t>maria.ouahbi@hotmail.com</t>
  </si>
  <si>
    <t>393804775914</t>
  </si>
  <si>
    <t>https://www.linkedin.com/in/maria-ouahbi-3a4b7345/</t>
  </si>
  <si>
    <t>LLOZZA89T58I849K</t>
  </si>
  <si>
    <t>OUALLI</t>
  </si>
  <si>
    <t>AZIZA</t>
  </si>
  <si>
    <t>Laureato</t>
  </si>
  <si>
    <t>misslablive@gmail.com</t>
  </si>
  <si>
    <t>3482107418</t>
  </si>
  <si>
    <t>https://www.linkedin.com/in/aziza-oualli-749248221/</t>
  </si>
  <si>
    <t>PGNCRD62H14F952S</t>
  </si>
  <si>
    <t>Paganelli</t>
  </si>
  <si>
    <t>Corrado</t>
  </si>
  <si>
    <t>presidente corso di laurea di odontoiatria Board chair di IFDEA - past president di ADEE -CECDO</t>
  </si>
  <si>
    <t>335293501</t>
  </si>
  <si>
    <t>corrado.paganelli@unibs.it</t>
  </si>
  <si>
    <t>https://www.linkedin.com/in/corrado-paganelli-bb568413/</t>
  </si>
  <si>
    <t>PGNLSN85M30C618S</t>
  </si>
  <si>
    <t>Pagani</t>
  </si>
  <si>
    <t>alessandro.messaggio@libero.it</t>
  </si>
  <si>
    <t>3333557686</t>
  </si>
  <si>
    <t>https://www.linkedin.com/in/alessandro-pagani-bb372a129/</t>
  </si>
  <si>
    <t>PGNCLD95R65E507V</t>
  </si>
  <si>
    <t>Dottoressa</t>
  </si>
  <si>
    <t>Lecco</t>
  </si>
  <si>
    <t>claudiapaganj@gmail.com</t>
  </si>
  <si>
    <t>393333943378</t>
  </si>
  <si>
    <t>22 Giugno 2022 11:33</t>
  </si>
  <si>
    <t>Laurea in Medicina e Chirurgia (17/03/2022)</t>
  </si>
  <si>
    <t>pglsfn73r26b157v</t>
  </si>
  <si>
    <t>pagliarini</t>
  </si>
  <si>
    <t>stefano</t>
  </si>
  <si>
    <t>ing</t>
  </si>
  <si>
    <t>socio amministratore</t>
  </si>
  <si>
    <t>regesta spa</t>
  </si>
  <si>
    <t>Padenghe Sul Garda</t>
  </si>
  <si>
    <t>spagliarini@gmail.com</t>
  </si>
  <si>
    <t>393288879501</t>
  </si>
  <si>
    <t>https://www.linkedin.com/in/stefano-pagliarini/</t>
  </si>
  <si>
    <t>14 Luglio 2022 10:28</t>
  </si>
  <si>
    <t>PCCFNC88M62A246N</t>
  </si>
  <si>
    <t>Paiocchi</t>
  </si>
  <si>
    <t>Laurea in Odontoiatria e Protesi Dentaria e Specializzazione in Ortognatodonzia</t>
  </si>
  <si>
    <t>Concesio (BS)</t>
  </si>
  <si>
    <t>paiocchi.francesca@gmail.com</t>
  </si>
  <si>
    <t>https://www.linkedin.com/in/francesca-paiocchi-60aa4388/</t>
  </si>
  <si>
    <t>9 Aprile 2022 9:26</t>
  </si>
  <si>
    <t>PLMCCT89H60D960L</t>
  </si>
  <si>
    <t>Palmieri</t>
  </si>
  <si>
    <t>Concetta Jessica</t>
  </si>
  <si>
    <t>Dottore commercialista ed esperto contabile</t>
  </si>
  <si>
    <t>STUDIO COMMERCIALISTA</t>
  </si>
  <si>
    <t>jeolaxx89@hotmail.it</t>
  </si>
  <si>
    <t>3333977193</t>
  </si>
  <si>
    <t>https://www.linkedin.com/in/jessica-palmieri-869440115/</t>
  </si>
  <si>
    <t>PLMLSN91S14L781S</t>
  </si>
  <si>
    <t>Palumbo</t>
  </si>
  <si>
    <t>Laurea Triennale in Banca e Finanza (Conseguimento nel 2015)</t>
  </si>
  <si>
    <t>Lugano</t>
  </si>
  <si>
    <t>Switzerland</t>
  </si>
  <si>
    <t>a.palumbo001@gmail.com</t>
  </si>
  <si>
    <t>393498529639</t>
  </si>
  <si>
    <t>https://www.linkedin.com/in/alessandropalumbo001/</t>
  </si>
  <si>
    <t>8 Aprile 2022 14:37</t>
  </si>
  <si>
    <t>PLMRRT63T14F205L</t>
  </si>
  <si>
    <t>info@ing4tech.it</t>
  </si>
  <si>
    <t>3356602624</t>
  </si>
  <si>
    <t>https://www.linkedin.com/in/roberto-palumbo-390a9360/</t>
  </si>
  <si>
    <t>PNDSMN96H11A470E</t>
  </si>
  <si>
    <t>Panada</t>
  </si>
  <si>
    <t>Volongo</t>
  </si>
  <si>
    <t>simone.panada@hotmail.com</t>
  </si>
  <si>
    <t>393275498631</t>
  </si>
  <si>
    <t>https://www.linkedin.com/in/simone-panada-b9b05474</t>
  </si>
  <si>
    <t>12 Giugno 2022 11:59</t>
  </si>
  <si>
    <t>Project manager</t>
  </si>
  <si>
    <t>Tiesse Robot</t>
  </si>
  <si>
    <t>Laurea Magistrale in Ingegneria dell'Automazione Industriale, conseguita il 22/03/2022</t>
  </si>
  <si>
    <t>PNZMRK90C29B157L</t>
  </si>
  <si>
    <t>Panzeri</t>
  </si>
  <si>
    <t>Categoria C - Area amministrativa</t>
  </si>
  <si>
    <t>Scuole di Specializzazione</t>
  </si>
  <si>
    <t>mirkopanzeri@libero.it</t>
  </si>
  <si>
    <t>3201567718</t>
  </si>
  <si>
    <t>PPRMHL89R09C618E</t>
  </si>
  <si>
    <t>Paparusso</t>
  </si>
  <si>
    <t>Process&amp;Product Quality Engineer</t>
  </si>
  <si>
    <t>Oldrati Group</t>
  </si>
  <si>
    <t>paparusso.mic@gmail.com</t>
  </si>
  <si>
    <t>3475528305</t>
  </si>
  <si>
    <t>https://www.linkedin.com/in/michele-paparusso-740a38b4/</t>
  </si>
  <si>
    <t>PSTNDR84B22B157V</t>
  </si>
  <si>
    <t>Pasetto</t>
  </si>
  <si>
    <t>ea.pase@gmail.com</t>
  </si>
  <si>
    <t>39348232524</t>
  </si>
  <si>
    <t>13 Aprile 2022 10:15</t>
  </si>
  <si>
    <t>Laurea specialistica in Ingegneria Edile - Architettura, 21/03/2011</t>
  </si>
  <si>
    <t>PSNSMN85M06B157O</t>
  </si>
  <si>
    <t>Pasinetti</t>
  </si>
  <si>
    <t>Ricercatore di Misure Meccaniche e Termiche</t>
  </si>
  <si>
    <t>simone.pasinetti@gmail.com</t>
  </si>
  <si>
    <t>3462285926</t>
  </si>
  <si>
    <t>https://www.linkedin.com/in/simone-pasinetti-963b4667/</t>
  </si>
  <si>
    <t>PSLGNG93P62B157O</t>
  </si>
  <si>
    <t>Pasolini</t>
  </si>
  <si>
    <t>Angiolina</t>
  </si>
  <si>
    <t>g.pasolini005@unibs.it</t>
  </si>
  <si>
    <t>3348974001</t>
  </si>
  <si>
    <t>laureato/a unibs + scuola specializzazione in corso</t>
  </si>
  <si>
    <t>PSLMSM65E06G149G</t>
  </si>
  <si>
    <t>Massimo Ottorino</t>
  </si>
  <si>
    <t>Siecom Energia</t>
  </si>
  <si>
    <t>mpasolini1@gmail.com</t>
  </si>
  <si>
    <t>3200597790</t>
  </si>
  <si>
    <t>https://www.linkedin.com/in/massimo-pasolini-81120872/</t>
  </si>
  <si>
    <t>PSTCLD73M11B157C</t>
  </si>
  <si>
    <t>Pasotti</t>
  </si>
  <si>
    <t>Direttore amministrativo</t>
  </si>
  <si>
    <t>claudiopasotti@outlook.it</t>
  </si>
  <si>
    <t>3288796018</t>
  </si>
  <si>
    <t>https://www.linkedin.com/in/claudio-p-5b2ab31a6/P</t>
  </si>
  <si>
    <t>PSTNCL86T29E884K</t>
  </si>
  <si>
    <t>Pasturi</t>
  </si>
  <si>
    <t>Laurea Specialistica in Moneta Finanza e Risk Management, 05/07/2010</t>
  </si>
  <si>
    <t>Credit Risk Expert</t>
  </si>
  <si>
    <t>nicola.pasturi@live.it</t>
  </si>
  <si>
    <t>393402252156</t>
  </si>
  <si>
    <t>www.linkedin.com/in/nicolapasturi</t>
  </si>
  <si>
    <t>8 Aprile 2022 23:02</t>
  </si>
  <si>
    <t>PVSFPP83S04F205V</t>
  </si>
  <si>
    <t>Pavesi</t>
  </si>
  <si>
    <t>Filippo Carlo</t>
  </si>
  <si>
    <t>fcpavesi@gmail.com</t>
  </si>
  <si>
    <t>3471600382</t>
  </si>
  <si>
    <t>https://www.linkedin.com/in/filippo-carlo-pavesi-0241b65a/</t>
  </si>
  <si>
    <t>PXALSN89H27B157U</t>
  </si>
  <si>
    <t>Paxia</t>
  </si>
  <si>
    <t>Ingegnere meccanico</t>
  </si>
  <si>
    <t>Vgv srl</t>
  </si>
  <si>
    <t>3396795785</t>
  </si>
  <si>
    <t>paxia.alessandro@gmail.com</t>
  </si>
  <si>
    <t>https://www.linkedin.com/in/alessandro-paxia-344aa9166/</t>
  </si>
  <si>
    <t>PDRFLC89R04B149S</t>
  </si>
  <si>
    <t>Pedersoli</t>
  </si>
  <si>
    <t>Felice</t>
  </si>
  <si>
    <t>Logistics Processes Planning &amp; Control</t>
  </si>
  <si>
    <t>Ferrarelle SpA</t>
  </si>
  <si>
    <t>Darfo Boario T. BS</t>
  </si>
  <si>
    <t>f.pedersoli005@unibs.it</t>
  </si>
  <si>
    <t>3386696894</t>
  </si>
  <si>
    <t>https://wDaww.linkedin.com/in/felicepedersoli/</t>
  </si>
  <si>
    <t>PDRNDR96E22B157N</t>
  </si>
  <si>
    <t>Pedretti</t>
  </si>
  <si>
    <t>Customer Quality</t>
  </si>
  <si>
    <t>Galba</t>
  </si>
  <si>
    <t>andreapedretti96@gmail.com</t>
  </si>
  <si>
    <t>3458305608</t>
  </si>
  <si>
    <t>https://www.linkedin.com/in/andreapedretti96/Pedretti Andrea</t>
  </si>
  <si>
    <t>PDRFBA80M07B157S</t>
  </si>
  <si>
    <t>Responsabile U.O.C. Reti, Sistemi e Sicurezza Informatica</t>
  </si>
  <si>
    <t>f.pedretti@unibs.it</t>
  </si>
  <si>
    <t>3601042168</t>
  </si>
  <si>
    <t>https://www.linkedin.com/in/fabio-pedretti/Pedretti Fabio</t>
  </si>
  <si>
    <t>PDRFNC78H14B157M</t>
  </si>
  <si>
    <t>Pedrini</t>
  </si>
  <si>
    <t>SALES SPECIALIST IN ENERGY EFFICIENCY</t>
  </si>
  <si>
    <t>EDISON Spa</t>
  </si>
  <si>
    <t>francesco.gp.pedrini@gmail.com</t>
  </si>
  <si>
    <t>393497518700</t>
  </si>
  <si>
    <t>www.linkedin.com/in/francescopedrini-1357531</t>
  </si>
  <si>
    <t>Laurea 1 livello in Ingegneria per l'Ambiente ed il territorio, 18/05/2010</t>
  </si>
  <si>
    <t>PDRCST75A11B157Q</t>
  </si>
  <si>
    <t>Pedrotti</t>
  </si>
  <si>
    <t>Cristian</t>
  </si>
  <si>
    <t>Security Engineer</t>
  </si>
  <si>
    <t>UniCredit Services S.C.p.A.</t>
  </si>
  <si>
    <t>pedrotti@me.com</t>
  </si>
  <si>
    <t>3351559699</t>
  </si>
  <si>
    <t>https://www.linkedin.com/in/cristian-pedrotti-7338351b1/</t>
  </si>
  <si>
    <t>PLEGRG95D13B157D</t>
  </si>
  <si>
    <t>Peli</t>
  </si>
  <si>
    <t>Trainee</t>
  </si>
  <si>
    <t>Dentons</t>
  </si>
  <si>
    <t>3393928376</t>
  </si>
  <si>
    <t>giorgio.peli@me.com</t>
  </si>
  <si>
    <t>https://www.linkedin.com/in/giorgio-peli-a20786192/</t>
  </si>
  <si>
    <t>PLZLRA89B63D940W</t>
  </si>
  <si>
    <t>Pelizzari</t>
  </si>
  <si>
    <t>Professore a contratto</t>
  </si>
  <si>
    <t>laura.pelizzari.23@gmail.com</t>
  </si>
  <si>
    <t>3462155940</t>
  </si>
  <si>
    <t>https://www.linkedin.com/in/laura-pelizzari-55212118a/</t>
  </si>
  <si>
    <t>PNTRNG89E44Z614R</t>
  </si>
  <si>
    <t>Penta</t>
  </si>
  <si>
    <t>Rosangela</t>
  </si>
  <si>
    <t>Mi carpenterie</t>
  </si>
  <si>
    <t>r.penta@outlook.it</t>
  </si>
  <si>
    <t>393487234993</t>
  </si>
  <si>
    <t>https://www.linkedin.com/in/rosangela-penta-59297862/</t>
  </si>
  <si>
    <t>8 Aprile 2022 21:03</t>
  </si>
  <si>
    <t>PRNSFN91E05D284X</t>
  </si>
  <si>
    <t>Perna</t>
  </si>
  <si>
    <t>Analyst</t>
  </si>
  <si>
    <t>RAFFMETAL S.P.A.</t>
  </si>
  <si>
    <t>s.perna001@studenti.unibs.it</t>
  </si>
  <si>
    <t>3342285941</t>
  </si>
  <si>
    <t>https://www.linkedin.com/in/stefano-perna-922720183/</t>
  </si>
  <si>
    <t>PREMLN65E48A091Q</t>
  </si>
  <si>
    <t>Però</t>
  </si>
  <si>
    <t>Marilena</t>
  </si>
  <si>
    <t>Segretario Comunale</t>
  </si>
  <si>
    <t>Ente Locale</t>
  </si>
  <si>
    <t>339 3117114</t>
  </si>
  <si>
    <t>permarilena@virgilio.it</t>
  </si>
  <si>
    <t>https://www.linkedin.com/in/marilena-per%C3%B2-a6028068/</t>
  </si>
  <si>
    <t>PRSMTT92E18L400U</t>
  </si>
  <si>
    <t>Persico</t>
  </si>
  <si>
    <t>Consulente gestione rischi</t>
  </si>
  <si>
    <t>Fontanella</t>
  </si>
  <si>
    <t>persico_mattia@yahoo.it</t>
  </si>
  <si>
    <t>+39 3407229341</t>
  </si>
  <si>
    <t>https://www.linkedin.com/in/mattia-persico-29a89a144/</t>
  </si>
  <si>
    <t>PSCLRT74H24B157G</t>
  </si>
  <si>
    <t>Pesce</t>
  </si>
  <si>
    <t>Laurea Vecchio Ordinamento</t>
  </si>
  <si>
    <t>CFO</t>
  </si>
  <si>
    <t>Santi Srl</t>
  </si>
  <si>
    <t>albertopesce.ap@gmail.com</t>
  </si>
  <si>
    <t>393387530421</t>
  </si>
  <si>
    <t>https://www.linkedin.com/in/albertopesce/</t>
  </si>
  <si>
    <t>8 Aprile 2022 11:36</t>
  </si>
  <si>
    <t>PGGFPP92E17L781D</t>
  </si>
  <si>
    <t>Piaggesi</t>
  </si>
  <si>
    <t>Automation Engineer</t>
  </si>
  <si>
    <t>Unareti - A2A</t>
  </si>
  <si>
    <t>Verona VR</t>
  </si>
  <si>
    <t>filippopiaggesi@gmail.com</t>
  </si>
  <si>
    <t>393496959234</t>
  </si>
  <si>
    <t>https://www.linkedin.com/in/filippopiaggesi/</t>
  </si>
  <si>
    <t>Laurea Magistrale Ingegneria dell'Automazione Industriale</t>
  </si>
  <si>
    <t>PNTMNL84H10C618W</t>
  </si>
  <si>
    <t>Piantoni</t>
  </si>
  <si>
    <t>Cologne</t>
  </si>
  <si>
    <t>piantoni.emanuele@gmail.com</t>
  </si>
  <si>
    <t>26 Aprile 2022 20:55</t>
  </si>
  <si>
    <t>PNTNRC90A26C618Z</t>
  </si>
  <si>
    <t>R&amp;D - Software Engineer</t>
  </si>
  <si>
    <t>MG Marposs</t>
  </si>
  <si>
    <t>enrico.piantoni@gmail.com</t>
  </si>
  <si>
    <t>393333117142</t>
  </si>
  <si>
    <t>1 Maggio 2022 10:57</t>
  </si>
  <si>
    <t>PNTSLV85M48B157F</t>
  </si>
  <si>
    <t>slv.piantoni@gmail.com</t>
  </si>
  <si>
    <t>3396390138</t>
  </si>
  <si>
    <t>https://www.linkedin.com/in/silvia-piantoni-8810a163/</t>
  </si>
  <si>
    <t>PCCFRC96A70C312Y</t>
  </si>
  <si>
    <t>Picchi</t>
  </si>
  <si>
    <t>federica.picchi@hotmail.it</t>
  </si>
  <si>
    <t>Laurea magistrale in Ingegneria Gestionale - indirizzo Logistico/Produttivo, 16/02/2021</t>
  </si>
  <si>
    <t>PCCNDR94D23E884Y</t>
  </si>
  <si>
    <t>Piccinali</t>
  </si>
  <si>
    <t>andrea.piccinali1994@gmail.com</t>
  </si>
  <si>
    <t>3343909152</t>
  </si>
  <si>
    <t>https://www.linkedin.com/in/andrea-piccinali-b73b58153/</t>
  </si>
  <si>
    <t>PNZFRC90A44B157I</t>
  </si>
  <si>
    <t>Pinzuti</t>
  </si>
  <si>
    <t>393356784034</t>
  </si>
  <si>
    <t>23 Maggio 2022 11:36</t>
  </si>
  <si>
    <t>laurea magistrale</t>
  </si>
  <si>
    <t>Pzzgai96c44d284g</t>
  </si>
  <si>
    <t>Pizzamiglio</t>
  </si>
  <si>
    <t>EY S.o.a.</t>
  </si>
  <si>
    <t>pizzamigliogaia1996@gmail.com</t>
  </si>
  <si>
    <t>393312995742</t>
  </si>
  <si>
    <t>https://www.linkedin.com/in/gaia-pizzamiglio-61ab81145</t>
  </si>
  <si>
    <t>4 Agosto 2022 16:30</t>
  </si>
  <si>
    <t>PJNKST97T25Z100A</t>
  </si>
  <si>
    <t>Pojani</t>
  </si>
  <si>
    <t>Kristi</t>
  </si>
  <si>
    <t>Pianificatore della Produzione</t>
  </si>
  <si>
    <t>IVAR</t>
  </si>
  <si>
    <t>Gavardo</t>
  </si>
  <si>
    <t>k.pojani@studenti.unibs.it</t>
  </si>
  <si>
    <t>393283077654</t>
  </si>
  <si>
    <t>https://www.linkedin.com/mwlite/in/kristi-pojani-3581a11a3</t>
  </si>
  <si>
    <t>6 Agosto 2022 16:27</t>
  </si>
  <si>
    <t>Laurea Triennale, Ingegneria Gestionale, 24/05/2022</t>
  </si>
  <si>
    <t>PLONLS72E71B157O</t>
  </si>
  <si>
    <t>Pola</t>
  </si>
  <si>
    <t>Annalisa</t>
  </si>
  <si>
    <t>Full professor</t>
  </si>
  <si>
    <t>University of Brescia - Mechanical and Industrial Engineering Department (DIMI)</t>
  </si>
  <si>
    <t>0303715576</t>
  </si>
  <si>
    <t>annalisa.pola@unibs.it</t>
  </si>
  <si>
    <t>3397881860</t>
  </si>
  <si>
    <t>https://www.linkedin.com/in/annalisa-pola-6a67b544/</t>
  </si>
  <si>
    <t>PLLNRC93S66B157R</t>
  </si>
  <si>
    <t>Pollonini</t>
  </si>
  <si>
    <t>Enrica</t>
  </si>
  <si>
    <t>Consultant</t>
  </si>
  <si>
    <t>SEI Consulting s.r.l.</t>
  </si>
  <si>
    <t>enrica.pollonini@gmail.com</t>
  </si>
  <si>
    <t>3477409737</t>
  </si>
  <si>
    <t>https://www.linkedin.com/in/enricapollonini/</t>
  </si>
  <si>
    <t>PLLGLI93S66B157M</t>
  </si>
  <si>
    <t>FAAS Consultant (Financial Accounting Advisory Services)</t>
  </si>
  <si>
    <t>giulia.pollonini@libero.it</t>
  </si>
  <si>
    <t>3343498750</t>
  </si>
  <si>
    <t>https://www.linkedin.com/in/giuliapollonini/</t>
  </si>
  <si>
    <t>PRTRNG84D06D284R</t>
  </si>
  <si>
    <t>Portelli</t>
  </si>
  <si>
    <t>Ruben Giovanni</t>
  </si>
  <si>
    <t xml:space="preserve">Senior - Audit Services </t>
  </si>
  <si>
    <t>Funaro &amp; Co., P.C.</t>
  </si>
  <si>
    <t>ruben.portelli@gmail.com</t>
  </si>
  <si>
    <t>13475966729</t>
  </si>
  <si>
    <t>https://www.linkedin.com/in/rubenportelli/</t>
  </si>
  <si>
    <t>PRTNCL91S29B157N</t>
  </si>
  <si>
    <t>Prati</t>
  </si>
  <si>
    <t>nicola.prati@yahoo.it</t>
  </si>
  <si>
    <t>3392190056</t>
  </si>
  <si>
    <t>https://www.linkedin.com/in/nicola-prati-2a569a83/</t>
  </si>
  <si>
    <t>PNJKNK80S04Z222Y</t>
  </si>
  <si>
    <t>Punjabi</t>
  </si>
  <si>
    <t>Karan Kishore</t>
  </si>
  <si>
    <t>India</t>
  </si>
  <si>
    <t>karanpunjabi13@hotmail.com</t>
  </si>
  <si>
    <t>393456037721</t>
  </si>
  <si>
    <t>8 Aprile 2022 11:43</t>
  </si>
  <si>
    <t>Radici</t>
  </si>
  <si>
    <t>Design Engineer</t>
  </si>
  <si>
    <t>Romano di Lombardia</t>
  </si>
  <si>
    <t>radici.federico@hotmail.it</t>
  </si>
  <si>
    <t>https://www.linkedin.com/in/federico-radici/</t>
  </si>
  <si>
    <t>1 Maggio 2022 19:31</t>
  </si>
  <si>
    <t>Laurea Magistrale in Ingegneria Meccanica</t>
  </si>
  <si>
    <t>RGNLCA96R62E884G</t>
  </si>
  <si>
    <t>Ragni</t>
  </si>
  <si>
    <t>Camozzi Automation</t>
  </si>
  <si>
    <t>alice_ragni@libero.it</t>
  </si>
  <si>
    <t>3343020917</t>
  </si>
  <si>
    <t>https://www.linkedin.com/in/aliceragni/</t>
  </si>
  <si>
    <t>RGNDNL88C01B157T</t>
  </si>
  <si>
    <t>Ragnolo</t>
  </si>
  <si>
    <t xml:space="preserve">Impiegato in ufficio </t>
  </si>
  <si>
    <t>GoAt Topline Srl</t>
  </si>
  <si>
    <t>daniele.ragnolo@outlook.it</t>
  </si>
  <si>
    <t>3201571180</t>
  </si>
  <si>
    <t>https://www.linkedin.com/in/daniele-ragnoli-839586151/</t>
  </si>
  <si>
    <t>RNGLCU94R03B393G</t>
  </si>
  <si>
    <t>Ranghetti</t>
  </si>
  <si>
    <t>Instrumentation &amp; Control Engineer</t>
  </si>
  <si>
    <t>AB Energy - Cogeneration World</t>
  </si>
  <si>
    <t>luca.ranghetti.lr@gmail.com</t>
  </si>
  <si>
    <t>+39 3496190087</t>
  </si>
  <si>
    <t>https://www.linkedin.com/in/luca-ranghetti-09563687/</t>
  </si>
  <si>
    <t>RVLFBA73P10B157I</t>
  </si>
  <si>
    <t>Ravelli</t>
  </si>
  <si>
    <t>Lecturer of Labour Law</t>
  </si>
  <si>
    <t>fabio.ravelli@unibs.it</t>
  </si>
  <si>
    <t>3385995879</t>
  </si>
  <si>
    <t>https://www.linkedin.com/in/fabio-ravelli-01917a64/</t>
  </si>
  <si>
    <t>RZALSN93S19B157V</t>
  </si>
  <si>
    <t>Raza</t>
  </si>
  <si>
    <t>Production Planner</t>
  </si>
  <si>
    <t>alessandroraza1911@gmail.com</t>
  </si>
  <si>
    <t>3388039902</t>
  </si>
  <si>
    <t>https://www.linkedin.com/in/ingeBrescia BSgnerealessandroraza/</t>
  </si>
  <si>
    <t>Redaelli de Zinis</t>
  </si>
  <si>
    <t>Luca Oscar</t>
  </si>
  <si>
    <t>PA</t>
  </si>
  <si>
    <t>unibs</t>
  </si>
  <si>
    <t>luca.redaellidezinis@unibs.it</t>
  </si>
  <si>
    <t>393391614658</t>
  </si>
  <si>
    <t>https://www.linkedin.com/in/luca-oscar-redaelli-de-zinis-67940544</t>
  </si>
  <si>
    <t>laurea medicina e chirurgia, 1986</t>
  </si>
  <si>
    <t>RGNLRT84A01B157P</t>
  </si>
  <si>
    <t>Regonini</t>
  </si>
  <si>
    <t>Laurea Specialistica in Moneta, Fnanza e Risk Management, 17/03/2009</t>
  </si>
  <si>
    <t>Senior NPL Portfolio &amp; Transaction Manager</t>
  </si>
  <si>
    <t>Marley Asset Revalue SPA</t>
  </si>
  <si>
    <t>Poncarale</t>
  </si>
  <si>
    <t>alberto.regonini@gmail.com</t>
  </si>
  <si>
    <t>393281379109</t>
  </si>
  <si>
    <t>https://www.linkedin.com/in/alberto-regonini-bs84/</t>
  </si>
  <si>
    <t>RNZGNN60C31B157Z</t>
  </si>
  <si>
    <t>Renzi Brivio</t>
  </si>
  <si>
    <t>Presidente del consiglio di amministrazione</t>
  </si>
  <si>
    <t>PROJECT GROUP</t>
  </si>
  <si>
    <t>gr.brivio@projectgroup.it</t>
  </si>
  <si>
    <t>+393357746150</t>
  </si>
  <si>
    <t>https://www.linkedin.com/in/giovannirenzibrivio/</t>
  </si>
  <si>
    <t>RBLNCL91E31B157V</t>
  </si>
  <si>
    <t>Ribelli</t>
  </si>
  <si>
    <t>Ingegnere della sicurezza</t>
  </si>
  <si>
    <t>Bystronic Group</t>
  </si>
  <si>
    <t>nribelli@gmail.com</t>
  </si>
  <si>
    <t>3206230889</t>
  </si>
  <si>
    <t>https://www.linkedin.com/in/nicola-ribelli/</t>
  </si>
  <si>
    <t>RLLGST72L56A662Z</t>
  </si>
  <si>
    <t>Rielli</t>
  </si>
  <si>
    <t>Augusta</t>
  </si>
  <si>
    <t>Sig.ra</t>
  </si>
  <si>
    <t>Marmirolo</t>
  </si>
  <si>
    <t>augustarielli@gmail.com</t>
  </si>
  <si>
    <t>393391707342</t>
  </si>
  <si>
    <t>6 Giugno 2022 22:08</t>
  </si>
  <si>
    <t>Laurea Magistrale Giurisprudenza 26-04-22</t>
  </si>
  <si>
    <t>RGHMSM90M03B157G</t>
  </si>
  <si>
    <t>Righetti</t>
  </si>
  <si>
    <t>Barbariga</t>
  </si>
  <si>
    <t>massimo.righetti@outlook.it</t>
  </si>
  <si>
    <t>393496153651</t>
  </si>
  <si>
    <t>https://www.linkedin.com/in/massimo-righetti/</t>
  </si>
  <si>
    <t>25 Aprile 2022 11:35</t>
  </si>
  <si>
    <t>RVIWTR74R29I437I</t>
  </si>
  <si>
    <t>Riva</t>
  </si>
  <si>
    <t>Walter</t>
  </si>
  <si>
    <t>Executive Officer</t>
  </si>
  <si>
    <t>Tecnosens S.p.a.</t>
  </si>
  <si>
    <t>0302080456</t>
  </si>
  <si>
    <t>walter@walterriva.com</t>
  </si>
  <si>
    <t>3489016830</t>
  </si>
  <si>
    <t>https://www.linkedin.com/in/walter-riva-959b894/</t>
  </si>
  <si>
    <t>RVDRRT95D29B157D</t>
  </si>
  <si>
    <t>Rivadossi</t>
  </si>
  <si>
    <t>Tecnologo di Processo</t>
  </si>
  <si>
    <t>Metalcam S.p.A.</t>
  </si>
  <si>
    <t>rivadossir@gmail.com</t>
  </si>
  <si>
    <t>393342457250</t>
  </si>
  <si>
    <t>Laurea Magistrale in Ingegneria Meccanica dei Materiali, conseguita in data 11/02/2020</t>
  </si>
  <si>
    <t>RZZNDR92R10B157T</t>
  </si>
  <si>
    <t>Rizzi</t>
  </si>
  <si>
    <t>rizzi.1092@gmail.com</t>
  </si>
  <si>
    <t>3381154802</t>
  </si>
  <si>
    <t>RZZMCH92E67B157C</t>
  </si>
  <si>
    <t>Mariachiara</t>
  </si>
  <si>
    <t>Laura Magistrale a ciclo unico in Ingegneria edile architettura</t>
  </si>
  <si>
    <t>BIM Manager</t>
  </si>
  <si>
    <t>Atiproject srl</t>
  </si>
  <si>
    <t>rizzi.mariachiara@gmail.com</t>
  </si>
  <si>
    <t>393385811962</t>
  </si>
  <si>
    <t>linkedin.com/in/mariachiararizzi</t>
  </si>
  <si>
    <t>8 Aprile 2022 14:59</t>
  </si>
  <si>
    <t>Rizzinelli</t>
  </si>
  <si>
    <t>Esperto in Gestione dell’Energia - CMVP - Biofuels Expert</t>
  </si>
  <si>
    <t>e3 studio associato di consulenza</t>
  </si>
  <si>
    <t>davide.rizzinelli@gmail.com</t>
  </si>
  <si>
    <t>393927664672</t>
  </si>
  <si>
    <t>https://www.linkedin.com/in/davide-rizzinelli-4518aa45/</t>
  </si>
  <si>
    <t>Laurea Ingegneria Ambiente e Territorio</t>
  </si>
  <si>
    <t>RZZDMN60M04D488P</t>
  </si>
  <si>
    <t>Rizzoni</t>
  </si>
  <si>
    <t>Damiano</t>
  </si>
  <si>
    <t>Professore Ordinario di Medicina Interna</t>
  </si>
  <si>
    <t>damiano.rizzoni@unibs.it</t>
  </si>
  <si>
    <t>3336120235</t>
  </si>
  <si>
    <t>https://www.linkedin.com/in/damiano-rizzoni-979bb720/</t>
  </si>
  <si>
    <t>RCCLRA85D50B157Q</t>
  </si>
  <si>
    <t>Rocca</t>
  </si>
  <si>
    <t>laura.rocca@unibs.it</t>
  </si>
  <si>
    <t>3291610818</t>
  </si>
  <si>
    <t>RCCMTT95A27B157Z</t>
  </si>
  <si>
    <t>Rocco</t>
  </si>
  <si>
    <t>matteorocco95@gmail.com</t>
  </si>
  <si>
    <t>https://www.linkedin.com/in/matteo-rocco-244a3a135/</t>
  </si>
  <si>
    <t>RDNLRT80A08C618P</t>
  </si>
  <si>
    <t>Rodenghi</t>
  </si>
  <si>
    <t>Sales area manager</t>
  </si>
  <si>
    <t>Buffoli Transfer S.p.A.</t>
  </si>
  <si>
    <t>rod_r@libero.it</t>
  </si>
  <si>
    <t>+393457112163</t>
  </si>
  <si>
    <t>https://www.linkedin.com/in/alberto-rodenghi-b412011b/</t>
  </si>
  <si>
    <t>RMNCLR64M66B157O</t>
  </si>
  <si>
    <t>Romano</t>
  </si>
  <si>
    <t>Clara</t>
  </si>
  <si>
    <t>FUNZIONARIO</t>
  </si>
  <si>
    <t>clara.romano@unibs.it</t>
  </si>
  <si>
    <t>3397236986</t>
  </si>
  <si>
    <t>https://wwoiw.linkedin.com/in/clara-romano-45681014b/</t>
  </si>
  <si>
    <t>RMNFNC78E55B157M</t>
  </si>
  <si>
    <t>Laurea vecchio ordinamemnto</t>
  </si>
  <si>
    <t>libero professionista</t>
  </si>
  <si>
    <t>Studio ing. Francesca Romano</t>
  </si>
  <si>
    <t>francesca@romanostudio.eu</t>
  </si>
  <si>
    <t>393473026767</t>
  </si>
  <si>
    <t>https://www.linkedin.com/in/francesca-romano-0860b711/</t>
  </si>
  <si>
    <t>9 Aprile 2022 17:43</t>
  </si>
  <si>
    <t>RMLPLA91L15E704J</t>
  </si>
  <si>
    <t>Romele</t>
  </si>
  <si>
    <t>Head Of Science</t>
  </si>
  <si>
    <t>HexagonFab ltd.</t>
  </si>
  <si>
    <t>paolo.romele@gmail.com</t>
  </si>
  <si>
    <t>447484881284</t>
  </si>
  <si>
    <t>www.linkedin.com/in/paoloromele/</t>
  </si>
  <si>
    <t>Dottorato in Ingegneria Elettronica</t>
  </si>
  <si>
    <t>RSODNL82C05F471B</t>
  </si>
  <si>
    <t>Rosa</t>
  </si>
  <si>
    <t>Partner - European Patent and Tradermark Attorney - IP Consultant</t>
  </si>
  <si>
    <t>PGA Intellectual Property - Patents, Trademarks &amp; Designs</t>
  </si>
  <si>
    <t>ing.danielerosa@gmail.com</t>
  </si>
  <si>
    <t>3492432656</t>
  </si>
  <si>
    <t>https://www.linkedin.com/in/daniele-rosa-3351a739/</t>
  </si>
  <si>
    <t>Rsodnl82c09b157l</t>
  </si>
  <si>
    <t>Laurea specialistica Teorie e metodi per la Gestione dell’informazione - Facoltà Economia - 03/2010</t>
  </si>
  <si>
    <t>Coordinatore di Relazione Retail</t>
  </si>
  <si>
    <t>Intesa Sanpaolo SpA</t>
  </si>
  <si>
    <t>daniel.rosa@virgilio.it</t>
  </si>
  <si>
    <t>393299742632</t>
  </si>
  <si>
    <t>https://it.linkedin.com/in/daniele-rosa-91486720</t>
  </si>
  <si>
    <t>9 Aprile 2022 14:09</t>
  </si>
  <si>
    <t>RSSLSN64P46B157I</t>
  </si>
  <si>
    <t>Rossetti</t>
  </si>
  <si>
    <t>Consulente Finanziario</t>
  </si>
  <si>
    <t>Banca Generali S.p.A.</t>
  </si>
  <si>
    <t>alerossetti.aros@libero.it</t>
  </si>
  <si>
    <t>393394707880</t>
  </si>
  <si>
    <t>Laurea Economia e Commercio 2.5.1990</t>
  </si>
  <si>
    <t>RSSLXA80H18E333V</t>
  </si>
  <si>
    <t>Rossi</t>
  </si>
  <si>
    <t>Alex</t>
  </si>
  <si>
    <t xml:space="preserve">Sales and Account Manager </t>
  </si>
  <si>
    <t>AMETEK</t>
  </si>
  <si>
    <t>armaster.alex@gmail.com</t>
  </si>
  <si>
    <t>3495586801</t>
  </si>
  <si>
    <t>https://www.linkedin.com/in/armaster/</t>
  </si>
  <si>
    <t>RSSNCL91T31B157Z</t>
  </si>
  <si>
    <t>Imprenditore</t>
  </si>
  <si>
    <t>Fortitudo Diamonds Srl</t>
  </si>
  <si>
    <t>nicolarossi@fortitudo.diamonds</t>
  </si>
  <si>
    <t>393463625542</t>
  </si>
  <si>
    <t>https://www.linkedin.com/in/nicola-rossi/</t>
  </si>
  <si>
    <t>11 Aprile 2022 19:35</t>
  </si>
  <si>
    <t>RVRMGR91D43B157O</t>
  </si>
  <si>
    <t>Roversi</t>
  </si>
  <si>
    <t>Mariagrazia</t>
  </si>
  <si>
    <t>Compliance</t>
  </si>
  <si>
    <t>Generali Italia</t>
  </si>
  <si>
    <t>mariagraziaroversi@gmail.com</t>
  </si>
  <si>
    <t>3291112006</t>
  </si>
  <si>
    <t>https://www.linkedin.com/in/mariagrazia-roversi-b31291108/</t>
  </si>
  <si>
    <t>RVTRSR88B65B157C</t>
  </si>
  <si>
    <t>Rovetta</t>
  </si>
  <si>
    <t>Rosaria</t>
  </si>
  <si>
    <t>Docente Scuola Secondaria</t>
  </si>
  <si>
    <t>Istituto Superiore Pascal-Mazzolari</t>
  </si>
  <si>
    <t>rosariarovetta@gmail.com</t>
  </si>
  <si>
    <t>3382234418</t>
  </si>
  <si>
    <t>https://www.linkedin.com/in/rosariarovetta/</t>
  </si>
  <si>
    <t>RDRDGI93M01L781T</t>
  </si>
  <si>
    <t>Rudari</t>
  </si>
  <si>
    <t>Diego</t>
  </si>
  <si>
    <t>Tecnologo di processo - assistente capo acciaieria</t>
  </si>
  <si>
    <t>Ferriera Valsabbia spa</t>
  </si>
  <si>
    <t>Verona</t>
  </si>
  <si>
    <t>diegorudari@outlook.com</t>
  </si>
  <si>
    <t>393286950141</t>
  </si>
  <si>
    <t>https://www.linkedin.com/in/diego-rudari-46128a171</t>
  </si>
  <si>
    <t>12 Aprile 2022 11:48</t>
  </si>
  <si>
    <t>RFFLSN95T46B157O</t>
  </si>
  <si>
    <t>Ruffini</t>
  </si>
  <si>
    <t>Dottoranda in Analytics for Economics and Management</t>
  </si>
  <si>
    <t>Università degli studi di Brescia - Dipartimento di Economia e Management</t>
  </si>
  <si>
    <t>alessandra.ruffini@unibs.it</t>
  </si>
  <si>
    <t>393386862691</t>
  </si>
  <si>
    <t>Laurea magistrale in International Business, 108 10/2019</t>
  </si>
  <si>
    <t>RNUMGR90L47F205U</t>
  </si>
  <si>
    <t>Ruini</t>
  </si>
  <si>
    <t>Maria Grazia</t>
  </si>
  <si>
    <t>Infermiera</t>
  </si>
  <si>
    <t>RSA</t>
  </si>
  <si>
    <t>ruini.mary@gmail.com</t>
  </si>
  <si>
    <t>3489513390</t>
  </si>
  <si>
    <t>https://www.linkedin.com/in/maria-grazia-ruini-a54108160/</t>
  </si>
  <si>
    <t>SBLCST79H26H501A</t>
  </si>
  <si>
    <t>Sabelli</t>
  </si>
  <si>
    <t>Cristiano</t>
  </si>
  <si>
    <t>Laurea in Biologia (27/07/2004), Dottorato di Ricerca in Genetica Molecolare applicata alle Scienze Mediche (12/01/2009)</t>
  </si>
  <si>
    <t>Scientific Affairs Manager</t>
  </si>
  <si>
    <t>Copan Italia S.p.A.</t>
  </si>
  <si>
    <t>cristiano.sabelli@copangroup.com</t>
  </si>
  <si>
    <t>393442716910</t>
  </si>
  <si>
    <t>https://it.linkedin.com/in/cristiano-sabelli-52a45635</t>
  </si>
  <si>
    <t>SLRLRT88P02D918S</t>
  </si>
  <si>
    <t>Saleri</t>
  </si>
  <si>
    <t>Lead Instrumentation Engineer</t>
  </si>
  <si>
    <t>Turboden S.p.A.</t>
  </si>
  <si>
    <t>3338293287</t>
  </si>
  <si>
    <t>alberto.marena@gmail.com</t>
  </si>
  <si>
    <t>https://www.linkedin.com/in/alberto-saleri-36954974/</t>
  </si>
  <si>
    <t>SLRLCU81P19B157F</t>
  </si>
  <si>
    <t>Responsabile supply chain</t>
  </si>
  <si>
    <t>Paradigma Italia spa</t>
  </si>
  <si>
    <t>lucsal@icloud.com</t>
  </si>
  <si>
    <t>393484742496</t>
  </si>
  <si>
    <t>https://www.linkedin.com/mwlite/in/lucasaleri</t>
  </si>
  <si>
    <t>10 Agosto 2022 14:04</t>
  </si>
  <si>
    <t>Laurea magistrale 2011</t>
  </si>
  <si>
    <t>SLGMRC89B07C618M</t>
  </si>
  <si>
    <t>Salogni</t>
  </si>
  <si>
    <t>Presidente e Ad Chiari Servizi Srl, Liquidatore Unico Coges SPA, Fleet Manager Rete Cauto</t>
  </si>
  <si>
    <t>Chiari Servizi Srl, Coges SPA, Rete Cauto</t>
  </si>
  <si>
    <t>Chiari</t>
  </si>
  <si>
    <t>ing.salogni@gmail.com</t>
  </si>
  <si>
    <t>393291490487</t>
  </si>
  <si>
    <t>https://www.linkedin.com/in/marco-salogni-580942b5/</t>
  </si>
  <si>
    <t>25 Aprile 2022 15:38</t>
  </si>
  <si>
    <t>Laure di I livello in Ingegneria Civile conseguita il 24 ottobre 2016, Abilitato alla Professione ed iscritto all'Ordine degli Ingegneri di Brescia</t>
  </si>
  <si>
    <t>SLVMSM63R31D251H</t>
  </si>
  <si>
    <t>Salvetti</t>
  </si>
  <si>
    <t>massimo.salvetti@unibs.it</t>
  </si>
  <si>
    <t>3406459624</t>
  </si>
  <si>
    <t>https://www.linkedin.com/in/massimo-salvetti-a3730035/</t>
  </si>
  <si>
    <t>SLVMCL80H21C618G</t>
  </si>
  <si>
    <t>Salvi</t>
  </si>
  <si>
    <t>Marco Lodovico</t>
  </si>
  <si>
    <t>President and CEO</t>
  </si>
  <si>
    <t>E.D. Elettronica Dedicata</t>
  </si>
  <si>
    <t>Chiari BS</t>
  </si>
  <si>
    <t>marcosalvi@ed-elettronica.it</t>
  </si>
  <si>
    <t>3288368915</t>
  </si>
  <si>
    <t>https://www.linkedin.com/in/marco-salvi-51978ab/</t>
  </si>
  <si>
    <t>SLVMTT90M03B157R</t>
  </si>
  <si>
    <t>matteosalvi90@gmail.com</t>
  </si>
  <si>
    <t>https://it.linkedin.com/in/matteo-salvi-721abb59?trk=people-guest_people_search-card</t>
  </si>
  <si>
    <t>8 Aprile 2022 11:33</t>
  </si>
  <si>
    <t>SNDSML97T25D284F</t>
  </si>
  <si>
    <t>Sandrini</t>
  </si>
  <si>
    <t>Samuele</t>
  </si>
  <si>
    <t>Salò BS</t>
  </si>
  <si>
    <t>samu.sandro@gmail.com</t>
  </si>
  <si>
    <t>3476088643</t>
  </si>
  <si>
    <t>https://www.linkedin.com2/in/samuele-sandrini/</t>
  </si>
  <si>
    <t>SVADRD78D12L781S</t>
  </si>
  <si>
    <t>Savoia</t>
  </si>
  <si>
    <t>Edoardo</t>
  </si>
  <si>
    <t>Chief Operating Officer</t>
  </si>
  <si>
    <t>Smart VCO Consulting</t>
  </si>
  <si>
    <t>3402935919</t>
  </si>
  <si>
    <t>https://www.linkedin.com/in/edoardosavoia/</t>
  </si>
  <si>
    <t>SVLLRI99L46B157K</t>
  </si>
  <si>
    <t>Savoldi</t>
  </si>
  <si>
    <t>Ilaria</t>
  </si>
  <si>
    <t>gus.70@fastwebnet.it</t>
  </si>
  <si>
    <t>3287089862</t>
  </si>
  <si>
    <t>SVLLCU94S11B157E</t>
  </si>
  <si>
    <t>SAVOLDI</t>
  </si>
  <si>
    <t>LUCA</t>
  </si>
  <si>
    <t>Assistente di direzione</t>
  </si>
  <si>
    <t>Savoldi Aldo di Savoldi Dari</t>
  </si>
  <si>
    <t>savoldi82@gmail.com</t>
  </si>
  <si>
    <t>3290804440</t>
  </si>
  <si>
    <t>https://www.linkedin.com/in/luca-savoldi-955b381bb/</t>
  </si>
  <si>
    <t>SCLPLA99S28B157T</t>
  </si>
  <si>
    <t>SCALVINI</t>
  </si>
  <si>
    <t>PAOLO</t>
  </si>
  <si>
    <t>Gestore Corporate</t>
  </si>
  <si>
    <t>Mediocredito Trentino Alto Adige</t>
  </si>
  <si>
    <t>paolo.scalvini99@gmail.com</t>
  </si>
  <si>
    <t>3315763840</t>
  </si>
  <si>
    <t>https://www.linkedin.com/in/paolo-scalvini-62a711221/</t>
  </si>
  <si>
    <t>SCLVTI81C14B157P</t>
  </si>
  <si>
    <t>Scalvini</t>
  </si>
  <si>
    <t>Vito</t>
  </si>
  <si>
    <t>Quality Engineer</t>
  </si>
  <si>
    <t>Tattile srl</t>
  </si>
  <si>
    <t>v_scalvini@yahoo.it</t>
  </si>
  <si>
    <t>393498385608</t>
  </si>
  <si>
    <t>https://it.linkedin.com/in/vito-scalvini-5070a74b</t>
  </si>
  <si>
    <t>Laurea Specialistica, Ingegneria Elettronica per l'Automazione, 24/10/2007</t>
  </si>
  <si>
    <t>SCRCLN91D56B157J</t>
  </si>
  <si>
    <t>Scaroni</t>
  </si>
  <si>
    <t>Carolina</t>
  </si>
  <si>
    <t>carolinascaroni91@gmail.com</t>
  </si>
  <si>
    <t>3283791908</t>
  </si>
  <si>
    <t>SCTDRD88A05B157C</t>
  </si>
  <si>
    <t>Sciatti</t>
  </si>
  <si>
    <t>Laurea magistrale a ciclo unico in Medicina e Chirurgia 16/10/2016, Specializzazione in Malattie dell'Apparato Cardiovascolare 19/12/2019</t>
  </si>
  <si>
    <t>Seriate (BG)</t>
  </si>
  <si>
    <t>edoardo.sciatti@gmail.com</t>
  </si>
  <si>
    <t>393381122027</t>
  </si>
  <si>
    <t>SGLCHR72M44B157B</t>
  </si>
  <si>
    <t>Segala</t>
  </si>
  <si>
    <t>Partner fondatore</t>
  </si>
  <si>
    <t>Caprioli Rossini Segala - Dottori Commercialisti Associati</t>
  </si>
  <si>
    <t>3357024574</t>
  </si>
  <si>
    <t>c.segala@capriolirossinisegala.it</t>
  </si>
  <si>
    <t>https://www.linkedin.com/in/chiara-segala-a8ba0a84/</t>
  </si>
  <si>
    <t>SLVFBA84E04B157Y</t>
  </si>
  <si>
    <t>Silvestri</t>
  </si>
  <si>
    <t>fabiosilvestri@hotmail.it</t>
  </si>
  <si>
    <t>3480052448</t>
  </si>
  <si>
    <t>SMZNDR95A16B157U</t>
  </si>
  <si>
    <t>Simaz</t>
  </si>
  <si>
    <t>Doctoral Researcher</t>
  </si>
  <si>
    <t>Walter Schottky Institute, Technische Universitat Munchen</t>
  </si>
  <si>
    <t>simaz.andrea@gmail.com</t>
  </si>
  <si>
    <t>3406522718</t>
  </si>
  <si>
    <t>https://www.linkedin.com/in/andrea-simaz-629bab10a/</t>
  </si>
  <si>
    <t>SMNNNA80S68B157A</t>
  </si>
  <si>
    <t>Simonetto</t>
  </si>
  <si>
    <t>Researcher in statistics</t>
  </si>
  <si>
    <t>anna.simonetto@unibs.it</t>
  </si>
  <si>
    <t>3288515700</t>
  </si>
  <si>
    <t>https://www.linkedin.com/in/annasimon/</t>
  </si>
  <si>
    <t>SMNJTH95T23C111W</t>
  </si>
  <si>
    <t>Jonathan</t>
  </si>
  <si>
    <t>BDO Italia</t>
  </si>
  <si>
    <t>3282543363</t>
  </si>
  <si>
    <t>j.simonetto@studenti.unibs.it</t>
  </si>
  <si>
    <t>https://www.linkedin.com/in/jonathan-simonetto-6749721ba/</t>
  </si>
  <si>
    <t>SMNGCM82L24D918R</t>
  </si>
  <si>
    <t>Simoni</t>
  </si>
  <si>
    <t>Technical &amp; R&amp;D Manager</t>
  </si>
  <si>
    <t>GUARNIFLON SPA</t>
  </si>
  <si>
    <t>simo82g@icloud.com</t>
  </si>
  <si>
    <t>3454605983</t>
  </si>
  <si>
    <t>https://wBrescia BSww.linkedin.com/in/giacomo-simoni-21966b42/</t>
  </si>
  <si>
    <t>SNGNTJ98M31Z222H</t>
  </si>
  <si>
    <t>Singh</t>
  </si>
  <si>
    <t>Navtaj</t>
  </si>
  <si>
    <t>n.singh003@studenti.unibs.it</t>
  </si>
  <si>
    <t>393887326413</t>
  </si>
  <si>
    <t>https://www.linkedin.com/in/navtaj-s-19208a123</t>
  </si>
  <si>
    <t>Laurea triennale in corso</t>
  </si>
  <si>
    <t>SRIMTT89T09B157X</t>
  </si>
  <si>
    <t>Sirio</t>
  </si>
  <si>
    <t>Head Of Technical Department</t>
  </si>
  <si>
    <t>A2A</t>
  </si>
  <si>
    <t>matteo.sirio@a2a.eu</t>
  </si>
  <si>
    <t>393406269943</t>
  </si>
  <si>
    <t>https://www.linkedin.com/in/matteosirio/</t>
  </si>
  <si>
    <t>14 Agosto 2022 14:04</t>
  </si>
  <si>
    <t>Laurea Magistrale Ingegneria Meccanica- curriculum Energia, 110 e lode</t>
  </si>
  <si>
    <t>SVRSRA96R42C618S</t>
  </si>
  <si>
    <t>Siverio</t>
  </si>
  <si>
    <t>Ingegnere Industriale</t>
  </si>
  <si>
    <t>FasterNet S.r.l.</t>
  </si>
  <si>
    <t>3334059116</t>
  </si>
  <si>
    <t>sara.siverio@hotmail.com</t>
  </si>
  <si>
    <t>https://www.linkedin.com/in/sarasiverio/</t>
  </si>
  <si>
    <t>SKRLGO75R53Z154V</t>
  </si>
  <si>
    <t>Skorobogatova</t>
  </si>
  <si>
    <t>Olga</t>
  </si>
  <si>
    <t>russa</t>
  </si>
  <si>
    <t>3297798091</t>
  </si>
  <si>
    <t>olskg12@virgilio.it</t>
  </si>
  <si>
    <t>SPRMTT91R13B819E</t>
  </si>
  <si>
    <t>Soprani</t>
  </si>
  <si>
    <t>m.soprani001@unibs.it</t>
  </si>
  <si>
    <t>3387382834</t>
  </si>
  <si>
    <t>https://www.linkedin.com/in/matteo-soprani-ph-d-98aa5ba7/</t>
  </si>
  <si>
    <t>SROCRL67L58B157E</t>
  </si>
  <si>
    <t>Sora</t>
  </si>
  <si>
    <t>Carla</t>
  </si>
  <si>
    <t>General Manager</t>
  </si>
  <si>
    <t>Agro Ittica Lombarda Spa</t>
  </si>
  <si>
    <t>carla.sora1@gmail.com</t>
  </si>
  <si>
    <t>+393381444411</t>
  </si>
  <si>
    <t>https://www.linkedin.com/in/carla-sora-3506961a/</t>
  </si>
  <si>
    <t>SKRHSM94T05Z330T</t>
  </si>
  <si>
    <t>SOUKAR</t>
  </si>
  <si>
    <t>HOUSSAM</t>
  </si>
  <si>
    <t>Las Palmas del a Gran Canaria</t>
  </si>
  <si>
    <t>Spagna</t>
  </si>
  <si>
    <t>Marocco</t>
  </si>
  <si>
    <t>3803760962</t>
  </si>
  <si>
    <t>soukar505@gmail.com</t>
  </si>
  <si>
    <t>SPRFNC46A29E333S</t>
  </si>
  <si>
    <t>SPEROLINI</t>
  </si>
  <si>
    <t>FRANCO</t>
  </si>
  <si>
    <t>P3ENSIONATO</t>
  </si>
  <si>
    <t>franco.sperolini@gmail.com</t>
  </si>
  <si>
    <t>393397517191</t>
  </si>
  <si>
    <t>https://www.linkedin.com/in/franco-sperolini-ab91333a/</t>
  </si>
  <si>
    <t>SPECILIZZAZIONE IN PSICOTERAPIA DI ANALI IMMAGINATIVA</t>
  </si>
  <si>
    <t>SPRPLA84E23B157O</t>
  </si>
  <si>
    <t>Spranzi</t>
  </si>
  <si>
    <t>Laurea magistrale in Ingegneria dell'automazione industriale</t>
  </si>
  <si>
    <t>Junior Partner</t>
  </si>
  <si>
    <t>McKinsey</t>
  </si>
  <si>
    <t>pspranzi@gmail.com</t>
  </si>
  <si>
    <t>393420998275</t>
  </si>
  <si>
    <t>https://www.linkedin.com/in/paolo-spranzi-7620b048/</t>
  </si>
  <si>
    <t>STDKRY93L43Z138K</t>
  </si>
  <si>
    <t>Stadnyk</t>
  </si>
  <si>
    <t>Khrystyna</t>
  </si>
  <si>
    <t>C-Lean</t>
  </si>
  <si>
    <t>khry.stad@gmail.com</t>
  </si>
  <si>
    <t>393395719225</t>
  </si>
  <si>
    <t>https://www.linkedin.com/in/khrystyna-stadnyk-a3ab98172/</t>
  </si>
  <si>
    <t>STGFNC79E12G535T</t>
  </si>
  <si>
    <t>Stagnitto</t>
  </si>
  <si>
    <t>Rottofreno</t>
  </si>
  <si>
    <t>francescostagnitto@libero.it</t>
  </si>
  <si>
    <t>393314169444</t>
  </si>
  <si>
    <t>Via Puccini 5</t>
  </si>
  <si>
    <t>22 Giugno 2022 13:13</t>
  </si>
  <si>
    <t>Laurea im medicina e chirurgia</t>
  </si>
  <si>
    <t>SRDGLR95D67B393N</t>
  </si>
  <si>
    <t>Suardi</t>
  </si>
  <si>
    <t>Gloria</t>
  </si>
  <si>
    <t>Engineering Department</t>
  </si>
  <si>
    <t>TEMA Energy</t>
  </si>
  <si>
    <t>g.suardi95@gmail.com</t>
  </si>
  <si>
    <t>3468836898</t>
  </si>
  <si>
    <t>https://www.linkedin.com/in/gloria-suardi-39690617b/</t>
  </si>
  <si>
    <t>TGLCRL65R06B157H</t>
  </si>
  <si>
    <t>Tagliaferri</t>
  </si>
  <si>
    <t>Quality Manager</t>
  </si>
  <si>
    <t>V. Orlandi S.p.A.</t>
  </si>
  <si>
    <t>tagliacarlo@outlook.it</t>
  </si>
  <si>
    <t>3939909203</t>
  </si>
  <si>
    <t>https://www.linkedin.com/in/carlo-tagliaferri-0a501998/</t>
  </si>
  <si>
    <t>TMPFBA77C26B157Z</t>
  </si>
  <si>
    <t>Tampalini</t>
  </si>
  <si>
    <t>Co-founder &amp; CEO</t>
  </si>
  <si>
    <t>Railab S.r.l.</t>
  </si>
  <si>
    <t>fabio@tampalini.net</t>
  </si>
  <si>
    <t>3488434694</t>
  </si>
  <si>
    <t>https://www.linkedin.com/in/tampalini/</t>
  </si>
  <si>
    <t>TRNGCM96B02B157Z</t>
  </si>
  <si>
    <t>Tarantino</t>
  </si>
  <si>
    <t>Ingegnere civile e ambientale</t>
  </si>
  <si>
    <t>manerba del garda</t>
  </si>
  <si>
    <t>giacomo.tarant@gmail.com</t>
  </si>
  <si>
    <t>393460965682</t>
  </si>
  <si>
    <t>https://www.linkedin.com/in/giacomo-tarantino-b456a1199</t>
  </si>
  <si>
    <t>14 Giugno 2022 14:15</t>
  </si>
  <si>
    <t>TSCBBR70H57B157E</t>
  </si>
  <si>
    <t>Tasca</t>
  </si>
  <si>
    <t>Barbara</t>
  </si>
  <si>
    <t>Subagente assicurativo</t>
  </si>
  <si>
    <t>tasca.barbara@outlook.it</t>
  </si>
  <si>
    <t>339.5710573</t>
  </si>
  <si>
    <t>https://www.linkedin.com/in/barbara-tasca-b1b3b6a2/</t>
  </si>
  <si>
    <t>TDLLCU98D05B157Z</t>
  </si>
  <si>
    <t>Tedoldi</t>
  </si>
  <si>
    <t>Business</t>
  </si>
  <si>
    <t>BluVet S.p.A.</t>
  </si>
  <si>
    <t>luca_tedoldi@icloud.com</t>
  </si>
  <si>
    <t>3312839521</t>
  </si>
  <si>
    <t>https://www.linkedin.com/in/ltedoldi/</t>
  </si>
  <si>
    <t>TDRCLD63P11F952O</t>
  </si>
  <si>
    <t>Teodori</t>
  </si>
  <si>
    <t>Ghedi (BS)</t>
  </si>
  <si>
    <t>claudio.teodori@unibs.it</t>
  </si>
  <si>
    <t>393666634144</t>
  </si>
  <si>
    <t>https://www.linkedin.com/in/claudio-teodori-210a8030/</t>
  </si>
  <si>
    <t>Da approvare Onorario</t>
  </si>
  <si>
    <t>Laurea in Economia Aziendale - Altra Università</t>
  </si>
  <si>
    <t>TRRRCR93P01B639P</t>
  </si>
  <si>
    <t>Terraneo</t>
  </si>
  <si>
    <t>Operations</t>
  </si>
  <si>
    <t>Gruppo Maggioli</t>
  </si>
  <si>
    <t>terraneoriccardo@gmail.com</t>
  </si>
  <si>
    <t>3335938391</t>
  </si>
  <si>
    <t>https://www.linkedin.com/in/riccardo-terraneo-986a6817b/Terraneo Riccardo</t>
  </si>
  <si>
    <t>TBNMHL70P55H717Z</t>
  </si>
  <si>
    <t>Tiboni</t>
  </si>
  <si>
    <t>Michela</t>
  </si>
  <si>
    <t>Professore I fascia</t>
  </si>
  <si>
    <t>UniBS</t>
  </si>
  <si>
    <t>michela.tiboni@unibs.it</t>
  </si>
  <si>
    <t>393474254788</t>
  </si>
  <si>
    <t>https://www.linkedin.com/in/michela-tiboni-7215a089/</t>
  </si>
  <si>
    <t>TNTFBA80P20B157Q</t>
  </si>
  <si>
    <t>Tinti</t>
  </si>
  <si>
    <t>Ingegnere civile - Responsabile dell'ufficio tecnico della società - HR manager</t>
  </si>
  <si>
    <t>Società di Ingegneria Energard Srl di Peschiera del Garda (VR)</t>
  </si>
  <si>
    <t>Lonato del Garda (BS)</t>
  </si>
  <si>
    <t>tinti@energard.it</t>
  </si>
  <si>
    <t>393400990345</t>
  </si>
  <si>
    <t>https://www.linkedin.com/in/fabio-tinti-a334b232/</t>
  </si>
  <si>
    <t>8 Aprile 2022 15:20</t>
  </si>
  <si>
    <t>TRINNA92H53D284E</t>
  </si>
  <si>
    <t>Tira</t>
  </si>
  <si>
    <t>Desenzano D.G. BS</t>
  </si>
  <si>
    <t>annatira92@yahoo.it</t>
  </si>
  <si>
    <t>3462277675</t>
  </si>
  <si>
    <t>https://www.linkedin.com/in/anna-tira-26ab61184/</t>
  </si>
  <si>
    <t>TRIFNC99E08B157C</t>
  </si>
  <si>
    <t>Francesco Pietro</t>
  </si>
  <si>
    <t>francescotira@gmail.com</t>
  </si>
  <si>
    <t>393319943718</t>
  </si>
  <si>
    <t>https://www.linkedin.com/in/francesco-pietro-tira-6a2a53197/</t>
  </si>
  <si>
    <t>Laurea I Livello</t>
  </si>
  <si>
    <t>TRIMRZ61L09D150P</t>
  </si>
  <si>
    <t>Magnifico Rettore</t>
  </si>
  <si>
    <t>Desenzano d.G. BS</t>
  </si>
  <si>
    <t>maurizio.tira@unibs.it</t>
  </si>
  <si>
    <t>335323484</t>
  </si>
  <si>
    <t>https://www.linkedin.com/in/maurizio-tira-610b8168/</t>
  </si>
  <si>
    <t>TRLVSS89S63B157G</t>
  </si>
  <si>
    <t>Tirloni</t>
  </si>
  <si>
    <t>Vanessa</t>
  </si>
  <si>
    <t>vane.tirloni@gmail.com</t>
  </si>
  <si>
    <t>3408333266</t>
  </si>
  <si>
    <t>https://www.linkedin.com/in/vanessa-tirloni-6ab83a59/</t>
  </si>
  <si>
    <t>TMSDRA84C04C618T</t>
  </si>
  <si>
    <t>Tomasoni</t>
  </si>
  <si>
    <t>Docente di Informatica</t>
  </si>
  <si>
    <t>I.I.S. "G. Cossali" - Orzinuovi</t>
  </si>
  <si>
    <t>dario.tomasoni@gmail.com</t>
  </si>
  <si>
    <t>3383628582</t>
  </si>
  <si>
    <t>https://www.linkedin.com/in/dariotomasoni/</t>
  </si>
  <si>
    <t>TNLLSS88E04D284M</t>
  </si>
  <si>
    <t>Tonoli</t>
  </si>
  <si>
    <t>ASST Spedali Civili</t>
  </si>
  <si>
    <t>alessio.tonoli@me.com</t>
  </si>
  <si>
    <t>393339711762</t>
  </si>
  <si>
    <t>https://www.linkedin.com/in/alessio-tonoli-138b7892/</t>
  </si>
  <si>
    <t>CLM Scienze Infermieristiche ed Ostetriche</t>
  </si>
  <si>
    <t>TNLDVD94D24D940P</t>
  </si>
  <si>
    <t>KPMG Italy</t>
  </si>
  <si>
    <t>davidetonoli94@gmail.com</t>
  </si>
  <si>
    <t>3331715557</t>
  </si>
  <si>
    <t>https://www.linkedin.com/in/davide-tonoli-49074886/</t>
  </si>
  <si>
    <t>TSNNDR76R18E897H</t>
  </si>
  <si>
    <t>Tosoni</t>
  </si>
  <si>
    <t>Hardware designer</t>
  </si>
  <si>
    <t>ludoteca.vesuvio@gmail.com</t>
  </si>
  <si>
    <t>33643200318</t>
  </si>
  <si>
    <t>www.linkedin.com/in/andrea-tosoni-a65a41a</t>
  </si>
  <si>
    <t>TRMLSN99R17D434J</t>
  </si>
  <si>
    <t>TROMBINI</t>
  </si>
  <si>
    <t>Team member</t>
  </si>
  <si>
    <t>SDA Bocconi</t>
  </si>
  <si>
    <t>alessandro.trombini99@gmail.com</t>
  </si>
  <si>
    <t>3454400917</t>
  </si>
  <si>
    <t>https://www.linkedin.com/in/trombini-alessandro/</t>
  </si>
  <si>
    <t>TSYGNN94B59Z138L</t>
  </si>
  <si>
    <t>Tsymokh</t>
  </si>
  <si>
    <t>Ganna</t>
  </si>
  <si>
    <t>Specialista R&amp;D</t>
  </si>
  <si>
    <t>Feralpi Siderurgica S.p.A.</t>
  </si>
  <si>
    <t>ganna.tsymokh@gmail.com</t>
  </si>
  <si>
    <t>393286730771</t>
  </si>
  <si>
    <t>it.linkedin.com/in/ganna-tsymokh-081847b7</t>
  </si>
  <si>
    <t>Laurea Magistrale, 12/02/2019</t>
  </si>
  <si>
    <t>TMMNTN92A14D940R</t>
  </si>
  <si>
    <t>Tumminello</t>
  </si>
  <si>
    <t>Area Manager</t>
  </si>
  <si>
    <t>Amazon</t>
  </si>
  <si>
    <t>antonio.tumminello@outlook.com</t>
  </si>
  <si>
    <t>393343042572</t>
  </si>
  <si>
    <t>https://www.linkedin.com/in/antonio-tumminello-0a25a8107/</t>
  </si>
  <si>
    <t>TRLNCL96C24B157A</t>
  </si>
  <si>
    <t>Turla</t>
  </si>
  <si>
    <t>Process Engineer</t>
  </si>
  <si>
    <t>nicola.turla96@gmail.com</t>
  </si>
  <si>
    <t>3337053984</t>
  </si>
  <si>
    <t>https://www.linkedin.com/in/turla-nicola/</t>
  </si>
  <si>
    <t>BRTGRL96D21B157L</t>
  </si>
  <si>
    <t>Uberti</t>
  </si>
  <si>
    <t>Palazzolo S.O. BS</t>
  </si>
  <si>
    <t>ing.gabrieleuberti@gmail.com</t>
  </si>
  <si>
    <t>3334760533</t>
  </si>
  <si>
    <t>VLLTCR91B22B157O</t>
  </si>
  <si>
    <t>Vella</t>
  </si>
  <si>
    <t>Tancredi</t>
  </si>
  <si>
    <t>Laurea Magistrale a Ciclo Unico in Giurisprudenza presso UniBS; Master di II livello in Credit Risk Management presso la UniCatt di MI; Master di I livello (equipollente) in Derecho presso la Nebrija Universidad de Madrid</t>
  </si>
  <si>
    <t>Senior Compliance Consultant</t>
  </si>
  <si>
    <t>Riskcap International LTD</t>
  </si>
  <si>
    <t>Sliema</t>
  </si>
  <si>
    <t>Malta</t>
  </si>
  <si>
    <t>vellatancredi91@gmail.com</t>
  </si>
  <si>
    <t>35699171097</t>
  </si>
  <si>
    <t>https://www.linkedin.com/in/tancredi-vella-llm-419a08111/</t>
  </si>
  <si>
    <t>8 Aprile 2022 12:39</t>
  </si>
  <si>
    <t>Vrtrsl91a70e333d</t>
  </si>
  <si>
    <t>Vertua</t>
  </si>
  <si>
    <t>Dipendente</t>
  </si>
  <si>
    <t>Ubs</t>
  </si>
  <si>
    <t>Iseo</t>
  </si>
  <si>
    <t>vertua.rossella@gmail.com</t>
  </si>
  <si>
    <t>393335742567</t>
  </si>
  <si>
    <t>8 Aprile 2022 19:33</t>
  </si>
  <si>
    <t>VRZDNL57M28B157K</t>
  </si>
  <si>
    <t>Verzeletti</t>
  </si>
  <si>
    <t>tmtverzeletti@gmail.com</t>
  </si>
  <si>
    <t>3356347138</t>
  </si>
  <si>
    <t>https://www.linkedin.com/in/danilo-verzeletti-a9b8263b/</t>
  </si>
  <si>
    <t>VZZSML88E18B157C</t>
  </si>
  <si>
    <t>VEZZOLI - INVERARDI</t>
  </si>
  <si>
    <t>SAMUELE</t>
  </si>
  <si>
    <t>Supervisore di Processo</t>
  </si>
  <si>
    <t>Smalteria presso Sabaf Group</t>
  </si>
  <si>
    <t>s.vezzoli-inverardi@outlook.it</t>
  </si>
  <si>
    <t>3319758044</t>
  </si>
  <si>
    <t>https://www.linkedin.com/in/samuele-vezzoli-inverardi-587545148/</t>
  </si>
  <si>
    <t>Vdrcml76s01a773o</t>
  </si>
  <si>
    <t>Vidiri</t>
  </si>
  <si>
    <t>Carmelo</t>
  </si>
  <si>
    <t>Direttore di struttura</t>
  </si>
  <si>
    <t>CSA</t>
  </si>
  <si>
    <t>vidiri.carmelo@gmail.com</t>
  </si>
  <si>
    <t>393488938197</t>
  </si>
  <si>
    <t>Laurea triennale educatore professionale sanitario 28/11/2018</t>
  </si>
  <si>
    <t>VLMNCL95C02D434Y</t>
  </si>
  <si>
    <t>Vielmi</t>
  </si>
  <si>
    <t>Assurance Audit Staff</t>
  </si>
  <si>
    <t>Darfo Boario Terme BS</t>
  </si>
  <si>
    <t>+393343458048</t>
  </si>
  <si>
    <t>nicolavielmi@hotmail.it</t>
  </si>
  <si>
    <t>https://www.linkedin.com/in/nicola-vielmi/</t>
  </si>
  <si>
    <t>VLLSFN96A17C618W</t>
  </si>
  <si>
    <t>Villa</t>
  </si>
  <si>
    <t>Mechanical Design Engineer</t>
  </si>
  <si>
    <t>C-lean srl</t>
  </si>
  <si>
    <t>3387458129</t>
  </si>
  <si>
    <t>villastefano17@gmail.com</t>
  </si>
  <si>
    <t>https://www.linkedin.com/in/villastefano17/</t>
  </si>
  <si>
    <t>VNTGNN87P15B157M</t>
  </si>
  <si>
    <t>Vinetti</t>
  </si>
  <si>
    <t>Postdoctoral Researcher</t>
  </si>
  <si>
    <t>Eurac Research, Institute of Mountain Emergency Medicine</t>
  </si>
  <si>
    <t>Bolzano BZ</t>
  </si>
  <si>
    <t>giovanni.vinetti@unibs.it</t>
  </si>
  <si>
    <t>3356183111</t>
  </si>
  <si>
    <t>https://www.linkedin.com/in/giovannivinetti/</t>
  </si>
  <si>
    <t>VSCLRZ95C52B157L</t>
  </si>
  <si>
    <t>Visconti</t>
  </si>
  <si>
    <t>Lucrezia Maria</t>
  </si>
  <si>
    <t>lucrezia.mvisconti@gmail.com</t>
  </si>
  <si>
    <t>3497128477</t>
  </si>
  <si>
    <t>VVCGLI90C02E409P</t>
  </si>
  <si>
    <t>Vivacqua</t>
  </si>
  <si>
    <t>Giulio</t>
  </si>
  <si>
    <t>E-mobility</t>
  </si>
  <si>
    <t>giulio.vivacqua@gmail.com</t>
  </si>
  <si>
    <t>+393409312977</t>
  </si>
  <si>
    <t>https://www.linkedin.com/in/giulio-vivacqua/</t>
  </si>
  <si>
    <t>vltfrc91l31b157y</t>
  </si>
  <si>
    <t>Voltolini</t>
  </si>
  <si>
    <t>Laurea magistrale in Ingegneria edile-architettura, Febbraio 2018</t>
  </si>
  <si>
    <t>Design manager</t>
  </si>
  <si>
    <t>Capoferri serramenti</t>
  </si>
  <si>
    <t>Botticino (BS)</t>
  </si>
  <si>
    <t>federico.voltolini17@gmail.com</t>
  </si>
  <si>
    <t>393386106313</t>
  </si>
  <si>
    <t>https://www.linkedin.com/in/federico-voltolini-45032117a/</t>
  </si>
  <si>
    <t>8 Aprile 2022 13:08</t>
  </si>
  <si>
    <t>WLBNNY96T50Z318H</t>
  </si>
  <si>
    <t>Welbeck-Maseko</t>
  </si>
  <si>
    <t>Nana Yaa</t>
  </si>
  <si>
    <t>Infermiere</t>
  </si>
  <si>
    <t>IRCCS Fatebenefratelli Brescia</t>
  </si>
  <si>
    <t>n.welbeckmaseko001@studenti.unibs.it</t>
  </si>
  <si>
    <t>393809014015</t>
  </si>
  <si>
    <t>https://www.linkedin.com/in/marica-manisera-5b856643</t>
  </si>
  <si>
    <t>Laurea Triennale in Infermieristica a.a. 2019-2020. Data di Laurea 12 Aprile 2021</t>
  </si>
  <si>
    <t>NAXTXN89B67Z251G</t>
  </si>
  <si>
    <t>Xuan Quynh An</t>
  </si>
  <si>
    <t>Thi</t>
  </si>
  <si>
    <t>Greenlife Exim Srl</t>
  </si>
  <si>
    <t>quynhan.anz@gmail.com</t>
  </si>
  <si>
    <t>393288888396</t>
  </si>
  <si>
    <t>https://www.linkedin.com/in/annalisa-an-4b670415a</t>
  </si>
  <si>
    <t>2016-2019</t>
  </si>
  <si>
    <t>ZMPLCU93S17D940B</t>
  </si>
  <si>
    <t>Zamparo</t>
  </si>
  <si>
    <t>Production And Inventory Control Manager</t>
  </si>
  <si>
    <t>Resine Ragnoli S.r.l.</t>
  </si>
  <si>
    <t>zamparoluca93@gmail.com</t>
  </si>
  <si>
    <t>+393394025022</t>
  </si>
  <si>
    <t>https://www.linkedin.com/in/luca-zamparo-5829a2150/</t>
  </si>
  <si>
    <t>ZNTNDA76L46D284L</t>
  </si>
  <si>
    <t>Zanatta</t>
  </si>
  <si>
    <t>Nadia</t>
  </si>
  <si>
    <t>nadiazanatta@yahoo.it</t>
  </si>
  <si>
    <t>3492956728</t>
  </si>
  <si>
    <t>ZNTNDR93T27B157L</t>
  </si>
  <si>
    <t>Zanetti</t>
  </si>
  <si>
    <t>Professore assistente alla didattica</t>
  </si>
  <si>
    <t>3382583815</t>
  </si>
  <si>
    <t>info@zanettiandrea.it</t>
  </si>
  <si>
    <t>https://www.linkedin.com/in/andrea-zan/</t>
  </si>
  <si>
    <t>ZNANNA71A42D940X</t>
  </si>
  <si>
    <t>Zani</t>
  </si>
  <si>
    <t>anna@studiozanibuffoli.it</t>
  </si>
  <si>
    <t>3240887119</t>
  </si>
  <si>
    <t>ZNADVD95E30B157L</t>
  </si>
  <si>
    <t>Assistenzarzt</t>
  </si>
  <si>
    <t>Psychiatrische Dienste Graubünden (PDGR)</t>
  </si>
  <si>
    <t>Brescia, Coira</t>
  </si>
  <si>
    <t>Italia/Svizzera</t>
  </si>
  <si>
    <t>davide.zani@live.it</t>
  </si>
  <si>
    <t>3391169747</t>
  </si>
  <si>
    <t>https://www.linkedin.com/in/dr-davide-zani/</t>
  </si>
  <si>
    <t>ZNTLSE98L61E704Q</t>
  </si>
  <si>
    <t>ZANOTTI</t>
  </si>
  <si>
    <t>ELISA</t>
  </si>
  <si>
    <t>Ingegnere gestionale (L9)</t>
  </si>
  <si>
    <t>elisazanotti98@hotmail.it</t>
  </si>
  <si>
    <t>3921190245</t>
  </si>
  <si>
    <t>https://www.linkedin.com/in/elisa-zanotti-1888a2218/</t>
  </si>
  <si>
    <t>ZPPNDR71H25B157V</t>
  </si>
  <si>
    <t>Zapponi</t>
  </si>
  <si>
    <t>Managing Director | Business Development</t>
  </si>
  <si>
    <t>******</t>
  </si>
  <si>
    <t>Chieri TO</t>
  </si>
  <si>
    <t>Andrea.zapponi@libero.it</t>
  </si>
  <si>
    <t>+393280970660</t>
  </si>
  <si>
    <t>https://www.linkedin.com/in/andreazapponi/</t>
  </si>
  <si>
    <t>ZTTMHL90H28E333U</t>
  </si>
  <si>
    <t>Zatti</t>
  </si>
  <si>
    <t>Laurea di II Livello in Management curriculum in Finanza, Dipartimento di Economia e Management, Conseguimento il 27/03/2017</t>
  </si>
  <si>
    <t>Sales Area Manager</t>
  </si>
  <si>
    <t>Air Service S.r.l.</t>
  </si>
  <si>
    <t>Zone</t>
  </si>
  <si>
    <t>zatti.michele@gmail.com</t>
  </si>
  <si>
    <t>393665995259</t>
  </si>
  <si>
    <t>https://it.linkedin.com/in/michele-zatti-75874a52</t>
  </si>
  <si>
    <t>8 Aprile 2022 14:55</t>
  </si>
  <si>
    <t>ZTTCST98S18D434S</t>
  </si>
  <si>
    <t>Zattini</t>
  </si>
  <si>
    <t>Cristian Giacomo</t>
  </si>
  <si>
    <t>zattinicr@gmail.com</t>
  </si>
  <si>
    <t>3273508405</t>
  </si>
  <si>
    <t>Effettuerà quanto prima</t>
  </si>
  <si>
    <t>Esonerata - Alumna dell'anno 2021</t>
  </si>
  <si>
    <t>Classe delle lauree magistrali in giurisprudenza</t>
  </si>
  <si>
    <t>Laurea Specialistica/Magistrale in Ingegneria meccanica</t>
  </si>
  <si>
    <t>laurea/diploma pre riforma</t>
  </si>
  <si>
    <t>Laurea in Ingegneria industriale</t>
  </si>
  <si>
    <t>Laurea Specialistica/Magistrale in Tecniche e metodi per la societa dell'informazione</t>
  </si>
  <si>
    <t>Laurea Specialistica/Magistrale in Ingegneria informatica</t>
  </si>
  <si>
    <t>Laurea Specialistica/Magistrale in Ingegneria elettronica</t>
  </si>
  <si>
    <t>Laurea Specialistica/Magistrale in Scienze economico-aziendali</t>
  </si>
  <si>
    <t>Laurea in Scienze dell'economia e della gestione aziendale</t>
  </si>
  <si>
    <t>Laurea Specialistica/Magistrale in Ingegneria dell'automazione</t>
  </si>
  <si>
    <t>Laurea Specialistica/Magistrale in Ingegneria civile</t>
  </si>
  <si>
    <t>Laurea Specialistica/Magistrale in Scienze dell'economia</t>
  </si>
  <si>
    <t>Laurea Specialistica/Magistrale in Medicina e chirurgia</t>
  </si>
  <si>
    <t>Laurea Specialistica/Magistrale in Ingegneria gestionale</t>
  </si>
  <si>
    <t>Laurea in Scienze economiche</t>
  </si>
  <si>
    <t>Laurea Specialistica/Magistrale in Ingegneria per l'ambiente e il territorio</t>
  </si>
  <si>
    <t>Laurea in Ingegneria dell'informazione</t>
  </si>
  <si>
    <t>Laurea in Professioni sanitarie, infermieristiche e professione sanitaria ostetrica</t>
  </si>
  <si>
    <t>Laurea in Ingegneria civile e ambientale</t>
  </si>
  <si>
    <t>Laurea in Professioni sanitarie della prevenzione</t>
  </si>
  <si>
    <t>Laurea Specialistica/Magistrale in Scienze infermieristiche e ostetriche</t>
  </si>
  <si>
    <t>Laurea Specialistica/Magistrale in Scienze e tecniche delle attivitÃ  motorie preventive e adattate</t>
  </si>
  <si>
    <t>Ingegneria</t>
  </si>
  <si>
    <t>Laurea in Scienze delle attivitÃ  motorie e sportive</t>
  </si>
  <si>
    <t>Laurea Specialistica/Magistrale in Ingegneria delle telecomunicazioni</t>
  </si>
  <si>
    <t>Laurea Specialistica/Magistrale in Odontoiatria e protesi dentaria</t>
  </si>
  <si>
    <t>Laurea in Biotecnologie</t>
  </si>
  <si>
    <t>Laurea in Scienze dei servizi giuridici</t>
  </si>
  <si>
    <t>Laurea Specialistica/Magistrale in Biotecnologie mediche, veterinarie e farmaceutiche</t>
  </si>
  <si>
    <t>Economia</t>
  </si>
  <si>
    <t>Laurea Magistrale in civil&amp; environmental engineering, Ingegneria per l'ambiente ed il territorio, 16/03/2020 anno accademico 2018-19</t>
  </si>
  <si>
    <t>Laurea Specialistica/Magistrale in Architettura e Ingegneria edile-architettura</t>
  </si>
  <si>
    <t>LAUREA MAGISTRALE IN Ingegneria MECCATRONICA - INDIRIZZO ROBOTICA 26/03/2015</t>
  </si>
  <si>
    <t>Laurea magistrale in Ingegneria per l'ambiente e il territorio</t>
  </si>
  <si>
    <t>Laurea magistrale Ingegneria meccanica v.o.</t>
  </si>
  <si>
    <t>Dottorato di ricerca in Ingegneria meccanica e industriale, conseguito nel 2018</t>
  </si>
  <si>
    <t>Laurea magistrale, Ingegneria civile, 14/17/2020</t>
  </si>
  <si>
    <t>LAUREA Ingegneria CIVILE MAGISTRALE (PRECEDENTE ORDINAMENTO)</t>
  </si>
  <si>
    <t>Laurea triennale - Ingegneria gestionale</t>
  </si>
  <si>
    <t>Magistrale, Ingegneria meccanica (Ingegneria per l'innovazione dei materiali e del prodotto) 25/03/2022</t>
  </si>
  <si>
    <t>Laurea magistrale in Ingegneria informatica</t>
  </si>
  <si>
    <t>Laurea Specialistica/Magistrale in Scienza e Ingegneria dei materiali</t>
  </si>
  <si>
    <t>Laurea magistrale Ingegneria meccanica, indirizzo energetico, marzo 2015</t>
  </si>
  <si>
    <t>montani@focusIngegneria.eu</t>
  </si>
  <si>
    <t>Laurea magistrale in Ingegneria gestionale indirizzo logistico produttivo</t>
  </si>
  <si>
    <t>LAUREA MAGISTRALE Ingegneria gestionale 1998</t>
  </si>
  <si>
    <t>Laurea specialistica in Ingegneria civile</t>
  </si>
  <si>
    <t>Laura magistrale, Ingegneria informatica, 12/02/2009</t>
  </si>
  <si>
    <t>Laurea magistrale, Ingegneria informatica, 18/02/2015</t>
  </si>
  <si>
    <t>Laurea magistrale Ingegneria meccanica 2018</t>
  </si>
  <si>
    <t>Laurea Ingegneria automazione industriale</t>
  </si>
  <si>
    <t>Stagista Ingegneria di progettazione</t>
  </si>
  <si>
    <t>Laurea magistrale in Ingegneria per l'innovazione dei materiali e del prodotto, conseguimento del titolo previsto settembre 2022</t>
  </si>
  <si>
    <t>Laurea magistrale in Ingegneria ambientale</t>
  </si>
  <si>
    <t>laurea specialistica in Ingegneria civile - 10/03/2010.</t>
  </si>
  <si>
    <t>Laurea in Ingegneria elettronica (vecchio ordinamento) - 20/03/2002</t>
  </si>
  <si>
    <t>Laurea magistrale in Ingegneria gestionale, febbraio 2020</t>
  </si>
  <si>
    <t>Medicina Chirurgo</t>
  </si>
  <si>
    <t>Medicina chirurgo</t>
  </si>
  <si>
    <t>Medicina Collaboratore presso UO Geriatria, Area Covid</t>
  </si>
  <si>
    <t>Medicina Otorinolaringoiatria</t>
  </si>
  <si>
    <t>Medicina specializzando in Anestesia, Rianimazione, Terapia Intensiva e del Dolore</t>
  </si>
  <si>
    <t>Medicina Specializzando in Ginecologia ed Ostetricia</t>
  </si>
  <si>
    <t xml:space="preserve"> Economia</t>
  </si>
  <si>
    <t>Giurisprudenza</t>
  </si>
  <si>
    <t>Corso di Dottorato</t>
  </si>
  <si>
    <t>Corso di Dottorato (D.M.45/2013)</t>
  </si>
  <si>
    <t>Laurea Magistrale Ciclo Unico 5 anni</t>
  </si>
  <si>
    <t>Corso di Laurea Magistrale</t>
  </si>
  <si>
    <t>Scuola di Specializzazione (5 anni)</t>
  </si>
  <si>
    <t>BLRMCV61H09B157E</t>
  </si>
  <si>
    <t>Corso di Laurea</t>
  </si>
  <si>
    <t>BRSSFN89T12B157O</t>
  </si>
  <si>
    <t>Corso di Laurea Specialistica</t>
  </si>
  <si>
    <t>LVTRNM62L68L312C</t>
  </si>
  <si>
    <t>Erminia Maria</t>
  </si>
  <si>
    <t>RDCFRC95M21L400U</t>
  </si>
  <si>
    <t>RZZDVD80D30D918Q</t>
  </si>
  <si>
    <t>DIP.TO DI ECONOMIA E MANAGEMENT</t>
  </si>
  <si>
    <t>DIP.TO DI INGEGNERIA CIVILE, ARCHITETTURA, TERRITORIO, AMBIENTE E DI MATEMATICA</t>
  </si>
  <si>
    <t>DIP.TO DI GIURISPRUDENZA</t>
  </si>
  <si>
    <t>DIP.TO DI INGEGNERIA DELL'INFORMAZIONE</t>
  </si>
  <si>
    <t>DIP.TO DI INGEGNERIA MECCANICA E INDUSTRIALE</t>
  </si>
  <si>
    <t>DIP.TO DI MEDICINA MOLECOLARE E TRASLAZIONALE</t>
  </si>
  <si>
    <t>DIP.TO DI SCIENZE CLINICHE E SPERIMENTALI</t>
  </si>
  <si>
    <t>DIP.TO DI SPECIALITA' MEDICO-CHIR., SCIENZE RAD.  E SANITA' PUBBLICA</t>
  </si>
  <si>
    <t>LMBCLM78E11B157O</t>
  </si>
  <si>
    <t>RDLLSC61S12F205T</t>
  </si>
  <si>
    <t>Check Pagamento</t>
  </si>
  <si>
    <t>Area</t>
  </si>
  <si>
    <t>Dipartimento</t>
  </si>
  <si>
    <t>Tipo corso</t>
  </si>
  <si>
    <t>Domenighini</t>
  </si>
  <si>
    <t>DMNLCU96C13B157I</t>
  </si>
  <si>
    <t>luca.domenighini1@gmail.com</t>
  </si>
  <si>
    <t>www.linkedin.com/in/ld96</t>
  </si>
  <si>
    <t>proposal engineer</t>
  </si>
  <si>
    <t>Ospitaletto</t>
  </si>
  <si>
    <t>Laurea magistrale in ingegneria meccanica, 25/03/2022</t>
  </si>
  <si>
    <t>17 Settembre 2022 17:21</t>
  </si>
  <si>
    <t>Viviani</t>
  </si>
  <si>
    <t>VVNLCU93L25B157X</t>
  </si>
  <si>
    <t>+393317433780</t>
  </si>
  <si>
    <t>luca.viviani93@outlook.com</t>
  </si>
  <si>
    <t>https://www.linkedin.com/in/luca-viviani-360514163/</t>
  </si>
  <si>
    <t>Università degli Studi di Trento</t>
  </si>
  <si>
    <t>Bagnolo Mella</t>
  </si>
  <si>
    <t>Dottorato di Ricerca in Ingegneria Industriale</t>
  </si>
  <si>
    <t>16 Settembre 2022 18:20</t>
  </si>
  <si>
    <t>Dusina</t>
  </si>
  <si>
    <t>dsnmnl80a07d918n</t>
  </si>
  <si>
    <t>+447751014769</t>
  </si>
  <si>
    <t>manueldusina@hotmail.it</t>
  </si>
  <si>
    <t>Master in Moneta e Finanza (MMF)</t>
  </si>
  <si>
    <t>per favore sono gia iscritto oppure no? grazie</t>
  </si>
  <si>
    <t>15 Settembre 2022 14:46</t>
  </si>
  <si>
    <t>Stringa</t>
  </si>
  <si>
    <t>STRLNZ93B04A470P</t>
  </si>
  <si>
    <t>+393481685618</t>
  </si>
  <si>
    <t>lorenzo.stringa@gmail.com</t>
  </si>
  <si>
    <t>www.linkedin.com/in/lorenzo-stringa-518b8213a</t>
  </si>
  <si>
    <t>Senior Associate</t>
  </si>
  <si>
    <t>PwC</t>
  </si>
  <si>
    <t>Medole</t>
  </si>
  <si>
    <t>Laurea Magistrale in Ingegneria Gestionale, 07/2018</t>
  </si>
  <si>
    <t>14 Settembre 2022 12:52</t>
  </si>
  <si>
    <t>Vigezzi</t>
  </si>
  <si>
    <t>Giacomo Pietro</t>
  </si>
  <si>
    <t>VGZGMP92M24F205X</t>
  </si>
  <si>
    <t>gvigezzi@hotmail.com</t>
  </si>
  <si>
    <t>https://www.linkedin.com/in/giacomopietrovigezzi/</t>
  </si>
  <si>
    <t>Medico in formazione specialistica in Igiene e Medicina Preventiva, Dottorando in Data Science in Biomedicine</t>
  </si>
  <si>
    <t>Università degli Studi di Pavia</t>
  </si>
  <si>
    <t>Desenzano del Garda</t>
  </si>
  <si>
    <t>Laurea Magistrale in Medicina e Chirurgia, conseguita il 21/03/2018</t>
  </si>
  <si>
    <t>14 Settembre 2022 10:46</t>
  </si>
  <si>
    <t>+393348765277</t>
  </si>
  <si>
    <t>Laurea magistrale in ingegneria Meccanica Cv PRODUZIONE</t>
  </si>
  <si>
    <t>+393342675926</t>
  </si>
  <si>
    <t>Dirigente Medico</t>
  </si>
  <si>
    <t>INA_Commenti Opzionali</t>
  </si>
  <si>
    <t>Corso di Laurea Magistrale in ingegneria meccanica</t>
  </si>
  <si>
    <t>Master in moneta e finanza</t>
  </si>
  <si>
    <t>LaureaMagistrale in Ingegneria gestionale</t>
  </si>
  <si>
    <t>Laurea Magistrale Ciclo Unico 5 anni in Medicina e Chirurgia</t>
  </si>
  <si>
    <t>DOTTORESSA</t>
  </si>
  <si>
    <t>ERMICI</t>
  </si>
  <si>
    <t>GLORIA</t>
  </si>
  <si>
    <t>RMCGLR93C42B157J</t>
  </si>
  <si>
    <t>+393403322947</t>
  </si>
  <si>
    <t>studio@consulpro.it</t>
  </si>
  <si>
    <t>DOTTORE COMMERCIALISTA - SOCIO DI STP SRL</t>
  </si>
  <si>
    <t>CONSULPRO STP SRL</t>
  </si>
  <si>
    <t>LAUREA SPECIALISTICA LM-77 SCIENZE ECONOMICO-SOCIALI CONSEGUITA IL 26/03/2019 (CONSULENZA AZIENDALE E LIBERA PROFESSIONE)</t>
  </si>
  <si>
    <t>27 Settembre 2022 12:35</t>
  </si>
  <si>
    <t>VEZZOLA</t>
  </si>
  <si>
    <t>CRISTINA</t>
  </si>
  <si>
    <t>VZZCST65A58D284F</t>
  </si>
  <si>
    <t>+393483938061</t>
  </si>
  <si>
    <t>cristina@vezzola.com</t>
  </si>
  <si>
    <t>AMMINISTRATORE DELEGATO</t>
  </si>
  <si>
    <t>VEZZOLA SPA</t>
  </si>
  <si>
    <t>DESENZANO DEL GARDA</t>
  </si>
  <si>
    <t>LAUREA- ECONOMIA E COMMERCIO- LAUREATA NELL'ANNO ACCADEMICO 1990/91</t>
  </si>
  <si>
    <t>26 Settembre 2022 17:46</t>
  </si>
  <si>
    <t>FLPSMN96R02B157J</t>
  </si>
  <si>
    <t>+393315968949</t>
  </si>
  <si>
    <t>simonefilippini@outlook.it</t>
  </si>
  <si>
    <t>Domorental Srl - Milano</t>
  </si>
  <si>
    <t>Laurea Magistrale in Economia e Management</t>
  </si>
  <si>
    <t>Buongiorno,
Vorrei iscrivermi e partecipare all'associazione Alumni, di particolare interesse è il progetto Mentor.
Qui i dati dell'avvenuto pagamento:
Vorrei condividere con te le informazioni dell'operazione che ho eseguito con Intesa Sanpaolo
A: Alumni                                                                
Da: Filippini Simone
Importo: 5,00 €
Identificativo bonifico: 999993321560620220926134533907
Data di pagamento: 27.09.2022
Intesa Sanpaolo Mobile</t>
  </si>
  <si>
    <t>26 Settembre 2022 13:49</t>
  </si>
  <si>
    <t>Conti</t>
  </si>
  <si>
    <t>CNTMHL97P52F471E</t>
  </si>
  <si>
    <t>michi912.c@gmail.com</t>
  </si>
  <si>
    <t>Montichiari (Bs)</t>
  </si>
  <si>
    <t>laurea magistrale in economia (consulenza aziendale e libera professione) - data di laurea 30-03-2022</t>
  </si>
  <si>
    <t>25 Settembre 2022 14:22</t>
  </si>
  <si>
    <t>Faralla</t>
  </si>
  <si>
    <t>Alessia</t>
  </si>
  <si>
    <t>Frllss93b44f027h</t>
  </si>
  <si>
    <t>+393384601629</t>
  </si>
  <si>
    <t>alessiadalilaf@gmail.com</t>
  </si>
  <si>
    <t>https://www.linkedin.com/in/alessia-faralla-53a351181</t>
  </si>
  <si>
    <t>Aspp</t>
  </si>
  <si>
    <t>A2a ciclo idrico spa</t>
  </si>
  <si>
    <t>Lipari</t>
  </si>
  <si>
    <t>Laurea triennale in tecniche della prevenzione nell'ambiente e nei luoghi di lavoro 25/10/2018</t>
  </si>
  <si>
    <t>24 Settembre 2022 15:50</t>
  </si>
  <si>
    <t>Congiu</t>
  </si>
  <si>
    <t>Fabio Massimo</t>
  </si>
  <si>
    <t>CNGFMS71R15A429Q</t>
  </si>
  <si>
    <t>+393289057255</t>
  </si>
  <si>
    <t>fabiao71@gmail.com</t>
  </si>
  <si>
    <t>https://www.linkedin.com/mwlite/in/fabio-massimo-congiu-56844b93</t>
  </si>
  <si>
    <t>Impiegato</t>
  </si>
  <si>
    <t>Laurea vecchio ordinamento in Ingegneria Elettronica</t>
  </si>
  <si>
    <t>21 Settembre 2022 22:22</t>
  </si>
  <si>
    <t>Fazzari</t>
  </si>
  <si>
    <t>+393349971467</t>
  </si>
  <si>
    <t>ing.fazzari@gmail.com</t>
  </si>
  <si>
    <t>https://www.linkedin.com/in/michelefazzari/</t>
  </si>
  <si>
    <t>Direttore di Produzione</t>
  </si>
  <si>
    <t>Elca Srl</t>
  </si>
  <si>
    <t>Trenzano</t>
  </si>
  <si>
    <t>Laurea Magistrale in Ingegneria Gestionale</t>
  </si>
  <si>
    <t>21 Settembre 2022 8:37</t>
  </si>
  <si>
    <t>Corso di Laurea Magistrale CONSULENZA AZIENDALE E LIBERA PROFESSIONE</t>
  </si>
  <si>
    <t>Corso di laurea in Economia e Commercio</t>
  </si>
  <si>
    <t>Corso di Laurea TECNICHE DELLA PREVENZIONE NELL'AMBIENTE E NEI LUOGHI DI LAVORO</t>
  </si>
  <si>
    <t>Corso di Laurea in Ingegneria Elettronica</t>
  </si>
  <si>
    <t>FZZMHL87D12B157H</t>
  </si>
  <si>
    <t>Corso di Laurea Magistrale in ingegneria gestionale</t>
  </si>
  <si>
    <t>Salari</t>
  </si>
  <si>
    <t>+393474613437</t>
  </si>
  <si>
    <t>roby.salari@gmail.com</t>
  </si>
  <si>
    <t>Laurea ingegneria meccanica 1996</t>
  </si>
  <si>
    <t>5 Ottobre 2022 20:16</t>
  </si>
  <si>
    <t>AVVOCATO</t>
  </si>
  <si>
    <t>GHEDI</t>
  </si>
  <si>
    <t>LUISA</t>
  </si>
  <si>
    <t>GHDLSU83H51B157J</t>
  </si>
  <si>
    <t>+393391764676</t>
  </si>
  <si>
    <t>luisa.ghedi@gmail.com</t>
  </si>
  <si>
    <t>LAUREA SPECIALISTICA IN GIURISPRUDENZA</t>
  </si>
  <si>
    <t>4 Ottobre 2022 15:30</t>
  </si>
  <si>
    <t>Avv. Ph.D</t>
  </si>
  <si>
    <t>Manzoni</t>
  </si>
  <si>
    <t>MNZFRC82S17B157N</t>
  </si>
  <si>
    <t>+393346386397</t>
  </si>
  <si>
    <t>fede.manzoni@gmail.com</t>
  </si>
  <si>
    <t>Dirigente pubblico</t>
  </si>
  <si>
    <t>Dottorato in Diritto pubblico e tributario nella dimensione europea, 2011</t>
  </si>
  <si>
    <t>4 Ottobre 2022 12:19</t>
  </si>
  <si>
    <t>Sig.</t>
  </si>
  <si>
    <t>Gilberti</t>
  </si>
  <si>
    <t>GLBNDR92L20B157M</t>
  </si>
  <si>
    <t>+393442821919</t>
  </si>
  <si>
    <t>andrea.gilberti@matchplat.com</t>
  </si>
  <si>
    <t>linkedin.com/in/andreagilbertimatchplat</t>
  </si>
  <si>
    <t>President &amp; CEO</t>
  </si>
  <si>
    <t>Matchplat SRL</t>
  </si>
  <si>
    <t>Master in Startup Management; Laurea in Economia e Gestione di Impresa</t>
  </si>
  <si>
    <t>29 Settembre 2022 8:44</t>
  </si>
  <si>
    <t>MARNIGA</t>
  </si>
  <si>
    <t>ALBERTA</t>
  </si>
  <si>
    <t>MRNLRT66B60E738I</t>
  </si>
  <si>
    <t>a.marniga@euroacciai.it</t>
  </si>
  <si>
    <t>PRESIDENTE</t>
  </si>
  <si>
    <t>EUROACCIAI S.P.A.</t>
  </si>
  <si>
    <t>28 Settembre 2022 13:01</t>
  </si>
  <si>
    <t>SLRRRT71B05B149C</t>
  </si>
  <si>
    <t>Laurea in Ingegneria meccanica</t>
  </si>
  <si>
    <t>Laurea magistrale in Giurisprudenza</t>
  </si>
  <si>
    <t xml:space="preserve">Laurea in Economia e gestione aziendale </t>
  </si>
  <si>
    <t>Laurea in Economia e commercio</t>
  </si>
  <si>
    <t>Torri</t>
  </si>
  <si>
    <t>TRRGNN59B28G264R</t>
  </si>
  <si>
    <t>thirjo@outlook.it</t>
  </si>
  <si>
    <t>https://www.linkedin.com/in/giovanni-torri-5292468</t>
  </si>
  <si>
    <t>INTESA SANPAOLO</t>
  </si>
  <si>
    <t>Laurea Economia &amp; Commercio - 9 marzo 1984</t>
  </si>
  <si>
    <t>Nel 1984 mi dissero che ero uno dei primi tre laureati in Economia e Commercio dell' Università Brescia, mi piacerebbe averne conferma (la proclamazione avvenne solo anni dopo).</t>
  </si>
  <si>
    <t>20 Ottobre 2022 8:13</t>
  </si>
  <si>
    <t>Ferrario</t>
  </si>
  <si>
    <t>Francesco Maria</t>
  </si>
  <si>
    <t>FRRFNC92B18D150N</t>
  </si>
  <si>
    <t>'+393337646099</t>
  </si>
  <si>
    <t>f.ferrario1992@gmail.com</t>
  </si>
  <si>
    <t>https://www.linkedin.com/in/francesco-maria-ferrario-147261b9/</t>
  </si>
  <si>
    <t>Cavagna Group SpA</t>
  </si>
  <si>
    <t>Quinzano d'Oglio</t>
  </si>
  <si>
    <t>Laurea Magistrale in Relazioni Internazionali Comparate (Università Ca' Foscari), 6 Aprile 2021, 110 summa cum laude</t>
  </si>
  <si>
    <t>19 Ottobre 2022 16:24</t>
  </si>
  <si>
    <t>Orlandi</t>
  </si>
  <si>
    <t>RLNGDU97M16B157B</t>
  </si>
  <si>
    <t>'+393484699717</t>
  </si>
  <si>
    <t>guidoorlandi97@gmail.com</t>
  </si>
  <si>
    <t>www.linkedin.com/in/guido-orlandi</t>
  </si>
  <si>
    <t>Laurea triennale, Economia e Gestione Aziendale, Marzo 2019</t>
  </si>
  <si>
    <t>Sto attualmente svolgendo la laurea magistrale presso il dipartimento di economia in Consulenza aziendale e Libera professione, previsione di laurea aprile 2023.</t>
  </si>
  <si>
    <t>14 Ottobre 2022 16:39</t>
  </si>
  <si>
    <t>Pedrali</t>
  </si>
  <si>
    <t>PDRSRA95E54D434J</t>
  </si>
  <si>
    <t>'+393476579133</t>
  </si>
  <si>
    <t>sara.pedrali.95@gmail.com</t>
  </si>
  <si>
    <t>EY S.P.A.</t>
  </si>
  <si>
    <t>14 Ottobre 2022 15:56</t>
  </si>
  <si>
    <t>BOLDI</t>
  </si>
  <si>
    <t>LAURA</t>
  </si>
  <si>
    <t>BLDLRA71P64B157S</t>
  </si>
  <si>
    <t>'+393397200361</t>
  </si>
  <si>
    <t>boldilaura@gmail.com</t>
  </si>
  <si>
    <t>LAURA BOLDI</t>
  </si>
  <si>
    <t>presidente ordine ingegneri di Brescia</t>
  </si>
  <si>
    <t>progettazione integrata professionale s.r.l.</t>
  </si>
  <si>
    <t>MONTICELLI BRUSATI</t>
  </si>
  <si>
    <t>LAUREA INGEGNERIA CIVILE</t>
  </si>
  <si>
    <t>12 Ottobre 2022 10:26</t>
  </si>
  <si>
    <t>Zucchelli</t>
  </si>
  <si>
    <t>ZCCLRT89L21B157V</t>
  </si>
  <si>
    <t>a.zucchelli001@unibs.it</t>
  </si>
  <si>
    <t>Dottorato in Technology for Health (DII - 03/2022)</t>
  </si>
  <si>
    <t>11 Ottobre 2022 14:25</t>
  </si>
  <si>
    <t>di Martino</t>
  </si>
  <si>
    <t>DMRFNC94T23B157V</t>
  </si>
  <si>
    <t>'+393351733578</t>
  </si>
  <si>
    <t>francescodimartinobs@gmail.com</t>
  </si>
  <si>
    <t>Corso Cavour 48</t>
  </si>
  <si>
    <t>Yeldo</t>
  </si>
  <si>
    <t>Specializzazione (Master)</t>
  </si>
  <si>
    <t>6 Ottobre 2022 21:19</t>
  </si>
  <si>
    <t>Laurea in Ingegneria Civile</t>
  </si>
  <si>
    <t>Corso di dottorato in Technology for Health</t>
  </si>
  <si>
    <t>Laurae magistrale in Giurisprudenza</t>
  </si>
  <si>
    <t>Gargioni</t>
  </si>
  <si>
    <t>Luigi</t>
  </si>
  <si>
    <t>GRGLGU93H26A470M</t>
  </si>
  <si>
    <t>'+393343404482</t>
  </si>
  <si>
    <t>luigi.gargioni@gmail.com</t>
  </si>
  <si>
    <t>https://www.linkedin.com/in/luigigargioni/</t>
  </si>
  <si>
    <t>Gottolengo, Brescia</t>
  </si>
  <si>
    <t>Laurea magistrale ingegneria informatica il 23/10/2019. Abilitazione alla professione di ingegnere dell'informazione. Inizio percorso dottorato in Technology for Health per l'A.A. 22/23</t>
  </si>
  <si>
    <t>3 Novembre 2022 9:43</t>
  </si>
  <si>
    <t>Crosato</t>
  </si>
  <si>
    <t>Crslra00b56d284v</t>
  </si>
  <si>
    <t>'+393389902808</t>
  </si>
  <si>
    <t>l.crosato@studenti.unibs.it</t>
  </si>
  <si>
    <t>Pozzolengo</t>
  </si>
  <si>
    <t>2 Novembre 2022 17:25</t>
  </si>
  <si>
    <t>Bonora Ottoni</t>
  </si>
  <si>
    <t>BNRMTT98L10B157U</t>
  </si>
  <si>
    <t>'+393338284472</t>
  </si>
  <si>
    <t>bonoraottonimatteo@gmail.com</t>
  </si>
  <si>
    <t>http://linkedin.com/in/matteo-bonora-ottoni</t>
  </si>
  <si>
    <t>27 Ottobre 2022 19:53</t>
  </si>
  <si>
    <t>Manili</t>
  </si>
  <si>
    <t>MNLGRL84T04B157Z</t>
  </si>
  <si>
    <t>'+393338665494</t>
  </si>
  <si>
    <t>manili.gabriele@gmail.com</t>
  </si>
  <si>
    <t>linkedin.com/in/gabrielemanili</t>
  </si>
  <si>
    <t>Radio Frequency Technical Leader</t>
  </si>
  <si>
    <t>Haier Europe</t>
  </si>
  <si>
    <t>Dottorato in Ingegneria delle Telecomunicazioni, conseguito il 21 marzo 2013</t>
  </si>
  <si>
    <t>27 Ottobre 2022 11:40</t>
  </si>
  <si>
    <t>Corso di Laurea Magistrale in ingegneria informatica</t>
  </si>
  <si>
    <t>Corso di dottorato in Tecnologia dell'Informazione</t>
  </si>
  <si>
    <t>Waldir Carlos Pedro João</t>
  </si>
  <si>
    <t>NTNWDR87P11Z302Q</t>
  </si>
  <si>
    <t>'+244921131070</t>
  </si>
  <si>
    <t>walmatukissa@gmail.com</t>
  </si>
  <si>
    <t>Waldir_Antonio</t>
  </si>
  <si>
    <t>Governo centrale- angola</t>
  </si>
  <si>
    <t>Luanda/ Angola</t>
  </si>
  <si>
    <t>Angola</t>
  </si>
  <si>
    <t>Laurea/ consulente del lavoro e giurista d' impresa</t>
  </si>
  <si>
    <t>16 Novembre 2022 10:27</t>
  </si>
  <si>
    <t>TMSSLV78T54I849E</t>
  </si>
  <si>
    <t>'+393420902384</t>
  </si>
  <si>
    <t>silviatomasoni78@gmail.com</t>
  </si>
  <si>
    <t>https://www.linkedin.com/in/silvia-tomasoni-33b869a4/</t>
  </si>
  <si>
    <t>Impiegata</t>
  </si>
  <si>
    <t>Studio Lumini &amp; associati srl stp</t>
  </si>
  <si>
    <t>Laurea triennale in Economia e Gestione Aziendale</t>
  </si>
  <si>
    <t>16 Novembre 2022 9:21</t>
  </si>
  <si>
    <t>Laurea magistrale - Ingegneria Gestionale</t>
  </si>
  <si>
    <t>Fava</t>
  </si>
  <si>
    <t>FVAGRG95T02B157T</t>
  </si>
  <si>
    <t>'+393335843439</t>
  </si>
  <si>
    <t>giorgio.fava003@gmail.com</t>
  </si>
  <si>
    <t>www.linkedin.com/in/giorgiofava</t>
  </si>
  <si>
    <t>TURBODEN S.p.A</t>
  </si>
  <si>
    <t>SIMONCINI</t>
  </si>
  <si>
    <t>SMNDNL93L03B157G</t>
  </si>
  <si>
    <t>'+393401414878</t>
  </si>
  <si>
    <t>daniele.simoncini@hotmail.it</t>
  </si>
  <si>
    <t>https://www.linkedin.com/in/daniele-simoncini-257b3514b</t>
  </si>
  <si>
    <t>Package design development engineer</t>
  </si>
  <si>
    <t>Laurea magistrale in ingegneria meccanica, curriculum costruzioni</t>
  </si>
  <si>
    <t>Sono sicuramente molto riconoscente ad UNIBS e apprezzo molto il lavoro e la tenacia del pres. (per me doppio) Michele Lancellotti. 
Ad Maiora!</t>
  </si>
  <si>
    <t>15 Novembre 2022 20:44</t>
  </si>
  <si>
    <t>Jessica</t>
  </si>
  <si>
    <t>STRJSC95T61C618P</t>
  </si>
  <si>
    <t>'+393272875552</t>
  </si>
  <si>
    <t>astorijessica@gmail.com</t>
  </si>
  <si>
    <t>Via marconi 92</t>
  </si>
  <si>
    <t>Laurea in Infermieristica in data 10/11/17</t>
  </si>
  <si>
    <t>15 Novembre 2022 20:39</t>
  </si>
  <si>
    <t>Zini</t>
  </si>
  <si>
    <t>ZNINDR86A12B157R</t>
  </si>
  <si>
    <t>'+393403455563</t>
  </si>
  <si>
    <t>www.linkedin.com/in/andrea-zini-2386b13a</t>
  </si>
  <si>
    <t>Sap Business system Development</t>
  </si>
  <si>
    <t>Gnutti Carlo SpA</t>
  </si>
  <si>
    <t>Laurea magistrale in management</t>
  </si>
  <si>
    <t>15 Novembre 2022 20:25</t>
  </si>
  <si>
    <t>dottore magistrale</t>
  </si>
  <si>
    <t>Piceni</t>
  </si>
  <si>
    <t>PCNSFN95E28D940Y</t>
  </si>
  <si>
    <t>'+393406537525</t>
  </si>
  <si>
    <t>steceni95@gmail.com</t>
  </si>
  <si>
    <t>linkedin.com/in/stefano-piceni-439462136</t>
  </si>
  <si>
    <t>mechanical designer</t>
  </si>
  <si>
    <t>Danieli</t>
  </si>
  <si>
    <t>Paitone (Bs)</t>
  </si>
  <si>
    <t>laurea magistrale in ingegneria meccanica curriculum biomechanic 24/05/2022</t>
  </si>
  <si>
    <t>15 Novembre 2022 20:17</t>
  </si>
  <si>
    <t>Ciuffo</t>
  </si>
  <si>
    <t>Sebastian</t>
  </si>
  <si>
    <t>CFFSST95S25B157S</t>
  </si>
  <si>
    <t>'+393441407969</t>
  </si>
  <si>
    <t>sebastian.ciuffo@icloud.com</t>
  </si>
  <si>
    <t>https://www.linkedin.com/mwlite/in/sebastian-ciuffo-b681b5199</t>
  </si>
  <si>
    <t>Settore Finanziario</t>
  </si>
  <si>
    <t>Castel Mella (BS)</t>
  </si>
  <si>
    <t>Laurea Magistrale in Moneta Finanza e Risk management</t>
  </si>
  <si>
    <t>15 Novembre 2022 19:53</t>
  </si>
  <si>
    <t>Mazzotti</t>
  </si>
  <si>
    <t>Mzzlcu79p25b157n</t>
  </si>
  <si>
    <t>'+393394049206</t>
  </si>
  <si>
    <t>lucaice@hotmail.com</t>
  </si>
  <si>
    <t>Credit Suisse</t>
  </si>
  <si>
    <t>Laurea triennale Banca e finanza</t>
  </si>
  <si>
    <t>Ingegnere industriale</t>
  </si>
  <si>
    <t>DE REGIBUS</t>
  </si>
  <si>
    <t>DAVID</t>
  </si>
  <si>
    <t>DRGDVD87E31D284O</t>
  </si>
  <si>
    <t>'+393341863856</t>
  </si>
  <si>
    <t>davidderegibus@msn.com</t>
  </si>
  <si>
    <t>https://www.linkedin.com/mwlite/in/david-d-56732628</t>
  </si>
  <si>
    <t>Laurea magistrale in ingegneria meccanica - anno accademico 2011-2012</t>
  </si>
  <si>
    <t>Sono alla ricerca di collaboratori nella progettazione meccanica per valutare sviluppi professionali/imprenditoriali</t>
  </si>
  <si>
    <t>15 Novembre 2022 19:17</t>
  </si>
  <si>
    <t>Ewalo</t>
  </si>
  <si>
    <t>Tadewos Somano</t>
  </si>
  <si>
    <t>WLETWS85A21Z315S</t>
  </si>
  <si>
    <t>'+393341899603</t>
  </si>
  <si>
    <t>tadewos85@gmail.com</t>
  </si>
  <si>
    <t>via Enrico Dandolo 21B</t>
  </si>
  <si>
    <t>Sparkling Rocks srl</t>
  </si>
  <si>
    <t>MSc in Information Engineering from University of Brescia, Brescia, Italy</t>
  </si>
  <si>
    <t>15 Novembre 2022 18:51</t>
  </si>
  <si>
    <t>Serina</t>
  </si>
  <si>
    <t>SRNMTT89E26B157P</t>
  </si>
  <si>
    <t>'+393487745764</t>
  </si>
  <si>
    <t>matteo.serina89@gmail.com</t>
  </si>
  <si>
    <t>Castel Mella</t>
  </si>
  <si>
    <t>Laurea magistrale in ingegneria informatica</t>
  </si>
  <si>
    <t>15 Novembre 2022 18:45</t>
  </si>
  <si>
    <t>Bonetta</t>
  </si>
  <si>
    <t>Carlo Filippo</t>
  </si>
  <si>
    <t>BNTCLF92P22B157Q</t>
  </si>
  <si>
    <t>'+393201192494</t>
  </si>
  <si>
    <t>carlo.filippob@gmail.com</t>
  </si>
  <si>
    <t>https://www.linkedin.com/in/carlo-filippo-bonetta-9b8b3b233/</t>
  </si>
  <si>
    <t>U.O. Medicina Legale, ASST Ospedale Maggiore di Crema</t>
  </si>
  <si>
    <t>Laurea Magistrale in Medicina e Chirurgia</t>
  </si>
  <si>
    <t>15 Novembre 2022 18:01</t>
  </si>
  <si>
    <t>Dottore di Laurea Magistrale</t>
  </si>
  <si>
    <t>Coppola</t>
  </si>
  <si>
    <t>CPPDRD98H19B898X</t>
  </si>
  <si>
    <t>'+393484838024</t>
  </si>
  <si>
    <t>edoardo.98.coppola@gmail.com</t>
  </si>
  <si>
    <t>https://www.linkedin.com/in/edoardo-coppola/</t>
  </si>
  <si>
    <t>Disoccupato, ma dottorando dal 1 dicembre 2022</t>
  </si>
  <si>
    <t>Dipartimento di Ingegneria dell'Informazione, Università degli Studi di Brescia</t>
  </si>
  <si>
    <t>Mantova</t>
  </si>
  <si>
    <t>Laurea Magistrale in Ingegneria Informatica conseguita il 19/10/2022</t>
  </si>
  <si>
    <t>15 Novembre 2022 17:47</t>
  </si>
  <si>
    <t>Pulcini</t>
  </si>
  <si>
    <t>Lucrezia Francesca</t>
  </si>
  <si>
    <t>PLCLRZ95A42B157S</t>
  </si>
  <si>
    <t>'+393925024073</t>
  </si>
  <si>
    <t>lucrezia.pulcini.95@gmail.com</t>
  </si>
  <si>
    <t>https://www.linkedin.com/in/lucrezia-francesca-pulcini-b83351203</t>
  </si>
  <si>
    <t>Laurea in Giurisprudenza 08/10/2019</t>
  </si>
  <si>
    <t>Turotti</t>
  </si>
  <si>
    <t>TRTFRC91S61C618H</t>
  </si>
  <si>
    <t>'+393397032715</t>
  </si>
  <si>
    <t>turotti.federica@gmail.com</t>
  </si>
  <si>
    <t>https://www.linkedin.com/in/federica-turotti-258106102/</t>
  </si>
  <si>
    <t>La Scala Società tra Avvocati</t>
  </si>
  <si>
    <t>Laurea a ciclo unico in Giurisprudenza</t>
  </si>
  <si>
    <t>15 Novembre 2022 15:06</t>
  </si>
  <si>
    <t>Cominelli</t>
  </si>
  <si>
    <t>CMNFNC93L60D940Y</t>
  </si>
  <si>
    <t>francy.cominelli93@hotmail.com</t>
  </si>
  <si>
    <t>Impiegata amministrativa</t>
  </si>
  <si>
    <t>Valpres srl gruppo Bonomi</t>
  </si>
  <si>
    <t>Laurea di primo livello</t>
  </si>
  <si>
    <t>Faye</t>
  </si>
  <si>
    <t>Jean Pierre Louis Etienne</t>
  </si>
  <si>
    <t>'+447761910542</t>
  </si>
  <si>
    <t>jeanpierrelouisetienne.faye@gmail.com</t>
  </si>
  <si>
    <t>Jean Pierre Faye</t>
  </si>
  <si>
    <t>Managing Director</t>
  </si>
  <si>
    <t>FA SPORT MANAGEMENT SENEGAL</t>
  </si>
  <si>
    <t>Manchester</t>
  </si>
  <si>
    <t>Laurea in Economia &amp; Management</t>
  </si>
  <si>
    <t>15 Novembre 2022 14:28</t>
  </si>
  <si>
    <t>Consolati</t>
  </si>
  <si>
    <t>CNSDVD98P01B157X</t>
  </si>
  <si>
    <t>'+393333315707</t>
  </si>
  <si>
    <t>consolatidavide@gmail.com</t>
  </si>
  <si>
    <t>https://www.linkedin.com/in/davideconsolati</t>
  </si>
  <si>
    <t>Dottorando di Ricerca</t>
  </si>
  <si>
    <t>Antares Vision S.p.A.</t>
  </si>
  <si>
    <t>Laurea Magistrale in Ingegneria dell'Automazione Industriale conseguita il 18/11/2022</t>
  </si>
  <si>
    <t>15 Novembre 2022 14:20</t>
  </si>
  <si>
    <t>15 Novembre 2022 13:53</t>
  </si>
  <si>
    <t>Roberta</t>
  </si>
  <si>
    <t>RSSRRT95B51B157G</t>
  </si>
  <si>
    <t>roberta.rossi@live.it</t>
  </si>
  <si>
    <t>Brescia - Darfo B.T.</t>
  </si>
  <si>
    <t>Specializzata SSPL</t>
  </si>
  <si>
    <t>15 Novembre 2022 13:47</t>
  </si>
  <si>
    <t>Trotta Bevilacqua</t>
  </si>
  <si>
    <t>Trtfnc90b67b157j</t>
  </si>
  <si>
    <t>'+393398069613</t>
  </si>
  <si>
    <t>f.trottabevi@gmail.com</t>
  </si>
  <si>
    <t>Laurea in giurisprudenza</t>
  </si>
  <si>
    <t>15 Novembre 2022 13:40</t>
  </si>
  <si>
    <t>fenotti</t>
  </si>
  <si>
    <t>matteo</t>
  </si>
  <si>
    <t>FNTMTT86L08B157A</t>
  </si>
  <si>
    <t>'+393333222874</t>
  </si>
  <si>
    <t>matteofenotti@gmail.com</t>
  </si>
  <si>
    <t>via valerio paitone 34</t>
  </si>
  <si>
    <t>Responsabile ambiente</t>
  </si>
  <si>
    <t>Alfa Acciai SpA</t>
  </si>
  <si>
    <t>Laurea specialistica in ingegneria ambiente e territorio ex DM 509/99 conseguita nel 2012</t>
  </si>
  <si>
    <t>bonifico effettuato il 15/11/2022</t>
  </si>
  <si>
    <t>15 Novembre 2022 13:38</t>
  </si>
  <si>
    <t>Paini</t>
  </si>
  <si>
    <t>PNALCA99B55B157A</t>
  </si>
  <si>
    <t>'+393925282480</t>
  </si>
  <si>
    <t>alice.paini99@gmail.com</t>
  </si>
  <si>
    <t>http://linkedin.com/in/alice-paini-40a870225</t>
  </si>
  <si>
    <t>Laurea magistrale in biotecnologie mediche</t>
  </si>
  <si>
    <t>15 Novembre 2022 13:29</t>
  </si>
  <si>
    <t>Onger</t>
  </si>
  <si>
    <t>NGRDMN95D09B157P</t>
  </si>
  <si>
    <t>'+39030718123</t>
  </si>
  <si>
    <t>damiano@onger.it</t>
  </si>
  <si>
    <t>Eurostampi SRL</t>
  </si>
  <si>
    <t>Castelcovati</t>
  </si>
  <si>
    <t>15 Novembre 2022 13:16</t>
  </si>
  <si>
    <t>Michelangelo</t>
  </si>
  <si>
    <t>PSNMHL95T01B157O</t>
  </si>
  <si>
    <t>'+393911015478</t>
  </si>
  <si>
    <t>michelangelo.pasinetti@gmail.com</t>
  </si>
  <si>
    <t>https://www.linkedin.com/in/michelangelo-pasinetti-56215718b</t>
  </si>
  <si>
    <t>Progettista</t>
  </si>
  <si>
    <t>DTM technologies</t>
  </si>
  <si>
    <t>Modena</t>
  </si>
  <si>
    <t>Laurea magistrale, ingegneria meccanica curriculum costruzioni, Laurea Maggio 2022</t>
  </si>
  <si>
    <t>15 Novembre 2022 13:07</t>
  </si>
  <si>
    <t>'+393384291000</t>
  </si>
  <si>
    <t>albertomazzoleni84@gmail.com</t>
  </si>
  <si>
    <t>https://www.linkedin.com/in/alberto-mazzoleni-54049653</t>
  </si>
  <si>
    <t>A&amp;T Europe Spa</t>
  </si>
  <si>
    <t>Laurea magistrale in automazione industriale</t>
  </si>
  <si>
    <t>15 Novembre 2022 12:43</t>
  </si>
  <si>
    <t>Odracci</t>
  </si>
  <si>
    <t>DRCMRC83L28B157R</t>
  </si>
  <si>
    <t>'+393737786880</t>
  </si>
  <si>
    <t>odracci@oslaw.eu</t>
  </si>
  <si>
    <t>https://www.linkedin.com/in/marco-odracci/</t>
  </si>
  <si>
    <t>OS Law Studio legale internazionale</t>
  </si>
  <si>
    <t>Dottorato ricerca diritto commerciale</t>
  </si>
  <si>
    <t>15 Novembre 2022 12:38</t>
  </si>
  <si>
    <t>Corani</t>
  </si>
  <si>
    <t>Crnncl80l27b157g</t>
  </si>
  <si>
    <t>'+393397381335</t>
  </si>
  <si>
    <t>n.corani@hotmail.it</t>
  </si>
  <si>
    <t>Gestore private di sede. Referente di Area</t>
  </si>
  <si>
    <t>Laurea specialistica in moneta finanza e Risk management. Conseguita a luglio 2010. Master in moneta e finanza corso anno 2007/2008.</t>
  </si>
  <si>
    <t>15 Novembre 2022 12:34</t>
  </si>
  <si>
    <t>dott.</t>
  </si>
  <si>
    <t>Omodei</t>
  </si>
  <si>
    <t>MDORRT88R21B157G</t>
  </si>
  <si>
    <t>'+393409606242</t>
  </si>
  <si>
    <t>roberto.omodei@gmail.com</t>
  </si>
  <si>
    <t>Laurea magistrale a ciclo unico in Giurisprudenza, 10.12.2013</t>
  </si>
  <si>
    <t>15 Novembre 2022 12:29</t>
  </si>
  <si>
    <t>CNTMTT92M29E704P</t>
  </si>
  <si>
    <t>'+393495769502</t>
  </si>
  <si>
    <t>mattiaconti@live.it</t>
  </si>
  <si>
    <t>Artogne</t>
  </si>
  <si>
    <t>Laurea magistrale in consulenza aziendale e libera professione 03/11/2016</t>
  </si>
  <si>
    <t>15 Novembre 2022 11:50</t>
  </si>
  <si>
    <t>15 Novembre 2022 11:44</t>
  </si>
  <si>
    <t>RMLNDR84T21E704A</t>
  </si>
  <si>
    <t>'+393398357000</t>
  </si>
  <si>
    <t>romele.andrea@gmail.com</t>
  </si>
  <si>
    <t>https://www.linkedin.com/in/andrea-romele-3487a15a</t>
  </si>
  <si>
    <t>Consigliere Delegato e Direttore Tecnico</t>
  </si>
  <si>
    <t>Slingofer Srl</t>
  </si>
  <si>
    <t>Pisogne (BS)</t>
  </si>
  <si>
    <t>Laurea Magistrale in Ingegneria Meccanica - Anno 2012</t>
  </si>
  <si>
    <t>15 Novembre 2022 11:36</t>
  </si>
  <si>
    <t>DE TONI</t>
  </si>
  <si>
    <t>VALENTINA</t>
  </si>
  <si>
    <t>DTNVNT82S43B157R</t>
  </si>
  <si>
    <t>'+393472910510</t>
  </si>
  <si>
    <t>valentina.detoni@alice.it</t>
  </si>
  <si>
    <t>VIA G. MARCONI 59</t>
  </si>
  <si>
    <t>STUDIO PROFESSIONALE</t>
  </si>
  <si>
    <t>EDOLO</t>
  </si>
  <si>
    <t>LAUREA IN GIURISPRUDENZA, DOTTORATO IN SCIENZE MEDICO FORENSI</t>
  </si>
  <si>
    <t>15 Novembre 2022 11:35</t>
  </si>
  <si>
    <t>Ingegnere, Dottore di ricerca</t>
  </si>
  <si>
    <t>Biasibetti</t>
  </si>
  <si>
    <t>BSBMHL88A65B157Y</t>
  </si>
  <si>
    <t>'+393405906620</t>
  </si>
  <si>
    <t>michela.biasibetti@libero.it</t>
  </si>
  <si>
    <t>Dottorato di ricerca in Ingegneria civile e architettura</t>
  </si>
  <si>
    <t>15 Novembre 2022 11:33</t>
  </si>
  <si>
    <t>Bosio</t>
  </si>
  <si>
    <t>BSOMTT87A27B157N</t>
  </si>
  <si>
    <t>'+393283727417</t>
  </si>
  <si>
    <t>matteo.bosio@hotmail.com</t>
  </si>
  <si>
    <t>Www.LinkedIn.com/in/matteo-bosio-1987mb</t>
  </si>
  <si>
    <t>R&amp;I Value Optimization Manager</t>
  </si>
  <si>
    <t>Industrie Saleri Italo S.p.a.</t>
  </si>
  <si>
    <t>Villa Carcina</t>
  </si>
  <si>
    <t>Master degree</t>
  </si>
  <si>
    <t>15 Novembre 2022 11:26</t>
  </si>
  <si>
    <t>Bua</t>
  </si>
  <si>
    <t>Carlantonio</t>
  </si>
  <si>
    <t>BUACLN87H04F205L</t>
  </si>
  <si>
    <t>'+393403828914</t>
  </si>
  <si>
    <t>carlo.bua@hotmail.it</t>
  </si>
  <si>
    <t>https://www.linkedin.com/in/carlobua/</t>
  </si>
  <si>
    <t>SAP MM-WM Consultant</t>
  </si>
  <si>
    <t>Regesta SpA</t>
  </si>
  <si>
    <t>Laurea in Economia e Gestione dell'Informazione e Comunicazione, Luglio 2012</t>
  </si>
  <si>
    <t>15 Novembre 2022 11:21</t>
  </si>
  <si>
    <t>PLEDGI97T23D918O</t>
  </si>
  <si>
    <t>'+393661781757</t>
  </si>
  <si>
    <t>diegopeli2397@gmail.com</t>
  </si>
  <si>
    <t>Laurea Magistrale, Economia e Management, 18/12/2021</t>
  </si>
  <si>
    <t>15 Novembre 2022 11:20</t>
  </si>
  <si>
    <t>Guatta</t>
  </si>
  <si>
    <t>GTTDVD85R22B157W</t>
  </si>
  <si>
    <t>'+393201840893</t>
  </si>
  <si>
    <t>davide.guatta@gmail.com</t>
  </si>
  <si>
    <t>Associate director</t>
  </si>
  <si>
    <t>Boston Consulting Group</t>
  </si>
  <si>
    <t>Laurea magistrale in Ingegneria delle Telecomunicazioni</t>
  </si>
  <si>
    <t>15 Novembre 2022 11:18</t>
  </si>
  <si>
    <t>Zammarchi</t>
  </si>
  <si>
    <t>ZMMNDR93M10B157B</t>
  </si>
  <si>
    <t>'+393398118511</t>
  </si>
  <si>
    <t>zammarchi.andrea@gmail.com</t>
  </si>
  <si>
    <t>https://www.linkedin.com/in/andrea-zammarchi/</t>
  </si>
  <si>
    <t>Business Process Designer</t>
  </si>
  <si>
    <t>Autodesk</t>
  </si>
  <si>
    <t>Barcelona</t>
  </si>
  <si>
    <t>Laurea Magistrale, Ingegneria Gestionale, Settembre 2017</t>
  </si>
  <si>
    <t>15 Novembre 2022 11:16</t>
  </si>
  <si>
    <t>VICENTINI</t>
  </si>
  <si>
    <t>VCNDNL91A14D940Y</t>
  </si>
  <si>
    <t>'+393275459075</t>
  </si>
  <si>
    <t>danielevicentini.legale@gmail.com</t>
  </si>
  <si>
    <t>Avvocato, Foro di Roma</t>
  </si>
  <si>
    <t>Studio legale Vicentini</t>
  </si>
  <si>
    <t>Laurea magistrale a ciclo unico in Giurisprudenza, 07/02/2017</t>
  </si>
  <si>
    <t>15 Novembre 2022 11:11</t>
  </si>
  <si>
    <t>Massetti</t>
  </si>
  <si>
    <t>MSSDVD91L13B157R</t>
  </si>
  <si>
    <t>'+393284533086</t>
  </si>
  <si>
    <t>davide.massetti@live.it</t>
  </si>
  <si>
    <t>https://www.linkedin.com/in/davidemassetti/</t>
  </si>
  <si>
    <t>Business Development</t>
  </si>
  <si>
    <t>SQS Network sas</t>
  </si>
  <si>
    <t>Laurea di I livello in Economia e Gestione Aziendale</t>
  </si>
  <si>
    <t>15 Novembre 2022 11:09</t>
  </si>
  <si>
    <t>Moretti</t>
  </si>
  <si>
    <t>Gionata</t>
  </si>
  <si>
    <t>MRTGNT86A31B157Q</t>
  </si>
  <si>
    <t>'+393381211486</t>
  </si>
  <si>
    <t>gionata.moretti@gmail.com</t>
  </si>
  <si>
    <t>https://www.linkedin.com/in/gionata-moretti/</t>
  </si>
  <si>
    <t>Ingegnere e consulente aziendale</t>
  </si>
  <si>
    <t>San Paolo (BS)</t>
  </si>
  <si>
    <t>Laurea in Ingegneria per l'Ambiente e il Territorio conseguita presso l'UNIBS il 13/07/2010</t>
  </si>
  <si>
    <t>Laurea in Ingegneria per l'ambiente e il territorio presso l'UNIBS
Laurea Magistrale in Ingegneria per l'ambiente e il territorio presso La Sapienza Università di Roma
Abilitazione all'esercizio della professione di Ingegnere presso l'UNIBS</t>
  </si>
  <si>
    <t>15 Novembre 2022 11:04</t>
  </si>
  <si>
    <t>Crotti</t>
  </si>
  <si>
    <t>CRTMTT98C14E884J</t>
  </si>
  <si>
    <t>'+393319309011</t>
  </si>
  <si>
    <t>matteo.98.crotti@gmail.com</t>
  </si>
  <si>
    <t>Laurea Magistrale in Ingegneria dell'Automazione Industriale</t>
  </si>
  <si>
    <t>15 Novembre 2022 11:02</t>
  </si>
  <si>
    <t>Fioletti</t>
  </si>
  <si>
    <t>FLTCLD90S20F471A</t>
  </si>
  <si>
    <t>'+393336137619</t>
  </si>
  <si>
    <t>claudiofioletti@gmail.com</t>
  </si>
  <si>
    <t>Laura magistrale 10/10/2016</t>
  </si>
  <si>
    <t>DOTTORE COMMERCIALISTA</t>
  </si>
  <si>
    <t>ROBOLINI</t>
  </si>
  <si>
    <t>GIULIA</t>
  </si>
  <si>
    <t>RBLGLI92S45B157C</t>
  </si>
  <si>
    <t>'+393774407686</t>
  </si>
  <si>
    <t>Castiglione delle Stiviere</t>
  </si>
  <si>
    <t>LAUREA MAGISTRALE, CALP, NOVEMBRE 2016</t>
  </si>
  <si>
    <t>15 Novembre 2022 11:01</t>
  </si>
  <si>
    <t>Franchini</t>
  </si>
  <si>
    <t>FRNSFN95C03E884Q</t>
  </si>
  <si>
    <t>franchini.stefano95@gmail.com</t>
  </si>
  <si>
    <t>https://www.linkedin.com/in/stefano-franchini/</t>
  </si>
  <si>
    <t>CEO Office | M&amp;A and Business Integration Consultant</t>
  </si>
  <si>
    <t>TeamSystem</t>
  </si>
  <si>
    <t>MBA - Master in Business Administration</t>
  </si>
  <si>
    <t>15 Novembre 2022 11:00</t>
  </si>
  <si>
    <t>Sardi de Letto</t>
  </si>
  <si>
    <t>SRDCLN94L68B157C</t>
  </si>
  <si>
    <t>carolina@sardideletto.it</t>
  </si>
  <si>
    <t>Laurea in giurisprudenza 30.4.2019</t>
  </si>
  <si>
    <t>15 Novembre 2022 10:59</t>
  </si>
  <si>
    <t>Lanzetti</t>
  </si>
  <si>
    <t>Lnzmrc96c20b157q</t>
  </si>
  <si>
    <t>'+393316534441</t>
  </si>
  <si>
    <t>lanzetti.marco@gmail.com</t>
  </si>
  <si>
    <t>https://www.linkedin.com/in/lanzettimarco</t>
  </si>
  <si>
    <t>Ispettore Antincendi</t>
  </si>
  <si>
    <t>Corpo Nazionale Vigili del Fuoco</t>
  </si>
  <si>
    <t>Laurea Magistrale in Ingegneria Meccanica, 16 febbraio 2021</t>
  </si>
  <si>
    <t>15 Novembre 2022 10:58</t>
  </si>
  <si>
    <t>Genito</t>
  </si>
  <si>
    <t>GNTLNE96B51E704J</t>
  </si>
  <si>
    <t>'+393476815820</t>
  </si>
  <si>
    <t>elenagenito@gmail.com</t>
  </si>
  <si>
    <t>https://www.linkedin.com/in/elena-genito-b63a32143/</t>
  </si>
  <si>
    <t>Patent Engineer - Consulente in Proprietà Intellettuale</t>
  </si>
  <si>
    <t>Jacobacci &amp; Partners S.p.a.</t>
  </si>
  <si>
    <t>Darfo Boario Terme</t>
  </si>
  <si>
    <t>Laurea Magistrale in Ingegneria Meccanica con specializzazione in Biomeccanica, conseguita il 23 marzo 2021</t>
  </si>
  <si>
    <t>15 Novembre 2022 10:57</t>
  </si>
  <si>
    <t>Dottor Ingegner</t>
  </si>
  <si>
    <t>Pasqua</t>
  </si>
  <si>
    <t>Enzo</t>
  </si>
  <si>
    <t>PSQNZE89E23E333E</t>
  </si>
  <si>
    <t>'+393463266095</t>
  </si>
  <si>
    <t>pasqua.enzo@live.com</t>
  </si>
  <si>
    <t>https://www.linkedin.com/in/enzopasqua/</t>
  </si>
  <si>
    <t>Enzo Pasqua</t>
  </si>
  <si>
    <t>Master di II livello</t>
  </si>
  <si>
    <t>15 Novembre 2022 10:53</t>
  </si>
  <si>
    <t>BLTRCR92S11D940Z</t>
  </si>
  <si>
    <t>'+393478603610</t>
  </si>
  <si>
    <t>rbeltrami01@gmail.com</t>
  </si>
  <si>
    <t>Dottore commercialista - consulenza aziendale</t>
  </si>
  <si>
    <t>EY SPA</t>
  </si>
  <si>
    <t>Laurea magistrale in Management e Finanza</t>
  </si>
  <si>
    <t>MRCMCH91T65G149U</t>
  </si>
  <si>
    <t>'+31619745426</t>
  </si>
  <si>
    <t>m.marche91@gmail.com</t>
  </si>
  <si>
    <t>https://www.linkedin.com/in/mariachiara-marchesi-a23a2686/</t>
  </si>
  <si>
    <t>Senior Portfolio Marketing Specialist</t>
  </si>
  <si>
    <t>UL Solutions</t>
  </si>
  <si>
    <t>Den Haag</t>
  </si>
  <si>
    <t>Netherlands</t>
  </si>
  <si>
    <t>Laurea II Livello International Business Aprile 2018</t>
  </si>
  <si>
    <t>Dato che è un bonifico dall'estero mi servirebbero più dati per poterlo completare. Qual è il nome dell'intestatario del conto?</t>
  </si>
  <si>
    <t>11 Novembre 2022 9:58</t>
  </si>
  <si>
    <t>Prof</t>
  </si>
  <si>
    <t>Giliani</t>
  </si>
  <si>
    <t>Silvia Clara</t>
  </si>
  <si>
    <t>GLNSVC65M45B157Y</t>
  </si>
  <si>
    <t>'+393393757580</t>
  </si>
  <si>
    <t>silvia.giliani@unibs.it</t>
  </si>
  <si>
    <t>Professore UNIBS Medicina di Laboratorio</t>
  </si>
  <si>
    <t>Laurea in Scienze Biologiche nel 1988 (vecchio ordinamento) UNIPV, Dottorato in Biotecnologie cellulari e molecolari applicate al settore biomedico UNIBS, Scuola di Specializzazione in Biochimica e Chimica Clinica UNIBS</t>
  </si>
  <si>
    <t>3 Novembre 2022 12:38</t>
  </si>
  <si>
    <t>Corso di laurea consulente del lavoro e giurista di impresa</t>
  </si>
  <si>
    <t>Laurea magistrale in ingegneria meccanica</t>
  </si>
  <si>
    <t>Laurea in infermieristica</t>
  </si>
  <si>
    <t>laurea magistrale in managment</t>
  </si>
  <si>
    <t>Laurea magistrale in MONETA, FINANZA E RISK MANAGEMENT</t>
  </si>
  <si>
    <t>Laurea magistrale in COMMUNICATION TECHNOLOGIES AND MULTIMEDIA - TECNOLOGIE DELLE COMUNICAZIONI E MULTIMEDIA</t>
  </si>
  <si>
    <t>Etiopia</t>
  </si>
  <si>
    <t>Laurea magistrale in medicina e chirurgia</t>
  </si>
  <si>
    <t>Laurea magistrale in INGEGNERIA DELL'AUTOMAZIONE INDUSTRIALE</t>
  </si>
  <si>
    <t>Scuola specializzazioni Professioni Legali</t>
  </si>
  <si>
    <t>laurea specialistica in INGEGNERIA PER L'AMBIENTE E IL TERRITORIO</t>
  </si>
  <si>
    <t>laurea magistrale in biotecnologie mediche</t>
  </si>
  <si>
    <t xml:space="preserve">DIP.TO DI MEDICINA MOLECOLARE E TRASLAZIONALE </t>
  </si>
  <si>
    <t>MZZLRT84E07B157U</t>
  </si>
  <si>
    <t>Corso di dottorato in diritto commerciale</t>
  </si>
  <si>
    <t>Laurea specialistica in MONETA, FINANZA E RISK MANAGEMENT</t>
  </si>
  <si>
    <t>Laurea magistrale in CONSULENZA AZIENDALE E LIBERA PROFESSIONE</t>
  </si>
  <si>
    <t>Laurea specialistica in ingegneria meccanica</t>
  </si>
  <si>
    <t>Corso di dottorato SCIENZE MEDICO -FORENSI</t>
  </si>
  <si>
    <t>laurea magistrale in INGEGNERIA PER L'AMBIENTE E IL TERRITORIO</t>
  </si>
  <si>
    <t>laurea in banca e finanza</t>
  </si>
  <si>
    <t>Laurea in ECONOMIA E GESTIONE DELL' INFORMAZIONE E DELLA COMUNICAZIONE</t>
  </si>
  <si>
    <t>Laurea specialistica in INGEGNERIA DELLE TELECOMUNICAZIONI</t>
  </si>
  <si>
    <t>laurea in INGEGNERIA PER L'AMBIENTE E IL TERRITORIO</t>
  </si>
  <si>
    <t>Laurea magitrale ciclo unico in INGEGNERIA EDILE-ARCHITETTURA</t>
  </si>
  <si>
    <t>Scuola di specializzazione BIOCHIMICA E CHIMICA CLINICA</t>
  </si>
  <si>
    <t>Corso di Laurea in Fisioterapia</t>
  </si>
  <si>
    <t xml:space="preserve">Laurea in Professioni sanitarie della riabilitazione psichiatrica </t>
  </si>
  <si>
    <t>Belotti</t>
  </si>
  <si>
    <t>BLTMRA90T70B157H</t>
  </si>
  <si>
    <t>'+393396626636</t>
  </si>
  <si>
    <t>mariabelotti1990@gmail.com</t>
  </si>
  <si>
    <t>https://www.linkedin.com/in/maria-belotti-69b55b83</t>
  </si>
  <si>
    <t>Ecommerce e digital manager</t>
  </si>
  <si>
    <t>L'oreal Italia</t>
  </si>
  <si>
    <t>Laurea specialistica in Management orientamento marketing, 2015</t>
  </si>
  <si>
    <t>19 Novembre 2022 13:35</t>
  </si>
  <si>
    <t>Cavuto</t>
  </si>
  <si>
    <t>Cvtlsn93c28b157t</t>
  </si>
  <si>
    <t>'+393205326008</t>
  </si>
  <si>
    <t>alessandro.cavuto@gmail.com</t>
  </si>
  <si>
    <t>Diversity and inclusion specialist</t>
  </si>
  <si>
    <t>Padenghe sul garda</t>
  </si>
  <si>
    <t>Laurea magistrale in management e finanza, 20q9</t>
  </si>
  <si>
    <t>19 Novembre 2022 13:09</t>
  </si>
  <si>
    <t>Avv</t>
  </si>
  <si>
    <t>Sozzi</t>
  </si>
  <si>
    <t>SZZLCU85A02E884K</t>
  </si>
  <si>
    <t>'+393280879756</t>
  </si>
  <si>
    <t>sozziluca@gmail.com</t>
  </si>
  <si>
    <t>Laurea specialistica in giurisprudenza il 05/07/2010</t>
  </si>
  <si>
    <t>19 Novembre 2022 10:02</t>
  </si>
  <si>
    <t>Kasemi</t>
  </si>
  <si>
    <t>Jona</t>
  </si>
  <si>
    <t>KSMJNO87R68Z100K</t>
  </si>
  <si>
    <t>'+393484029974</t>
  </si>
  <si>
    <t>jonakasemi@gmail.com</t>
  </si>
  <si>
    <t>https://www.linkedin.com/in/jona-kasemi-70095569</t>
  </si>
  <si>
    <t>Business Analyst</t>
  </si>
  <si>
    <t>UNIBS Laurea Magistrale - Management - 2013. Inoltre MBA Università di Pavia - in corso.</t>
  </si>
  <si>
    <t>19 Novembre 2022 9:42</t>
  </si>
  <si>
    <t>Piovani</t>
  </si>
  <si>
    <t>PVNMCH96M66E884S</t>
  </si>
  <si>
    <t>'+393345345578</t>
  </si>
  <si>
    <t>piovani.mariachiara@gmail.com</t>
  </si>
  <si>
    <t>https://www.linkedin.com/in/mariachiara-piovani</t>
  </si>
  <si>
    <t>Marketing &amp; Sales Support</t>
  </si>
  <si>
    <t>Leifheit AG</t>
  </si>
  <si>
    <t>18 Novembre 2022 23:39</t>
  </si>
  <si>
    <t>Cobelli</t>
  </si>
  <si>
    <t>CBLPLA92S27I437Q</t>
  </si>
  <si>
    <t>'+393898174415</t>
  </si>
  <si>
    <t>il.cobel92@gmail.com</t>
  </si>
  <si>
    <t>https://www.linkedin.com/in/paolocobelli/</t>
  </si>
  <si>
    <t>Consulente criptovalute e software gestionali</t>
  </si>
  <si>
    <t>Cobelli Paolo</t>
  </si>
  <si>
    <t>LM, Economia, "Moneta, Finanza e Risk Management", 28/03/2017</t>
  </si>
  <si>
    <t>17 Novembre 2022 14:19</t>
  </si>
  <si>
    <t>Dott. Ernest Lagji</t>
  </si>
  <si>
    <t>Lagji</t>
  </si>
  <si>
    <t>Ernest</t>
  </si>
  <si>
    <t>LGJRST85L02Z100I</t>
  </si>
  <si>
    <t>'+393473312168</t>
  </si>
  <si>
    <t>ernest@politichedelavoro.it</t>
  </si>
  <si>
    <t>Ernest Lagji</t>
  </si>
  <si>
    <t>FE.EL. Politiche del lavoro Srl</t>
  </si>
  <si>
    <t>Consulente del lavoro/Master esperto politiche del lavoro</t>
  </si>
  <si>
    <t>16 Novembre 2022 23:14</t>
  </si>
  <si>
    <t>Bernori</t>
  </si>
  <si>
    <t>'+393346150221</t>
  </si>
  <si>
    <t>michele.bernori@gmail.com</t>
  </si>
  <si>
    <t>www.linkedin.com/in/michele-bernori</t>
  </si>
  <si>
    <t>Business developer</t>
  </si>
  <si>
    <t>Foresti Spa</t>
  </si>
  <si>
    <t>Laurea II livello</t>
  </si>
  <si>
    <t>16 Novembre 2022 17:15</t>
  </si>
  <si>
    <t>Pedersini</t>
  </si>
  <si>
    <t>Silvia Cecilia</t>
  </si>
  <si>
    <t>PDRSVC87T71B157K</t>
  </si>
  <si>
    <t>'+393383899237</t>
  </si>
  <si>
    <t>silviapedersini@gmail.com</t>
  </si>
  <si>
    <t>16 Novembre 2022 16:26</t>
  </si>
  <si>
    <t>Marconi</t>
  </si>
  <si>
    <t>MRCJCP91R31B157V</t>
  </si>
  <si>
    <t>'+393288660375</t>
  </si>
  <si>
    <t>jacopo.marconi@metalwork.it</t>
  </si>
  <si>
    <t>www.linkedin.com/in/jacopo-marconi-2ab463aa</t>
  </si>
  <si>
    <t>Operations Manager</t>
  </si>
  <si>
    <t>Metal Work S.p.A.</t>
  </si>
  <si>
    <t>Laurea Magistrale in INGEGNERIA DELL'AUTOMAZIONE INDUSTRIALE, 27/10/2015</t>
  </si>
  <si>
    <t>16 Novembre 2022 13:50</t>
  </si>
  <si>
    <t>Mancini</t>
  </si>
  <si>
    <t>MNCSRA86P43B157U</t>
  </si>
  <si>
    <t>'+393293020871</t>
  </si>
  <si>
    <t>sara.mancini@cometaleng.com</t>
  </si>
  <si>
    <t>Cometal Engineering SpA</t>
  </si>
  <si>
    <t>16 Novembre 2022 11:44</t>
  </si>
  <si>
    <t>PVNPLA82P23G149X</t>
  </si>
  <si>
    <t>'+393289123552</t>
  </si>
  <si>
    <t>paolo.piovani@alice.it</t>
  </si>
  <si>
    <t>https://www.linkedin.com/in/paolo-piovani-46b551148/</t>
  </si>
  <si>
    <t>Insegnante - Formatore</t>
  </si>
  <si>
    <t>Pompiano</t>
  </si>
  <si>
    <t>Laurea Specialistica, Scienze e tecniche delle attività motorie preventive ed adattative, 2011</t>
  </si>
  <si>
    <t>16 Novembre 2022 11:42</t>
  </si>
  <si>
    <t>laurea triennale in corso</t>
  </si>
  <si>
    <t>Paolucci</t>
  </si>
  <si>
    <t>PLCMTT02L26H501E</t>
  </si>
  <si>
    <t>'+393451631434</t>
  </si>
  <si>
    <t>matteopaolucci002@gmail.com</t>
  </si>
  <si>
    <t>www.linkedin.com/in/matteo-paolucci-a73a86223</t>
  </si>
  <si>
    <t>STUDENTE</t>
  </si>
  <si>
    <t>Terni</t>
  </si>
  <si>
    <t>laurea triennale in corso, economia e azienda digitale al secondo anno, data prevista 2024</t>
  </si>
  <si>
    <t>16 Novembre 2022 11:39</t>
  </si>
  <si>
    <t>FYAJPR72D13Z343O - FYAJPL72D13Z343I</t>
  </si>
  <si>
    <t>Corso di laurea Magistrale in Management</t>
  </si>
  <si>
    <t>Corso di laurea specialistica in Giurisprudenza</t>
  </si>
  <si>
    <t>Corso di laurea in Economia e gestione aziendale</t>
  </si>
  <si>
    <t>Corso di laurea magistrale in MONETA, FINANZA E RISK MANAGEMENT</t>
  </si>
  <si>
    <t>Corso di laurea in CONSULENTE DEL LAVORO E GIURISTA D'IMPRESA</t>
  </si>
  <si>
    <t>BRNMHL95P29B157W</t>
  </si>
  <si>
    <t>Corso di Laurea in INGEGNERIA GESTIONALE</t>
  </si>
  <si>
    <t>Corso di laurea in Infermieristica</t>
  </si>
  <si>
    <t>Corso di laurea magistrale in INGEGNERIA DELL'AUTOMAZIONE INDUSTRIALE</t>
  </si>
  <si>
    <t>Corso di laurea specialistica in Ingegneria Gestionale</t>
  </si>
  <si>
    <t>Corso di laurea specialistica in SCIENZE E TECNICHE DELLE ATTIVITÀ MOTORIE PREVENTIVE E ADATTATE</t>
  </si>
  <si>
    <t>Corso di laurea in Economia - Moneta e Finanza</t>
  </si>
  <si>
    <t>Inglese</t>
  </si>
  <si>
    <t>ziniandrea86@alice.it</t>
  </si>
  <si>
    <t>INGEGNERE CIVILE JUNIOR</t>
  </si>
  <si>
    <t>GUIZZARDI</t>
  </si>
  <si>
    <t>DAVIDE</t>
  </si>
  <si>
    <t>GZZDVD94P25D434Q</t>
  </si>
  <si>
    <t>'+393347271535</t>
  </si>
  <si>
    <t>davideguizzardi@gmail.com</t>
  </si>
  <si>
    <t>Istruttore tecnico categoria C1 - impiego pubblico - Dipendente a tempo indeterminato</t>
  </si>
  <si>
    <t>Comune di Vezza d'Oglio</t>
  </si>
  <si>
    <t>Edolo</t>
  </si>
  <si>
    <t>laurea triennale - ingegneria civile - Data di laurea 22 marzo 2021</t>
  </si>
  <si>
    <t>3 Dicembre 2022 18:22</t>
  </si>
  <si>
    <t>Boldini</t>
  </si>
  <si>
    <t>Bldmrc80c02b157o</t>
  </si>
  <si>
    <t>'+393404104030</t>
  </si>
  <si>
    <t>boldini.marco@gmail.com</t>
  </si>
  <si>
    <t>https://www.linkedin.com/in/marcoboldini</t>
  </si>
  <si>
    <t>Partner</t>
  </si>
  <si>
    <t>Orrick</t>
  </si>
  <si>
    <t>Laura magistrale giurisprudenza V.O.</t>
  </si>
  <si>
    <t>Già console on italiano in UK
Prof straordinario diritto presso università San Raffaele roma
Vincitore premio avvocato inglese dell anno in uk 2018</t>
  </si>
  <si>
    <t>1 Dicembre 2022 7:02</t>
  </si>
  <si>
    <t>FRRCLD96D63E333L</t>
  </si>
  <si>
    <t>'+393451640070</t>
  </si>
  <si>
    <t>claudiaferrari1996@gmail.com</t>
  </si>
  <si>
    <t>Progettista meccanico</t>
  </si>
  <si>
    <t>Tecnistamp</t>
  </si>
  <si>
    <t>Laurea magistrale ingegneria meccanica</t>
  </si>
  <si>
    <t>30 Novembre 2022 9:52</t>
  </si>
  <si>
    <t>Gaglione</t>
  </si>
  <si>
    <t>GGLLGU89E12B157H</t>
  </si>
  <si>
    <t>gigio89@gmail.com</t>
  </si>
  <si>
    <t>Systems Design Engineer</t>
  </si>
  <si>
    <t>Red Bull Racing</t>
  </si>
  <si>
    <t>Milton Keynes</t>
  </si>
  <si>
    <t>Laurea Magistrale Ingegneria Meccanica (Autoveicoli), 05/2015</t>
  </si>
  <si>
    <t>29 Novembre 2022 1:11</t>
  </si>
  <si>
    <t>Magalini</t>
  </si>
  <si>
    <t>MGLNDR76R07B157G</t>
  </si>
  <si>
    <t>'+393466620693</t>
  </si>
  <si>
    <t>a.magalini@gmail.com</t>
  </si>
  <si>
    <t>www.linkedin.com/in/andreamagalini</t>
  </si>
  <si>
    <t>Sales director</t>
  </si>
  <si>
    <t>Turboden SpA</t>
  </si>
  <si>
    <t>Laurea in Ingegneria, LEAD executive certificate Stanford</t>
  </si>
  <si>
    <t>28 Novembre 2022 11:02</t>
  </si>
  <si>
    <t>CONSOLI</t>
  </si>
  <si>
    <t>DARIO</t>
  </si>
  <si>
    <t>CNSDRA84D02B157V</t>
  </si>
  <si>
    <t>'+393883936471</t>
  </si>
  <si>
    <t>consolidario@hotmail.it</t>
  </si>
  <si>
    <t>https://www.linkedin.com/in/hashtagdarioconsoli/</t>
  </si>
  <si>
    <t>28 Novembre 2022 9:42</t>
  </si>
  <si>
    <t>Bonfiglio</t>
  </si>
  <si>
    <t>BNFMNL89H20B157K</t>
  </si>
  <si>
    <t>emanuele89b@gmail.com</t>
  </si>
  <si>
    <t>Architetto - BIM coordinator</t>
  </si>
  <si>
    <t>Francoforte sul Meno</t>
  </si>
  <si>
    <t>Germany</t>
  </si>
  <si>
    <t>Magistrale ciclo unico Ingegneria Edile - Architettura</t>
  </si>
  <si>
    <t>27 Novembre 2022 15:07</t>
  </si>
  <si>
    <t>Cristini</t>
  </si>
  <si>
    <t>CRSLRA75S61B157M</t>
  </si>
  <si>
    <t>'+393388699898</t>
  </si>
  <si>
    <t>l.cristini@studioamato.it</t>
  </si>
  <si>
    <t>http://linkedin.com/in/lauracristini</t>
  </si>
  <si>
    <t>Socio</t>
  </si>
  <si>
    <t>Studio legale associato Amato Ambrosini</t>
  </si>
  <si>
    <t>26 Novembre 2022 14:08</t>
  </si>
  <si>
    <t>Linetti</t>
  </si>
  <si>
    <t>Carlo</t>
  </si>
  <si>
    <t>lntcrl59s29b157c</t>
  </si>
  <si>
    <t>'+393277620183</t>
  </si>
  <si>
    <t>c.linetti@alice.it</t>
  </si>
  <si>
    <t>linkedin.com/in/carlo-linetti</t>
  </si>
  <si>
    <t>Vice Presidente/CEO</t>
  </si>
  <si>
    <t>COBO SPA/Fc Electronic</t>
  </si>
  <si>
    <t>Laurea magistrale in Ingegneria meccanica 12/07/1985</t>
  </si>
  <si>
    <t>24 Novembre 2022 16:39</t>
  </si>
  <si>
    <t>Dossena</t>
  </si>
  <si>
    <t>DSSNGL89R27B157Y</t>
  </si>
  <si>
    <t>'+393408495840</t>
  </si>
  <si>
    <t>a.dossena1989@gmail.com</t>
  </si>
  <si>
    <t>https://www.linkedin.com/in/angelo-dossena/</t>
  </si>
  <si>
    <t>Head of Business Development, Partnership &amp; Licensing</t>
  </si>
  <si>
    <t>1000 Miglia Srl</t>
  </si>
  <si>
    <t>Laurea Magistrale in Ingegneria Gestionale (LM-31)</t>
  </si>
  <si>
    <t>24 Novembre 2022 12:22</t>
  </si>
  <si>
    <t>dottor</t>
  </si>
  <si>
    <t>Benini</t>
  </si>
  <si>
    <t>bnnlsn88e15m172n</t>
  </si>
  <si>
    <t>mr.benny1988@gmail.com</t>
  </si>
  <si>
    <t>brescia</t>
  </si>
  <si>
    <t>laurea magistrale in giurisprudenza, conseguita ad ottobre 2014</t>
  </si>
  <si>
    <t>23 Novembre 2022 15:19</t>
  </si>
  <si>
    <t>Musicco</t>
  </si>
  <si>
    <t>'+39351725883</t>
  </si>
  <si>
    <t>nicola.musicco@gmail.com</t>
  </si>
  <si>
    <t>https://www.linkedin.com/in/nicola-musicco-514428176</t>
  </si>
  <si>
    <t>Laurea magistrale in Ingegneria meccanica conseguita il 20-05-2021. Votazione: 109. Abilitato alla professione di Ingegnere Industriale</t>
  </si>
  <si>
    <t>23 Novembre 2022 12:29</t>
  </si>
  <si>
    <t>Costantino Mauro</t>
  </si>
  <si>
    <t>Sanfilippo</t>
  </si>
  <si>
    <t>SNFCTN81B02I437Z</t>
  </si>
  <si>
    <t>'+393924058963</t>
  </si>
  <si>
    <t>mauro.sanfilippo@gmail.com</t>
  </si>
  <si>
    <t>https://www.linkedin.com/in/c-mauro-sanfilippo/</t>
  </si>
  <si>
    <t>CTO</t>
  </si>
  <si>
    <t>smeup spa</t>
  </si>
  <si>
    <t>ERBUSCO</t>
  </si>
  <si>
    <t>Laurea secondo livello, Ingegneria Informatica, 2017</t>
  </si>
  <si>
    <t>23 Novembre 2022 9:32</t>
  </si>
  <si>
    <t>NGYDNS90T11D940A</t>
  </si>
  <si>
    <t>denis.ngy@gmail.com</t>
  </si>
  <si>
    <t>Risk Management Specialist</t>
  </si>
  <si>
    <t>AXA Italy</t>
  </si>
  <si>
    <t>Laurea magistrale in Moneta, Finanaza e Risk Management</t>
  </si>
  <si>
    <t>22 Novembre 2022 20:37</t>
  </si>
  <si>
    <t>BRTMHL93A09E884B</t>
  </si>
  <si>
    <t>'+393332102214</t>
  </si>
  <si>
    <t>bertotablet10@gmail.com</t>
  </si>
  <si>
    <t>https://www.linkedin.com/in/michele-bertolini-480a5a141</t>
  </si>
  <si>
    <t>Politecnico di Milano</t>
  </si>
  <si>
    <t>Verolanuova</t>
  </si>
  <si>
    <t>Laurea, Ingegneria, 2016</t>
  </si>
  <si>
    <t>22 Novembre 2022 17:54</t>
  </si>
  <si>
    <t>Fredi</t>
  </si>
  <si>
    <t>FRDGLI92A70E884X</t>
  </si>
  <si>
    <t>giuliafredi@hotmail.it</t>
  </si>
  <si>
    <t>Ricercatrice RTDa</t>
  </si>
  <si>
    <t>Università di Trento</t>
  </si>
  <si>
    <t>Manerbio (BS)</t>
  </si>
  <si>
    <t>Dottorato in Materials, Mechatronics and Systems Engineering (UniTrento), conseguito in data 5 giugno 2020</t>
  </si>
  <si>
    <t>22 Novembre 2022 7:55</t>
  </si>
  <si>
    <t>MSCNCL95E30B157C</t>
  </si>
  <si>
    <t>Laurea specialistica in Ingegneria Informatica</t>
  </si>
  <si>
    <t>Laurea Magistrale in MONETA, FINANZA E RISK MANAGEMENT</t>
  </si>
  <si>
    <t>Laurea in INGEGNERIA MECCANICA E DEI MATERIALI</t>
  </si>
  <si>
    <t>Laurea magistrale in Ingegneria Meccanica</t>
  </si>
  <si>
    <t>Laurea in Ingegneria gestionale</t>
  </si>
  <si>
    <t>Laurea in Ingegneria Meccanica</t>
  </si>
  <si>
    <t>Laurea ciclo unico in Ingegneria Edile-architettura</t>
  </si>
  <si>
    <t>Laurea in Economia e gestione aziendale</t>
  </si>
  <si>
    <t>Educatore Professionale</t>
  </si>
  <si>
    <t>Maggioni</t>
  </si>
  <si>
    <t>Rebecca</t>
  </si>
  <si>
    <t>MGGRCC94C58F205K</t>
  </si>
  <si>
    <t>rebecca.maggioni@gmail.com</t>
  </si>
  <si>
    <t>Treviglio</t>
  </si>
  <si>
    <t>Laurea in Educazione Professionale SNT/2</t>
  </si>
  <si>
    <t>Bosco</t>
  </si>
  <si>
    <t>Augusto</t>
  </si>
  <si>
    <t>BSCGST90C08B157Y</t>
  </si>
  <si>
    <t>'+393315222185</t>
  </si>
  <si>
    <t>avv.augustobosco@gmail.com</t>
  </si>
  <si>
    <t>14 Dicembre 2022 2:48</t>
  </si>
  <si>
    <t>13 Dicembre 2022 23:06</t>
  </si>
  <si>
    <t>bianchi</t>
  </si>
  <si>
    <t>marco</t>
  </si>
  <si>
    <t>BNCMRC64M20B157Z</t>
  </si>
  <si>
    <t>mbianchi@bianchipaterlini.it</t>
  </si>
  <si>
    <t>Laurea in Economia e Commercio anno 1990</t>
  </si>
  <si>
    <t>12 Dicembre 2022 12:38</t>
  </si>
  <si>
    <t>RSSNDR88c27b157t</t>
  </si>
  <si>
    <t>'+393772250799</t>
  </si>
  <si>
    <t>andrea.rossi@redsandev.com</t>
  </si>
  <si>
    <t>https://www.linkedin.com/in/redsandev/</t>
  </si>
  <si>
    <t>Freelance</t>
  </si>
  <si>
    <t>Andrea Rossi</t>
  </si>
  <si>
    <t>Laurea Triennale, Ingegneria dell'informazione, 2017</t>
  </si>
  <si>
    <t>12 Dicembre 2022 10:50</t>
  </si>
  <si>
    <t>Porta</t>
  </si>
  <si>
    <t>Donatello</t>
  </si>
  <si>
    <t>donatello.porta@gmail.com</t>
  </si>
  <si>
    <t>Laurea MAgistrale</t>
  </si>
  <si>
    <t>11 Dicembre 2022 21:57</t>
  </si>
  <si>
    <t>Foresti</t>
  </si>
  <si>
    <t>FRSLNZ95D23B157H</t>
  </si>
  <si>
    <t>'+393349876004</t>
  </si>
  <si>
    <t>lorenzoforesti7@gmail.com</t>
  </si>
  <si>
    <t>Lorenzo Foresti</t>
  </si>
  <si>
    <t>Ingegnere progettista</t>
  </si>
  <si>
    <t>Morandi S.r.l.</t>
  </si>
  <si>
    <t>5 Dicembre 2022 22:55</t>
  </si>
  <si>
    <t>Laurea in Economia e Commercio</t>
  </si>
  <si>
    <t>Laurea in ingegneria informatica</t>
  </si>
  <si>
    <t>PRTDTL89H01B157A</t>
  </si>
  <si>
    <t>Laurea in Economia e Gestione aziendale</t>
  </si>
  <si>
    <t>Dottore in Moneta, Finanza e Risk Management</t>
  </si>
  <si>
    <t>Nicolò</t>
  </si>
  <si>
    <t>marini.n92@gmail.com</t>
  </si>
  <si>
    <t>Goverment Bonds Trader</t>
  </si>
  <si>
    <t>Unicredit SPA</t>
  </si>
  <si>
    <t>Carpenedolo</t>
  </si>
  <si>
    <t>17 Dicembre 2022 11:41</t>
  </si>
  <si>
    <t>Cioffi</t>
  </si>
  <si>
    <t>CFFRRT89R65F839O</t>
  </si>
  <si>
    <t>'+393398820210</t>
  </si>
  <si>
    <t>roberta.cioffi@gmail.com</t>
  </si>
  <si>
    <t>https://www.linkedin.com/in/robertacioffi</t>
  </si>
  <si>
    <t>Sustainability Manager</t>
  </si>
  <si>
    <t>Raccagni Group spa</t>
  </si>
  <si>
    <t>Laurea Magistrale in Ingegneria per L'ambiente e il territorio, Dicembre 2014</t>
  </si>
  <si>
    <t>16 Dicembre 2022 15:10</t>
  </si>
  <si>
    <t>Shqepa</t>
  </si>
  <si>
    <t>Frenki</t>
  </si>
  <si>
    <t>SHQFNK99D02Z100Y</t>
  </si>
  <si>
    <t>'+393248727860</t>
  </si>
  <si>
    <t>shqepa23@gmail.com</t>
  </si>
  <si>
    <t>https://www.linkedin.com/in/frenkishqepa</t>
  </si>
  <si>
    <t>Laurea triennale in Ingegneria elettronica e delle telecomunicazioni</t>
  </si>
  <si>
    <t>16 Dicembre 2022 9:40</t>
  </si>
  <si>
    <t>Laurea in Ingegneria elettronica e delle telecomunicazioni</t>
  </si>
  <si>
    <t>MRNNCL92D23D940W</t>
  </si>
  <si>
    <t>Laurea in Educazione Professionale</t>
  </si>
  <si>
    <t>matteo.ferrari@univ-st-etienne.fr</t>
  </si>
  <si>
    <t>Gennari</t>
  </si>
  <si>
    <t>GNNFNC74A42D918U</t>
  </si>
  <si>
    <t>francesca.gennari@unibs.it</t>
  </si>
  <si>
    <t>Università deglòi Studi di Brescia</t>
  </si>
  <si>
    <t>Dottorato di Ricerca in Marketing, Gestione delle imprese e Metodi statistici di valutazione, Università degli Studi di Milano Bicocca, 17/12/2002</t>
  </si>
  <si>
    <t>9 Gennaio 2023 12:32</t>
  </si>
  <si>
    <t>MRNPTR71P23G264B</t>
  </si>
  <si>
    <t>'+447826555876</t>
  </si>
  <si>
    <t>p.marini@kelmer.com</t>
  </si>
  <si>
    <t>Partner e Amministratore</t>
  </si>
  <si>
    <t>KELMER UK LTD</t>
  </si>
  <si>
    <t>Dottore in Economia e commercio, 1999</t>
  </si>
  <si>
    <t>5 Gennaio 2023 16:17</t>
  </si>
  <si>
    <t>Zanacchi</t>
  </si>
  <si>
    <t>ZNCNCL94L20B157V</t>
  </si>
  <si>
    <t>nico.zanacchi@gmail.com</t>
  </si>
  <si>
    <t>Laurea Magistrale a ciclo unico in Giurisprudenza (Unibs) 10/12/2019, Scuola di Specializzazione per le Professioni Legali (Unibs) 08/07/2022, Esame d'abilitazione all'esercizio della professione forense 28/09/2022</t>
  </si>
  <si>
    <t>4 Gennaio 2023 15:50</t>
  </si>
  <si>
    <t>Pirola</t>
  </si>
  <si>
    <t>PRLLSS82R21B157P</t>
  </si>
  <si>
    <t>'+393337196254</t>
  </si>
  <si>
    <t>pirola.alessio@gmail.com</t>
  </si>
  <si>
    <t>https://www.linkedin.com/in/alessio-pirola-09861439/</t>
  </si>
  <si>
    <t>Laurea di Primo Livello, Economia e Azienda Digitale, 20/12/2022</t>
  </si>
  <si>
    <t>26 Dicembre 2022 17:31</t>
  </si>
  <si>
    <t>Garofalo</t>
  </si>
  <si>
    <t>GRFLNZ90D13B157E</t>
  </si>
  <si>
    <t>'+393402573421</t>
  </si>
  <si>
    <t>lorenzogarofalo@hotmail.com</t>
  </si>
  <si>
    <t>Laurea Magistrale in Moneta, Finanza e Risk Management (2017)</t>
  </si>
  <si>
    <t>23 Dicembre 2022 12:28</t>
  </si>
  <si>
    <t>Laurea in Economia e Legislazione per l'impresa</t>
  </si>
  <si>
    <t>Scuola di specializzazione in Professioni legali</t>
  </si>
  <si>
    <t>Laurea in Economia e azienda digitale</t>
  </si>
  <si>
    <t>Castelli</t>
  </si>
  <si>
    <t>CSTFNC58D05F205Y</t>
  </si>
  <si>
    <t>fcastelli05@gmail.com</t>
  </si>
  <si>
    <t>Rettore</t>
  </si>
  <si>
    <t>Laurea in Medicina e Chirurgia, Specializzazione in Malattie Infettive e in Medicina Tropicale</t>
  </si>
  <si>
    <t>24 Gennaio 2023 13:51</t>
  </si>
  <si>
    <t>Cavalleri</t>
  </si>
  <si>
    <t>CVLLCU82M10I437O</t>
  </si>
  <si>
    <t>'+393337526498</t>
  </si>
  <si>
    <t>luca.cavalleri@kdw-srl.com</t>
  </si>
  <si>
    <t>https://www.linkedin.com/in/lucacavalleri1/</t>
  </si>
  <si>
    <t>Dottore Commercialista - Socio e amministratore</t>
  </si>
  <si>
    <t>KDW s.r.l. - Società Tra Professionisti</t>
  </si>
  <si>
    <t>Erbusco (Brescia)</t>
  </si>
  <si>
    <t>Laurea Magistrale - Facoltà di Economia - Consulenza Aziendale e Libera Professione - Conseguimento: Dicembre 2006</t>
  </si>
  <si>
    <t>20 Gennaio 2023 11:56</t>
  </si>
  <si>
    <t>Zola</t>
  </si>
  <si>
    <t>Elisabetta</t>
  </si>
  <si>
    <t>ZLOLBT77A69B157U</t>
  </si>
  <si>
    <t>'+393311650337</t>
  </si>
  <si>
    <t>elisabetta.zola@gmail.com</t>
  </si>
  <si>
    <t>linkedin.com/in/elisabetta-zola-a554648</t>
  </si>
  <si>
    <t>Distribution Logistics Manager</t>
  </si>
  <si>
    <t>Fabbrica d'Armi Pietro Beretta S.p.A.</t>
  </si>
  <si>
    <t>Laurea in Ingegneria Gestionale conseguita nel 2002</t>
  </si>
  <si>
    <t>20 Gennaio 2023 10:27</t>
  </si>
  <si>
    <t>Beffa</t>
  </si>
  <si>
    <t>BFFSLV93L43B157T</t>
  </si>
  <si>
    <t>'+393397341517</t>
  </si>
  <si>
    <t>silvia.slvbff@gmail.com</t>
  </si>
  <si>
    <t>Silvia Beffa</t>
  </si>
  <si>
    <t>Impiegato commerciale</t>
  </si>
  <si>
    <t>Laurea I livello - Economia - conseguita nell’aprile 2016</t>
  </si>
  <si>
    <t>17 Gennaio 2023 16:05</t>
  </si>
  <si>
    <t>Rettore Unibs</t>
  </si>
  <si>
    <t>Laurea specialistica in Consulenza Aziendale e libera professione</t>
  </si>
  <si>
    <t>Laurea in ingegneria gestionale</t>
  </si>
  <si>
    <t>Anno solare iscrizione</t>
  </si>
  <si>
    <t>2023</t>
  </si>
  <si>
    <t>CSSFST67B28B157H - CSSFTG67B28B157W</t>
  </si>
  <si>
    <t>CF in esse3 - CSSFTG67B28B157W</t>
  </si>
  <si>
    <t>DIPT. ECONOMIA E MANAGMENT</t>
  </si>
  <si>
    <t>Gamberoni</t>
  </si>
  <si>
    <t>Fabiana</t>
  </si>
  <si>
    <t>GMBFBN98M53D940D</t>
  </si>
  <si>
    <t>'+393339936708</t>
  </si>
  <si>
    <t>fabianagamberoni1998@gmail.com</t>
  </si>
  <si>
    <t>Praticante Avvocato</t>
  </si>
  <si>
    <t>Laurea magistrale a ciclo unico in Giurisprudenza conseguita il 18 ottobre 2022</t>
  </si>
  <si>
    <t>4 Febbraio 2023 8:55</t>
  </si>
  <si>
    <t>Napoli</t>
  </si>
  <si>
    <t>npllnz89a05h501b</t>
  </si>
  <si>
    <t>'+393404199718</t>
  </si>
  <si>
    <t>lorenzo.napoli.001@gmail.com</t>
  </si>
  <si>
    <t>https://www.linkedin.com/in/lorenzo-napoli/</t>
  </si>
  <si>
    <t>Economia e management corso in marketing data 4/2023</t>
  </si>
  <si>
    <t>3 Febbraio 2023 22:36</t>
  </si>
  <si>
    <t>VAVASSORI</t>
  </si>
  <si>
    <t>FILIPPO</t>
  </si>
  <si>
    <t>VVSFPP94L17C618U</t>
  </si>
  <si>
    <t>'+393478114187</t>
  </si>
  <si>
    <t>vavassori.filippo17@gmail.com</t>
  </si>
  <si>
    <t>https://www.linkedin.com/in/filippo-vavassori-259a5a224l</t>
  </si>
  <si>
    <t>Dottore Commercialista e Revisore Legale</t>
  </si>
  <si>
    <t>Palazzolo sull'Oglio</t>
  </si>
  <si>
    <t>Laurea Magistrale in Consulenza Aziendale e Libera Professione, 26/03/2020</t>
  </si>
  <si>
    <t>2 Febbraio 2023 17:52</t>
  </si>
  <si>
    <t>prof.</t>
  </si>
  <si>
    <t>Depero</t>
  </si>
  <si>
    <t>Laura Eleonora</t>
  </si>
  <si>
    <t>DPRLLN60B59A794E</t>
  </si>
  <si>
    <t>'+393488140775</t>
  </si>
  <si>
    <t>linkedin.com/in/laura-e-depero-4454431</t>
  </si>
  <si>
    <t>Professore ordinario</t>
  </si>
  <si>
    <t>Laurea in Fisica dello Stato solido, 1984</t>
  </si>
  <si>
    <t>1 Febbraio 2023 9:02</t>
  </si>
  <si>
    <t>Laurea magistrale in consulenza aziendale e libera professione</t>
  </si>
  <si>
    <t>Dottorato in ingegneria civile e ambientale della cooperazione internazionale e di matematica</t>
  </si>
  <si>
    <t>Rodondi</t>
  </si>
  <si>
    <t>Rdnmrc79l27d391r</t>
  </si>
  <si>
    <t>'+393492137852</t>
  </si>
  <si>
    <t>m.rodondi@studium1912.it</t>
  </si>
  <si>
    <t>Studium 19.12</t>
  </si>
  <si>
    <t>13 Febbraio 2023 8:56</t>
  </si>
  <si>
    <t>ADESIONE - TURRA MARCO - CONTROLLER</t>
  </si>
  <si>
    <t>TURRA</t>
  </si>
  <si>
    <t>MARCO</t>
  </si>
  <si>
    <t>TRRMRC93A21D284J</t>
  </si>
  <si>
    <t>'+393398136594</t>
  </si>
  <si>
    <t>marco.turra.93@gmail.com</t>
  </si>
  <si>
    <t>https://www.linkedin.com/in/marcoturra1993/</t>
  </si>
  <si>
    <t>CONTROLLER</t>
  </si>
  <si>
    <t>https://koenig-bauer-celmacch.com/</t>
  </si>
  <si>
    <t>PADENGHE SUL GARDA</t>
  </si>
  <si>
    <t>LAUREA MAGISTRALE, CALP (CONSULENZ AZIENDALE E LIBERA PROFESSIONE), 26/03/2020</t>
  </si>
  <si>
    <t>10 Febbraio 2023 14:24</t>
  </si>
  <si>
    <t>Sibilia</t>
  </si>
  <si>
    <t>SBLLNZ95T18B157A</t>
  </si>
  <si>
    <t>'+393351740569</t>
  </si>
  <si>
    <t>lorenzosibilia@gmail.com</t>
  </si>
  <si>
    <t>Via Tito Speri 30</t>
  </si>
  <si>
    <t>Junior Business Developer</t>
  </si>
  <si>
    <t>Gefran S.P.A</t>
  </si>
  <si>
    <t>Laurea Magistrale in ingegneria dell'automazione industriale, data di Laurea 22/03/22, voto 110L/110.</t>
  </si>
  <si>
    <t>Grazie.</t>
  </si>
  <si>
    <t>6 Febbraio 2023 22:13</t>
  </si>
  <si>
    <t>Docente UNIBS</t>
  </si>
  <si>
    <t>Laurea magistrale in Ingegneria e dell'automazione industriale</t>
  </si>
  <si>
    <t>Gioielleria Fasoli S.p.A.</t>
  </si>
  <si>
    <t>Laurea magistrale Economia e Commercio, anno 2000</t>
  </si>
  <si>
    <t>Dottore in Management-International Business</t>
  </si>
  <si>
    <t>Borgese</t>
  </si>
  <si>
    <t>BRGDRD97A01D284W</t>
  </si>
  <si>
    <t>'+393313942422</t>
  </si>
  <si>
    <t>edoardoborgese@gmail.com</t>
  </si>
  <si>
    <t>https://www.linkedin.com/in/edoardoborgese/</t>
  </si>
  <si>
    <t>Business consultant</t>
  </si>
  <si>
    <t>Laurea Magistrale, Managment, laureato il 20/12/2022</t>
  </si>
  <si>
    <t>22 Febbraio 2023 15:02</t>
  </si>
  <si>
    <t>Laurea in Ingegneria per l'Ambiente e il Territorio</t>
  </si>
  <si>
    <t>Pezzoli</t>
  </si>
  <si>
    <t>'+393494004366</t>
  </si>
  <si>
    <t>laura.pezzoli94@gmail.com</t>
  </si>
  <si>
    <t>https://www.linkedin.com/in/laura-pezzoli-6a6a631b3/</t>
  </si>
  <si>
    <t>ispettore ambientale</t>
  </si>
  <si>
    <t>cepavdue</t>
  </si>
  <si>
    <t>21 Febbraio 2023 17:36</t>
  </si>
  <si>
    <t>Oprandi</t>
  </si>
  <si>
    <t>PRNLRT93D25B157R</t>
  </si>
  <si>
    <t>'+393492615863</t>
  </si>
  <si>
    <t>albertooprandi@gmail.com</t>
  </si>
  <si>
    <t>https://www.linkedin.com/in/albertooprandi/</t>
  </si>
  <si>
    <t>Irobi srl</t>
  </si>
  <si>
    <t>Laurea magistrale in Ingegneria Meccanica conseguita il 20/10/2020</t>
  </si>
  <si>
    <t>21 Febbraio 2023 14:10</t>
  </si>
  <si>
    <t>Garza</t>
  </si>
  <si>
    <t>GRZMRC83H25C618M</t>
  </si>
  <si>
    <t>'+393333223044</t>
  </si>
  <si>
    <t>avvgarza@legalfgb.it</t>
  </si>
  <si>
    <t>Laurea specialistica in Giurisprudenza anno 2009</t>
  </si>
  <si>
    <t>15 Febbraio 2023 20:56</t>
  </si>
  <si>
    <t>Laurea magistrale in Managmenti</t>
  </si>
  <si>
    <t>PZZLRA94S69D940H</t>
  </si>
  <si>
    <t xml:space="preserve">Laurea magistrale in Civil and environmental engineering </t>
  </si>
  <si>
    <t>dottoressa</t>
  </si>
  <si>
    <t>pancera</t>
  </si>
  <si>
    <t>sara</t>
  </si>
  <si>
    <t>PNCSRA94E59F471Y</t>
  </si>
  <si>
    <t>'+393285407681</t>
  </si>
  <si>
    <t>sarapancera94@gmail.com</t>
  </si>
  <si>
    <t>libera professionista</t>
  </si>
  <si>
    <t>città di brescia</t>
  </si>
  <si>
    <t>montichiari</t>
  </si>
  <si>
    <t>laurea in fisioterapia</t>
  </si>
  <si>
    <t>4 Marzo 2023 10:57</t>
  </si>
  <si>
    <t>Galeri</t>
  </si>
  <si>
    <t>GLRMTT82B06B157I</t>
  </si>
  <si>
    <t>'+393394664552</t>
  </si>
  <si>
    <t>info@matteogaleri.it</t>
  </si>
  <si>
    <t>Matteo Galeri</t>
  </si>
  <si>
    <t>Lumezzane</t>
  </si>
  <si>
    <t>Dott. Matteo Galeri</t>
  </si>
  <si>
    <t>Laurea Specialistica in Direzione Aziendale (Economia e Commercio)</t>
  </si>
  <si>
    <t>(Ex) studente della facoltà di Economia e Commercio.</t>
  </si>
  <si>
    <t>4 Marzo 2023 10:19</t>
  </si>
  <si>
    <t>Dasam</t>
  </si>
  <si>
    <t>Krishna Santhoshi Surya Teja</t>
  </si>
  <si>
    <t>DSMKSH97A25Z222X</t>
  </si>
  <si>
    <t>'+393480495255</t>
  </si>
  <si>
    <t>kssuryatejad@gmail.com</t>
  </si>
  <si>
    <t>https://www.linkedin.com/in/krishna-santhoshi-surya-teja-dasam-b6791923a/</t>
  </si>
  <si>
    <t>International Business Management</t>
  </si>
  <si>
    <t>3 Marzo 2023 11:02</t>
  </si>
  <si>
    <t>Ingegnere Meccanico</t>
  </si>
  <si>
    <t>Milanesi</t>
  </si>
  <si>
    <t>MLNSFN71H14F205F</t>
  </si>
  <si>
    <t>'+393389867755</t>
  </si>
  <si>
    <t>milanesismilanesis@gmail.com</t>
  </si>
  <si>
    <t>Professore IIS</t>
  </si>
  <si>
    <t>Pubblica Amministrazione</t>
  </si>
  <si>
    <t>Villa Carcina (BS)</t>
  </si>
  <si>
    <t>Ingegneria Meccanica dei Materiali in marzo 2000</t>
  </si>
  <si>
    <t>2 Marzo 2023 15:17</t>
  </si>
  <si>
    <t>Dottore in Ingegneria</t>
  </si>
  <si>
    <t>Cancarini</t>
  </si>
  <si>
    <t>CNCSFN92L23B157W</t>
  </si>
  <si>
    <t>'+393395774190</t>
  </si>
  <si>
    <t>stefano.cancarini@gmail.com</t>
  </si>
  <si>
    <t>https://www.linkedin.com/in/stefano-cancarini-b7806572</t>
  </si>
  <si>
    <t>Lean R&amp;D Manager</t>
  </si>
  <si>
    <t>ABS acciai</t>
  </si>
  <si>
    <t>Laurea Triennale in Ingegneria Gestionale</t>
  </si>
  <si>
    <t>1 Marzo 2023 17:35</t>
  </si>
  <si>
    <t>Ms</t>
  </si>
  <si>
    <t>Dang</t>
  </si>
  <si>
    <t>Thi Hien</t>
  </si>
  <si>
    <t>DNGTHN98M51Z251P</t>
  </si>
  <si>
    <t>'+393889377071</t>
  </si>
  <si>
    <t>danghienht118@gmail.com</t>
  </si>
  <si>
    <t>https://www.https://www.linkedin.com/in/hien-dang-437659139/</t>
  </si>
  <si>
    <t>Universita degli studi di Brescia</t>
  </si>
  <si>
    <t>Mas</t>
  </si>
  <si>
    <t>1 Marzo 2023 13:43</t>
  </si>
  <si>
    <t>Marta Azzurra</t>
  </si>
  <si>
    <t>BRGMTZ83M53E884T</t>
  </si>
  <si>
    <t>'+393284839551</t>
  </si>
  <si>
    <t>martaazzurrabrognoli@gmail.com</t>
  </si>
  <si>
    <t>Project manager financing</t>
  </si>
  <si>
    <t>Laurea magistrale in biotecnologie mediche anno 2007, Master di secondo livello in intelligenza artificiale anno 2023</t>
  </si>
  <si>
    <t>28 Febbraio 2023 21:39</t>
  </si>
  <si>
    <t>BTTLRA82R54E333M</t>
  </si>
  <si>
    <t>'+393475063732</t>
  </si>
  <si>
    <t>laurabettoni@outlook.it</t>
  </si>
  <si>
    <t>PTA- Uafs Supporto alla commissione di sostenibilità - Energy Manager</t>
  </si>
  <si>
    <t>Laurea, Dottorato di ri erca, Ingegneria Gestionale</t>
  </si>
  <si>
    <t>27 Febbraio 2023 15:56</t>
  </si>
  <si>
    <t>MRNLRI89C47B157D</t>
  </si>
  <si>
    <t>'+393409686304</t>
  </si>
  <si>
    <t>im.ilamarini@gmail.com</t>
  </si>
  <si>
    <t>https://www.linkedin.com/in/mariniilaria/</t>
  </si>
  <si>
    <t>Ingegnere e Project Manager</t>
  </si>
  <si>
    <t>A2A Calore e Servizi S.r.L.</t>
  </si>
  <si>
    <t>Laurea Specialistica a ciclo unico in Ingegneria Edile – Architettura, 23/03/2015</t>
  </si>
  <si>
    <t>27 Febbraio 2023 14:54</t>
  </si>
  <si>
    <t>Si è iscritto a Giugno 2022, ma ha conseguito il titolo nel 2023</t>
  </si>
  <si>
    <t xml:space="preserve">Laurea in Fisioterapia </t>
  </si>
  <si>
    <t>Laurea specialista in direzione aziendale</t>
  </si>
  <si>
    <t>Laurea in ingegneria meccanica</t>
  </si>
  <si>
    <t>Laurea specialistica in biotecnologie mediche</t>
  </si>
  <si>
    <t xml:space="preserve">Dottorato in PROGETTAZIONE E GESTIONE DEI SISTEMI LOGISTICI E PRODUTTIVI </t>
  </si>
  <si>
    <t>Laurea magistrale in Ingegneria edile-architettura</t>
  </si>
  <si>
    <t>Laurea magistrale in Internation Business</t>
  </si>
  <si>
    <t>Indiana</t>
  </si>
  <si>
    <t>edoardo.savoia.due@gmail.com</t>
  </si>
  <si>
    <t>5 + 5</t>
  </si>
  <si>
    <t>Valeria</t>
  </si>
  <si>
    <t>Frusca</t>
  </si>
  <si>
    <t>FRSVLR87R66B157G</t>
  </si>
  <si>
    <t>valeriafrusca@hotmail.it</t>
  </si>
  <si>
    <t>Laurea magistrale in Giurisprudenza il 06/02/2012</t>
  </si>
  <si>
    <t>16 Marzo 2023 16:13</t>
  </si>
  <si>
    <t>Montuoro</t>
  </si>
  <si>
    <t>MNTLSN91C08M208H</t>
  </si>
  <si>
    <t>'+393313182693</t>
  </si>
  <si>
    <t>a.montuoro91@gmail.com</t>
  </si>
  <si>
    <t>linkedin.com/in/alessandro-montuoro</t>
  </si>
  <si>
    <t>Responsabile ufficio tecnico</t>
  </si>
  <si>
    <t>Doss Visual Solution srl</t>
  </si>
  <si>
    <t>15 Marzo 2023 22:07</t>
  </si>
  <si>
    <t>Neboli</t>
  </si>
  <si>
    <t>NBLGNN97C09D940R</t>
  </si>
  <si>
    <t>'+393452438931</t>
  </si>
  <si>
    <t>giovannineboli@gmail.com</t>
  </si>
  <si>
    <t>https://www.linkedin.com/in/giovanni-neboli-23b814147</t>
  </si>
  <si>
    <t>Junior Financial Planner</t>
  </si>
  <si>
    <t>Banca Generali</t>
  </si>
  <si>
    <t>Villanuova sul Clisi</t>
  </si>
  <si>
    <t>Laurea magistrale in Management, curriculum in International Business</t>
  </si>
  <si>
    <t>14 Marzo 2023 20:14</t>
  </si>
  <si>
    <t>Dottore Magistrale in Ingegneria dell'Automazione Industriale</t>
  </si>
  <si>
    <t>Messora</t>
  </si>
  <si>
    <t>MSSMRC98P19D940X</t>
  </si>
  <si>
    <t>'+393384101949</t>
  </si>
  <si>
    <t>m.messora@studenti.unibs.it</t>
  </si>
  <si>
    <t>linkedin.com/in/marco-messora-5596571b5</t>
  </si>
  <si>
    <t>Software Developer</t>
  </si>
  <si>
    <t>Antares Vision S.p.a</t>
  </si>
  <si>
    <t>Laurea Magistrale in ingegneria dell' Automazione Industriale, Data di conseguimento: 20/10/2022</t>
  </si>
  <si>
    <t>10 Marzo 2023 8:41</t>
  </si>
  <si>
    <t>Laurea triennale Economia</t>
  </si>
  <si>
    <t>Navoni</t>
  </si>
  <si>
    <t>Masha</t>
  </si>
  <si>
    <t>Nvnmsh00m51b157j</t>
  </si>
  <si>
    <t>'+393290565852</t>
  </si>
  <si>
    <t>masha.navoni@live.it</t>
  </si>
  <si>
    <t>Studente lavoratore</t>
  </si>
  <si>
    <t>Studio Selco Snc</t>
  </si>
  <si>
    <t>8 Marzo 2023 20:52</t>
  </si>
  <si>
    <t>Beschi</t>
  </si>
  <si>
    <t>BSCSRA93A42F471A</t>
  </si>
  <si>
    <t>'+393338430733</t>
  </si>
  <si>
    <t>sara93beschi@gmail.com</t>
  </si>
  <si>
    <t>System Engineer</t>
  </si>
  <si>
    <t>Fabbrica d'armi Pietro Beretta</t>
  </si>
  <si>
    <t>Gardone val Trompia</t>
  </si>
  <si>
    <t>7 Marzo 2023 14:10</t>
  </si>
  <si>
    <t>BRTDVD85A24D284E</t>
  </si>
  <si>
    <t>dav.bertolini@gmail.com</t>
  </si>
  <si>
    <t>Laurea specialistica in giurisprudenza, 16 marzo 2011</t>
  </si>
  <si>
    <t>7 Marzo 2023 10:43</t>
  </si>
  <si>
    <t>Belussi</t>
  </si>
  <si>
    <t>BLSFBA84B17G149W</t>
  </si>
  <si>
    <t>'+393336832924</t>
  </si>
  <si>
    <t>fabio.belussi@gmail.com</t>
  </si>
  <si>
    <t>www.linkedin.com/in/fabio-belussi84</t>
  </si>
  <si>
    <t>Master universitario di 2° livello</t>
  </si>
  <si>
    <t>7 Marzo 2023 10:26</t>
  </si>
  <si>
    <t>Laurea magistrale in Managment</t>
  </si>
  <si>
    <t>Laurea in Gestione delle imprese</t>
  </si>
  <si>
    <t>Laurea specialistica in Giurisprudenza</t>
  </si>
  <si>
    <t>Laurea speciistica in Consulenza aziendale e libera professione</t>
  </si>
  <si>
    <t>sollecito</t>
  </si>
  <si>
    <t>richiesta cancellazione iscrizione dopo promemoria richiesta versamento quota associativa</t>
  </si>
  <si>
    <t>Annullata iscrizione</t>
  </si>
  <si>
    <t>remo.dedonno@gmail.com</t>
  </si>
  <si>
    <t>Dottore in ingegneria civile</t>
  </si>
  <si>
    <t>Chiarolini</t>
  </si>
  <si>
    <t>Ippolita</t>
  </si>
  <si>
    <t>CHRPLT73S56E333B</t>
  </si>
  <si>
    <t>'+393356328129</t>
  </si>
  <si>
    <t>ippolitachiarolini@tiscali.it</t>
  </si>
  <si>
    <t>https://www.linkedin.com/feed/</t>
  </si>
  <si>
    <t>Titolare studio d'ingegneria</t>
  </si>
  <si>
    <t>BW progetti</t>
  </si>
  <si>
    <t>Darfo Boario terme</t>
  </si>
  <si>
    <t>1 Aprile 2023 13:32</t>
  </si>
  <si>
    <t>Ghiorsi</t>
  </si>
  <si>
    <t>Laura Ghiorsi</t>
  </si>
  <si>
    <t>Ghrlra95r60f471h</t>
  </si>
  <si>
    <t>'+393408330893</t>
  </si>
  <si>
    <t>laura.ghiorsi@hotmail.it</t>
  </si>
  <si>
    <t>https://www.linkedin.com/in/laura-ghiorsi-2b9086184</t>
  </si>
  <si>
    <t>Impiegata bancaria</t>
  </si>
  <si>
    <t>BCC del garda</t>
  </si>
  <si>
    <t>Laurea magistrale management</t>
  </si>
  <si>
    <t>31 Marzo 2023 12:54</t>
  </si>
  <si>
    <t>Rolfi</t>
  </si>
  <si>
    <t>Emma</t>
  </si>
  <si>
    <t>RLFMME97B49B157M</t>
  </si>
  <si>
    <t>'+393311655284</t>
  </si>
  <si>
    <t>emma.rolfi@gmail.com</t>
  </si>
  <si>
    <t>Castegnato</t>
  </si>
  <si>
    <t>Laura magistrale a ciclo unico in Giurisprudenza</t>
  </si>
  <si>
    <t>31 Marzo 2023 8:49</t>
  </si>
  <si>
    <t>INFERMIERISTICA</t>
  </si>
  <si>
    <t>KAUR</t>
  </si>
  <si>
    <t>HARMANPREET</t>
  </si>
  <si>
    <t>KRAHMN00E47Z222W</t>
  </si>
  <si>
    <t>'+393515764530</t>
  </si>
  <si>
    <t>kaurharmanpreet357@gmail.com</t>
  </si>
  <si>
    <t>Viale Matteotti 77</t>
  </si>
  <si>
    <t>SESTO ED UNITI</t>
  </si>
  <si>
    <t>laurea in infermieristica conseguito il 29/03/2023</t>
  </si>
  <si>
    <t>30 Marzo 2023 19:07</t>
  </si>
  <si>
    <t>Niccolò</t>
  </si>
  <si>
    <t>CSNNCL85E08B157R</t>
  </si>
  <si>
    <t>'+393332542440</t>
  </si>
  <si>
    <t>niccolo.casnici@unibs.it</t>
  </si>
  <si>
    <t>https://www.linkedin.com/in/niccol-casnici-4128a24b/</t>
  </si>
  <si>
    <t>RICERCATORE UNIVERSITARIO</t>
  </si>
  <si>
    <t>UNIVERSITA' DEGLI STUDI DI BRESCIA - DIPARTIMENTO DI GIURISPRUDENZA</t>
  </si>
  <si>
    <t>Trigolo (CR)</t>
  </si>
  <si>
    <t>Dottorato di ricerca in Sociologia Economica</t>
  </si>
  <si>
    <t>29 Marzo 2023 9:27</t>
  </si>
  <si>
    <t>vitali</t>
  </si>
  <si>
    <t>VTLMRN79R46L682C</t>
  </si>
  <si>
    <t>'+393299737666</t>
  </si>
  <si>
    <t>m.vitali014@studenti.unibs.it</t>
  </si>
  <si>
    <t>via abbazia</t>
  </si>
  <si>
    <t>IMPIEGATO</t>
  </si>
  <si>
    <t>laurea triennale</t>
  </si>
  <si>
    <t>dispongo bonifico contestualmente alla compilazione di questo modulo, in pagamento il 29/03</t>
  </si>
  <si>
    <t>28 Marzo 2023 11:49</t>
  </si>
  <si>
    <t>Olivini</t>
  </si>
  <si>
    <t>LVNLCU97M23E884U</t>
  </si>
  <si>
    <t>'+393386214251</t>
  </si>
  <si>
    <t>lucaoliv13@gmail.com</t>
  </si>
  <si>
    <t>https://www.linkedin.com/in/luca-olivini-423397248/</t>
  </si>
  <si>
    <t>Data Analyst</t>
  </si>
  <si>
    <t>Carlisle Brake &amp; Friction</t>
  </si>
  <si>
    <t>Laurea Magistrale in Ingegneria Gestionale: curriculm Modellistica ed Ottimizzazione</t>
  </si>
  <si>
    <t>21 Marzo 2023 12:53</t>
  </si>
  <si>
    <t>Laurea in Economia e Gestione Aziendale</t>
  </si>
  <si>
    <t>Laurea in Infermieristica</t>
  </si>
  <si>
    <t>Meroli</t>
  </si>
  <si>
    <t>MRLFNC76A71I437E</t>
  </si>
  <si>
    <t>francescameroli@yahoo.it</t>
  </si>
  <si>
    <t>https://it.linkedin.com/in/francesca-meroli-9b67a0157</t>
  </si>
  <si>
    <t>In Università</t>
  </si>
  <si>
    <t>5 Aprile 2023 16:17</t>
  </si>
  <si>
    <t>Dott. Ing.</t>
  </si>
  <si>
    <t>Losi</t>
  </si>
  <si>
    <t>LSOGLC88R22F158M</t>
  </si>
  <si>
    <t>'+393348848741</t>
  </si>
  <si>
    <t>gianluca.losi88@gmail.com</t>
  </si>
  <si>
    <t>www.linkedin.com/in/gianlucalosi</t>
  </si>
  <si>
    <t>R&amp;D Manager</t>
  </si>
  <si>
    <t>Velan ABV s.r.l.</t>
  </si>
  <si>
    <t>Lucca</t>
  </si>
  <si>
    <t>Bonifico predisposto, verrà eseguito il 06/04/2023.</t>
  </si>
  <si>
    <t>Linkedin</t>
  </si>
  <si>
    <t>4 Aprile 2023 19:19</t>
  </si>
  <si>
    <t>vscfrc97p19d284w</t>
  </si>
  <si>
    <t>'+393473485338</t>
  </si>
  <si>
    <t>federico97visconti@gmail.com</t>
  </si>
  <si>
    <t>https://www.linkedin.com/in/federico-visconti-56037715a/</t>
  </si>
  <si>
    <t>3 Aprile 2023 12:12</t>
  </si>
  <si>
    <t>Dottorato in Sociologia Economica</t>
  </si>
  <si>
    <t>Laurea in giurista d'impresa</t>
  </si>
  <si>
    <t>Laurea magistrale in ingegneria gestionale</t>
  </si>
  <si>
    <t>Dottorato in Ingegneria Meccanica e Industriale</t>
  </si>
  <si>
    <t>Laurea in MONETA, FINANZA E RISK MANAGEMENT</t>
  </si>
  <si>
    <t>Grassi</t>
  </si>
  <si>
    <t>Francesco Lorenzo</t>
  </si>
  <si>
    <t>GRSFNC97C11C312Q</t>
  </si>
  <si>
    <t>'+393392563403</t>
  </si>
  <si>
    <t>francesco.grassi97@gmail.com</t>
  </si>
  <si>
    <t>https://www.linkedin.com/in/francesco-grassi-</t>
  </si>
  <si>
    <t>Risk assurance associate</t>
  </si>
  <si>
    <t>Laurea magistrale in Management, 04.04.2023</t>
  </si>
  <si>
    <t>11 Aprile 2023 12:17</t>
  </si>
  <si>
    <t>Dottorando (INGEGNERIA CIVILE)</t>
  </si>
  <si>
    <t>Gezahegn</t>
  </si>
  <si>
    <t>Mesfin Zenebe</t>
  </si>
  <si>
    <t>'+3903312024888</t>
  </si>
  <si>
    <t>m.gezahegn001@unibs.it</t>
  </si>
  <si>
    <t>MESFIN ZENEBE</t>
  </si>
  <si>
    <t>DOTTORATO IN INGEGNERIA CIVILE, AMBIENTALE, DELLA COOPERAZIONE INTERNAZIONALE E DI MATEMATICA</t>
  </si>
  <si>
    <t>10 Aprile 2023 16:06</t>
  </si>
  <si>
    <t>Mr.</t>
  </si>
  <si>
    <t>Gebremedhin</t>
  </si>
  <si>
    <t>Tewelde Hagos</t>
  </si>
  <si>
    <t>GBRTLD93C20Z315Y</t>
  </si>
  <si>
    <t>'+393200722579</t>
  </si>
  <si>
    <t>tewehag.geb@gmail.com</t>
  </si>
  <si>
    <t>https://www.linkedin.com/in/tewelde-hagos-gebremedhin-2588a9153</t>
  </si>
  <si>
    <t>PhD Student</t>
  </si>
  <si>
    <t>LM-35 Laurea Magistrale, Civil and Environmental Engineering, 06 Setembre, 2021</t>
  </si>
  <si>
    <t>10 Aprile 2023 12:17</t>
  </si>
  <si>
    <t>MZZSRA80T53B157E</t>
  </si>
  <si>
    <t>'+393939869670</t>
  </si>
  <si>
    <t>maczott@inwind.it</t>
  </si>
  <si>
    <t>https://www.linkedin.com/in/sara-mazzotti-95b91650?trk=contact-info</t>
  </si>
  <si>
    <t>Funzionario di elevata qualifica</t>
  </si>
  <si>
    <t>P.A. Comune di Adro</t>
  </si>
  <si>
    <t>Erbusco</t>
  </si>
  <si>
    <t>Laurea vecchio ordinamento in giurisprudenza e master in mediazione familiare, anno 2006 e anno 2010</t>
  </si>
  <si>
    <t>9 Aprile 2023 10:49</t>
  </si>
  <si>
    <t>DOTTORE MAGISTRALE</t>
  </si>
  <si>
    <t>BUIZZA</t>
  </si>
  <si>
    <t>NICOLA</t>
  </si>
  <si>
    <t>BZZNCL94C16E333O</t>
  </si>
  <si>
    <t>'+393403025007</t>
  </si>
  <si>
    <t>n.buizza94@gmail.com</t>
  </si>
  <si>
    <t>Addetto allo sportello</t>
  </si>
  <si>
    <t>BCCBRESCIA</t>
  </si>
  <si>
    <t>Provaglio d’iseo</t>
  </si>
  <si>
    <t>Laurea Magistrale in Moneta, Finanza e Risk Management, Dipartimento di Economia, 05/04/2023</t>
  </si>
  <si>
    <t>Dal sito di Unibs</t>
  </si>
  <si>
    <t>8 Aprile 2023 16:28</t>
  </si>
  <si>
    <t>Lorenzetti</t>
  </si>
  <si>
    <t>LRNNCL98P15E333H</t>
  </si>
  <si>
    <t>'+393420053133</t>
  </si>
  <si>
    <t>Laurea di primo livello, Economia e gestione aziendale, 4/4/2023</t>
  </si>
  <si>
    <t>6 Aprile 2023 23:42</t>
  </si>
  <si>
    <t>Come hai conosciuto l'Associazione?</t>
  </si>
  <si>
    <t>GZHMFN88T09Z315V</t>
  </si>
  <si>
    <t>Laurea magistrale in Civil, Enviroment Engineering</t>
  </si>
  <si>
    <t>etiope</t>
  </si>
  <si>
    <t>Corso di laurea in Giurisprudenza</t>
  </si>
  <si>
    <t>Corso di laurea magistrale in Moneta, Finanza e Risk Managment</t>
  </si>
  <si>
    <t>Corso di Laurea in Economia e Gestione aziendale</t>
  </si>
  <si>
    <t>d.felappi@studiofelappi.it</t>
  </si>
  <si>
    <t>nicola.lorenzetti098@libero.it</t>
  </si>
  <si>
    <t>Professore</t>
  </si>
  <si>
    <t>Gelfi</t>
  </si>
  <si>
    <t>Marcello</t>
  </si>
  <si>
    <t>GLFMCL75C18B149K</t>
  </si>
  <si>
    <t>'+390303715844</t>
  </si>
  <si>
    <t>marcello.gelfi@unibs.it</t>
  </si>
  <si>
    <t>Professore Ordinario di Metallurgia</t>
  </si>
  <si>
    <t>Dottorato in Ingegneria dei Materiali, 2003</t>
  </si>
  <si>
    <t>Ho dovuto indicare la mail @unibs.it perché non ne ho altre..</t>
  </si>
  <si>
    <t>24 Aprile 2023 8:09</t>
  </si>
  <si>
    <t>BAIGUERA</t>
  </si>
  <si>
    <t>BGRFNC65C01B157L</t>
  </si>
  <si>
    <t>'+393292120931</t>
  </si>
  <si>
    <t>f.baiguera@lostudiotelematico.it</t>
  </si>
  <si>
    <t>Studio Franco Baiguera</t>
  </si>
  <si>
    <t>LAUREA IN ECONOMIA E COMMERCIO 13/12/1989</t>
  </si>
  <si>
    <t>20 Aprile 2023 9:00</t>
  </si>
  <si>
    <t>Caligari</t>
  </si>
  <si>
    <t>CLGGLI95M51B157R</t>
  </si>
  <si>
    <t>'+393203841481</t>
  </si>
  <si>
    <t>giulia.caligari@gmail.com</t>
  </si>
  <si>
    <t>via matteotti 8</t>
  </si>
  <si>
    <t>Operations controller</t>
  </si>
  <si>
    <t>Barilla</t>
  </si>
  <si>
    <t>Manerbio</t>
  </si>
  <si>
    <t>19 Aprile 2023 12:21</t>
  </si>
  <si>
    <t xml:space="preserve">morena </t>
  </si>
  <si>
    <t>Pradella</t>
  </si>
  <si>
    <t>PRDMRA80H01B149F</t>
  </si>
  <si>
    <t>'+393383799286</t>
  </si>
  <si>
    <t>pradella@weeen.it</t>
  </si>
  <si>
    <t>https://www.linkedin.com/in/mauropradella/</t>
  </si>
  <si>
    <t>Amministratore Delegato</t>
  </si>
  <si>
    <t>Weeen Compliance &amp; Management</t>
  </si>
  <si>
    <t>Laurea Giurisprudenza UniBS - Master Compliance Luiss Business School - Master Corporate Governance SDA Bocconi</t>
  </si>
  <si>
    <t>Amici/Parenti</t>
  </si>
  <si>
    <t>8 Maggio 2023 11:19</t>
  </si>
  <si>
    <t>Bastiani</t>
  </si>
  <si>
    <t>BSTPLA66B11B157S</t>
  </si>
  <si>
    <t>'+393484703767</t>
  </si>
  <si>
    <t>paolo_bastiani@yahoo.it</t>
  </si>
  <si>
    <t>Key account manager</t>
  </si>
  <si>
    <t>Rubinetterie Bresciane Bonomi</t>
  </si>
  <si>
    <t>Laurea in ingegneria, abilitazione professionale, master secondo livello in Supply Chain</t>
  </si>
  <si>
    <t>6 Maggio 2023 19:12</t>
  </si>
  <si>
    <t>chiesa</t>
  </si>
  <si>
    <t>roberta</t>
  </si>
  <si>
    <t>chsrrt62e70a794h</t>
  </si>
  <si>
    <t>'+393204320063</t>
  </si>
  <si>
    <t>robertachiesa.rotaryvg@gmail.com</t>
  </si>
  <si>
    <t>via don vender 39</t>
  </si>
  <si>
    <t>direttore sanitario</t>
  </si>
  <si>
    <t>ASST Valcamonica</t>
  </si>
  <si>
    <t>laurea in medicina e chirurgia - specialista in Igiene e medicina Preventiva</t>
  </si>
  <si>
    <t>5 Maggio 2023 17:14</t>
  </si>
  <si>
    <t>PSTNDR80B04B157T</t>
  </si>
  <si>
    <t>'+393473203571</t>
  </si>
  <si>
    <t>and.pasotti@tiscali.it</t>
  </si>
  <si>
    <t>https://www.linkedin.com/in/andrea-pasotti-03192921</t>
  </si>
  <si>
    <t>Head of Technical Training &amp; Technology Transfer Senior Project Manager</t>
  </si>
  <si>
    <t>CSMT Gestione S.c.a.r.l.</t>
  </si>
  <si>
    <t>Desenzano d/G</t>
  </si>
  <si>
    <t>Laurea Ingegneria Gestionale (2004), Dottorato di Ricerca in Progettazione e Gestione dei sistemi logistici e produttivi integrati (2008)</t>
  </si>
  <si>
    <t>2 Maggio 2023 10:43</t>
  </si>
  <si>
    <t>Dott.essa in Infermieristica</t>
  </si>
  <si>
    <t>Spillare</t>
  </si>
  <si>
    <t>SPLGLI99P65D284W</t>
  </si>
  <si>
    <t>'+393337328310</t>
  </si>
  <si>
    <t>giuliaspil99@gmail.com</t>
  </si>
  <si>
    <t>Corso di Studi in Infermieristica</t>
  </si>
  <si>
    <t>1 Maggio 2023 12:33</t>
  </si>
  <si>
    <t>Laurea in Medicina</t>
  </si>
  <si>
    <t>Laurea in Scienze infermieristiche</t>
  </si>
  <si>
    <t>Frusconi</t>
  </si>
  <si>
    <t>FRSGLI98A47B157E</t>
  </si>
  <si>
    <t>'+393337305639</t>
  </si>
  <si>
    <t>giulia.frusconi@hotmail.com</t>
  </si>
  <si>
    <t>Laurea magistrale Ingegneria Elettronica</t>
  </si>
  <si>
    <t>16 Maggio 2023 22:44</t>
  </si>
  <si>
    <t>Junior Associate</t>
  </si>
  <si>
    <t>Chiomenti Studio Legale</t>
  </si>
  <si>
    <t>BNMFNC97H21E884P</t>
  </si>
  <si>
    <t>'+393339508032</t>
  </si>
  <si>
    <t>bonomettifrancesco97@gmail.com</t>
  </si>
  <si>
    <t>https://www.linkedin.com/in/francesco-bonometti-119110202/</t>
  </si>
  <si>
    <t>Sales</t>
  </si>
  <si>
    <t>Decathlon</t>
  </si>
  <si>
    <t>Laurea (I Livello) in Consulente del Lavoro e Giurista d'Impresa (Giurisprudenza), 27 Aprile 2023</t>
  </si>
  <si>
    <t>8 Maggio 2023 14:13</t>
  </si>
  <si>
    <t>Laurea magistrale in Ingegneria elettronica</t>
  </si>
  <si>
    <t>Laurea in consulente del lavoro</t>
  </si>
  <si>
    <t>Dottore in Economia e Gestione delle Imprese</t>
  </si>
  <si>
    <t>Pahniuc</t>
  </si>
  <si>
    <t>Mihail</t>
  </si>
  <si>
    <t>PHNMHL91T23Z140P</t>
  </si>
  <si>
    <t>'+393891346583</t>
  </si>
  <si>
    <t>mihaipahniuc@yahoo.com</t>
  </si>
  <si>
    <t>Responsabile QHSE</t>
  </si>
  <si>
    <t>Ravago Italia SPA</t>
  </si>
  <si>
    <t>Laurea triennale Economia, Conseguimento 2018</t>
  </si>
  <si>
    <t>30 Maggio 2023 12:01</t>
  </si>
  <si>
    <t>Ing. Iunior</t>
  </si>
  <si>
    <t>GHDDVD93H12E704S</t>
  </si>
  <si>
    <t>'+393933985636</t>
  </si>
  <si>
    <t>ghidinidavide93@gmail.com</t>
  </si>
  <si>
    <t>Solto Collina</t>
  </si>
  <si>
    <t>29 Maggio 2023 23:38</t>
  </si>
  <si>
    <t>Zappa</t>
  </si>
  <si>
    <t>Pierfrancesco</t>
  </si>
  <si>
    <t>ZPPPFR97P06B157Z</t>
  </si>
  <si>
    <t>'+393388236443</t>
  </si>
  <si>
    <t>zappapierfrancesco@gmail.com</t>
  </si>
  <si>
    <t>https://www.linkedin.com/in/pierfrancesco-zappa</t>
  </si>
  <si>
    <t>Laurea magistrale (data di conseguimento 03/2024)</t>
  </si>
  <si>
    <t>29 Maggio 2023 22:55</t>
  </si>
  <si>
    <t>Laurea magistrale in ingegneria meccanica dei materiali</t>
  </si>
  <si>
    <t>Ferremi</t>
  </si>
  <si>
    <t>FRRNDR92C31D940F</t>
  </si>
  <si>
    <t>'+32484969667</t>
  </si>
  <si>
    <t>and.ferremi@gmail.com</t>
  </si>
  <si>
    <t>https://www.linkedin.com/in/andrea-ferremi-629112a9/</t>
  </si>
  <si>
    <t>Engineering Project Manager</t>
  </si>
  <si>
    <t>Solvay SA</t>
  </si>
  <si>
    <t>Bruxelles</t>
  </si>
  <si>
    <t>Belgium</t>
  </si>
  <si>
    <t>Laurea magistrale in ingegneria meccanica dei materiali (LM-33) AA 2016-2017</t>
  </si>
  <si>
    <t>29 Maggio 2023 21:02</t>
  </si>
  <si>
    <t>Tonni</t>
  </si>
  <si>
    <t>TNNLSS97A43B157V</t>
  </si>
  <si>
    <t>alessiatonni@hotmail.it</t>
  </si>
  <si>
    <t>Laura triennale economia</t>
  </si>
  <si>
    <t>29 Maggio 2023 10:10</t>
  </si>
  <si>
    <t>Fimiani</t>
  </si>
  <si>
    <t>Fmnmra81c04b157s</t>
  </si>
  <si>
    <t>'+393281022405</t>
  </si>
  <si>
    <t>mauro.fimiani@libero.it</t>
  </si>
  <si>
    <t>Laurea specialistica ingegneria ambientale</t>
  </si>
  <si>
    <t>28 Maggio 2023 1:17</t>
  </si>
  <si>
    <t>BANI</t>
  </si>
  <si>
    <t>ELIAS</t>
  </si>
  <si>
    <t>BNALSE84M18Z611N</t>
  </si>
  <si>
    <t>elias.bani@hotmail.it</t>
  </si>
  <si>
    <t>ROMANO DI LOMBARDIA</t>
  </si>
  <si>
    <t>LAUREA MAGISTRALE IN CONSULENZA E LIBERA PROFESSIONE; CONSEGUITA NEL 2012</t>
  </si>
  <si>
    <t>27 Maggio 2023 19:50</t>
  </si>
  <si>
    <t>Dottore in Management</t>
  </si>
  <si>
    <t>Modonesi</t>
  </si>
  <si>
    <t>MDNMTT98M30B157E</t>
  </si>
  <si>
    <t>'+393334438405</t>
  </si>
  <si>
    <t>matteo.modonesi98@gmail.com</t>
  </si>
  <si>
    <t>https://www.linkedin.com/in/matteo-modonesi-387629205</t>
  </si>
  <si>
    <t>Consulente</t>
  </si>
  <si>
    <t>Laurea Magistrale conseguita il 25 ottobre 2022</t>
  </si>
  <si>
    <t>27 Maggio 2023 19:34</t>
  </si>
  <si>
    <t>Severino</t>
  </si>
  <si>
    <t>Gritti</t>
  </si>
  <si>
    <t>GRTSRN74P05G149X</t>
  </si>
  <si>
    <t>'+393284888260</t>
  </si>
  <si>
    <t>s.gritti@ergoncommercialisti.it</t>
  </si>
  <si>
    <t>Ergon Commercialisti STP SS</t>
  </si>
  <si>
    <t>27 Maggio 2023 12:23</t>
  </si>
  <si>
    <t>Campanelli</t>
  </si>
  <si>
    <t>CMPPLA97C25C312Y</t>
  </si>
  <si>
    <t>'+393456387939</t>
  </si>
  <si>
    <t>campanelli_paolo@yahoo.it</t>
  </si>
  <si>
    <t>https://www.linkedin.com/in/paolo-campanelli-7b976325b</t>
  </si>
  <si>
    <t>Ingegnere meccanico autonomo</t>
  </si>
  <si>
    <t>Cavriana</t>
  </si>
  <si>
    <t>Laurea magistrale in ingegneria meccanica curriculum costruzioni conseguita il 25/03/2022 con 110l</t>
  </si>
  <si>
    <t>27 Maggio 2023 7:48</t>
  </si>
  <si>
    <t>Fiameni</t>
  </si>
  <si>
    <t>fmnfnc88r65b157t</t>
  </si>
  <si>
    <t>'+4555220354</t>
  </si>
  <si>
    <t>francesca.fiameni@gmail.com</t>
  </si>
  <si>
    <t>https://www.linkedin.com/in/francescafiameni/</t>
  </si>
  <si>
    <t>Product Manager Video &amp; Sound</t>
  </si>
  <si>
    <t>Sony Electronics</t>
  </si>
  <si>
    <t>Copenhagen</t>
  </si>
  <si>
    <t>Denmark</t>
  </si>
  <si>
    <t>Laurea Magistrale in Ingegneria Gestionale, Curriculum Logistico-Produttivo, 23/05/2013</t>
  </si>
  <si>
    <t>Sono volentieri a disposizione per condivisione di esperienza e consulenza in ambito Marketing e Product Management</t>
  </si>
  <si>
    <t>26 Maggio 2023 21:36</t>
  </si>
  <si>
    <t>Titolo di cosa??</t>
  </si>
  <si>
    <t>Conte</t>
  </si>
  <si>
    <t>CNTMRA94L02B157F</t>
  </si>
  <si>
    <t>'+393484311091</t>
  </si>
  <si>
    <t>mauroconte.1994@gmail.com</t>
  </si>
  <si>
    <t>Via Buffalora N 80</t>
  </si>
  <si>
    <t>Software development engineer 2</t>
  </si>
  <si>
    <t>Malwarebytes</t>
  </si>
  <si>
    <t>Tallin</t>
  </si>
  <si>
    <t>Estonia</t>
  </si>
  <si>
    <t>laurea magistrale in communication technologies and multimedia</t>
  </si>
  <si>
    <t>Bonifico di 5 euro effettuato da IBAN estone banca LHV 
EE337700771008824339
Mi sto chiedendo e vi pregherei di rispondere a queste domande. Quale è lo scopo di questa associazione?? Cosa ci guadagno io? Cosa ci guadagna unibs?</t>
  </si>
  <si>
    <t>26 Maggio 2023 17:46</t>
  </si>
  <si>
    <t>Tromba</t>
  </si>
  <si>
    <t>TRMPTR95P21L781G</t>
  </si>
  <si>
    <t>'+393381760683</t>
  </si>
  <si>
    <t>pittro95@gmail.com</t>
  </si>
  <si>
    <t>Mantovana 144N</t>
  </si>
  <si>
    <t>Laurea Magistrale in Automazione Industriale</t>
  </si>
  <si>
    <t>26 Maggio 2023 17:13</t>
  </si>
  <si>
    <t>Ruocco</t>
  </si>
  <si>
    <t>Rccmnl92e23a470m</t>
  </si>
  <si>
    <t>'+393272283695</t>
  </si>
  <si>
    <t>emanueleruocco@hotmail.it</t>
  </si>
  <si>
    <t>https://www.linkedin.com/in/emanueleruocco</t>
  </si>
  <si>
    <t>Titolare</t>
  </si>
  <si>
    <t>Reman srl</t>
  </si>
  <si>
    <t>Laurea 1 livello</t>
  </si>
  <si>
    <t>Instagram</t>
  </si>
  <si>
    <t>26 Maggio 2023 14:58</t>
  </si>
  <si>
    <t>Scubla</t>
  </si>
  <si>
    <t>SCBFBA88C18B393R</t>
  </si>
  <si>
    <t>'+393404858198</t>
  </si>
  <si>
    <t>fabioscubla@gmail.com</t>
  </si>
  <si>
    <t>https://www.linkedin.com/in/fabio-scubla-86b667a0/</t>
  </si>
  <si>
    <t>Invisiblefarm srl</t>
  </si>
  <si>
    <t>Corte Franca</t>
  </si>
  <si>
    <t>Laurea magistrale in Ingegneria Informatica, data laurea 19/03/2014</t>
  </si>
  <si>
    <t>26 Maggio 2023 14:10</t>
  </si>
  <si>
    <t>Bertasi</t>
  </si>
  <si>
    <t>BRTSMN92D29C312S</t>
  </si>
  <si>
    <t>simone.bertasi001@gmail.com</t>
  </si>
  <si>
    <t>Banca d'Italia</t>
  </si>
  <si>
    <t>26 Maggio 2023 14:00</t>
  </si>
  <si>
    <t>Tiberi</t>
  </si>
  <si>
    <t>TBRFBA84M25D391Z</t>
  </si>
  <si>
    <t>'+393381306641</t>
  </si>
  <si>
    <t>tiberi.fabio.84@gmail.com</t>
  </si>
  <si>
    <t>Euromec srl</t>
  </si>
  <si>
    <t>Laurea primo livello</t>
  </si>
  <si>
    <t>26 Maggio 2023 12:17</t>
  </si>
  <si>
    <t>ZNTMRA83B15B157Z</t>
  </si>
  <si>
    <t>'+393495750276</t>
  </si>
  <si>
    <t>zanettimauro83@tiscali.it</t>
  </si>
  <si>
    <t>http://linkedin.com/in/maurozanetti</t>
  </si>
  <si>
    <t>26 Maggio 2023 12:06</t>
  </si>
  <si>
    <t>negretti</t>
  </si>
  <si>
    <t>chiara</t>
  </si>
  <si>
    <t>NGRCHR93M44B157S</t>
  </si>
  <si>
    <t>'+393203591186</t>
  </si>
  <si>
    <t>cnegretti04@gmail.com</t>
  </si>
  <si>
    <t>Management Consultant</t>
  </si>
  <si>
    <t>Accenture UK ltd</t>
  </si>
  <si>
    <t>Laurea Magistale in Management - International Business</t>
  </si>
  <si>
    <t>26 Maggio 2023 11:57</t>
  </si>
  <si>
    <t>INGEGNERE</t>
  </si>
  <si>
    <t>JUNXIANG (STEVEN)</t>
  </si>
  <si>
    <t>LIU</t>
  </si>
  <si>
    <t>LIUJXN93S21Z210P</t>
  </si>
  <si>
    <t>'+393518260639</t>
  </si>
  <si>
    <t>junxiangliu17@gmail.com</t>
  </si>
  <si>
    <t>https://www.linkedin.com/in/junxiang-liu-7a999418a/</t>
  </si>
  <si>
    <t>Product Sales Engineer Italy &amp; East Europe</t>
  </si>
  <si>
    <t>Gausium</t>
  </si>
  <si>
    <t>LAUREA MAGISTRALE, INGEGNERIA MECCANICA, 10-09-2019</t>
  </si>
  <si>
    <t>Bonifico Istantaneo effettuato il giorno 26-05-2023</t>
  </si>
  <si>
    <t>26 Maggio 2023 11:48</t>
  </si>
  <si>
    <t>Laurea Magistrale a Ciclo Unico in Giurisprudenza</t>
  </si>
  <si>
    <t>Olivari</t>
  </si>
  <si>
    <t>LVRNNA88C44B157E</t>
  </si>
  <si>
    <t>'+393334230537</t>
  </si>
  <si>
    <t>anna.olivari88@gmail.com</t>
  </si>
  <si>
    <t>www.linkedin.com/in/anna-olivari-6516abb8/</t>
  </si>
  <si>
    <t>Specialist AML</t>
  </si>
  <si>
    <t>Banca Sella SpA</t>
  </si>
  <si>
    <t>Laurea Magistrale a Ciclo Unico</t>
  </si>
  <si>
    <t>26 Maggio 2023 11:29</t>
  </si>
  <si>
    <t>Pari</t>
  </si>
  <si>
    <t>Bernabé</t>
  </si>
  <si>
    <t>PRABNB80H11Z611R</t>
  </si>
  <si>
    <t>'+33624043195</t>
  </si>
  <si>
    <t>bernabe.pari@gmail.com</t>
  </si>
  <si>
    <t>https://www.linkedin.com/in/bpari/</t>
  </si>
  <si>
    <t>Analyste d'exploitation</t>
  </si>
  <si>
    <t>SNCF/Akkodis/The Porters</t>
  </si>
  <si>
    <t>Villeurbanne</t>
  </si>
  <si>
    <t>France</t>
  </si>
  <si>
    <t>Laurea breve in Ingegneria dell'Informazione</t>
  </si>
  <si>
    <t>26 Maggio 2023 11:01</t>
  </si>
  <si>
    <t>BIANCHINI</t>
  </si>
  <si>
    <t>BNCNTN86P22E205L</t>
  </si>
  <si>
    <t>'+33641863944</t>
  </si>
  <si>
    <t>antonio.bianchini86@gmail.com</t>
  </si>
  <si>
    <t>https://www.linkedin.com/in/bianchini-antonio</t>
  </si>
  <si>
    <t>Risk manager</t>
  </si>
  <si>
    <t>Generali investments</t>
  </si>
  <si>
    <t>Parigi</t>
  </si>
  <si>
    <t>Laurea II livello in moneta finanza e risk management + master I livello in moneta e finanza</t>
  </si>
  <si>
    <t>26 Maggio 2023 11:00</t>
  </si>
  <si>
    <t>Dottore Magistrale in Giurisprudenza</t>
  </si>
  <si>
    <t>Barbieri</t>
  </si>
  <si>
    <t>BRBMTT89T08B157Q</t>
  </si>
  <si>
    <t>'+393925944432</t>
  </si>
  <si>
    <t>m.barbieri023@gmail.com</t>
  </si>
  <si>
    <t>Funzionario Responsabile di Area</t>
  </si>
  <si>
    <t>Comune di Paderno Franciacorta</t>
  </si>
  <si>
    <t>LMG - 01 in Giurisprudenza conseguita il 11/10/2016</t>
  </si>
  <si>
    <t>26 Maggio 2023 10:58</t>
  </si>
  <si>
    <t>NGRNDR91B11C618B</t>
  </si>
  <si>
    <t>'+393331316342</t>
  </si>
  <si>
    <t>andrea@onger.it</t>
  </si>
  <si>
    <t>https://it.linkedin.com/in/andrea-onger-7b2512153</t>
  </si>
  <si>
    <t>Papa</t>
  </si>
  <si>
    <t>Eveljn</t>
  </si>
  <si>
    <t>PPAVJN93A67D284R</t>
  </si>
  <si>
    <t>papaevelyn@hotmail.it</t>
  </si>
  <si>
    <t>Evelyn Papa</t>
  </si>
  <si>
    <t>Banker Consultant</t>
  </si>
  <si>
    <t>Banca Mediolanum</t>
  </si>
  <si>
    <t>Laurea Magistrale, scienze dell'economia, 2018</t>
  </si>
  <si>
    <t>26 Maggio 2023 10:53</t>
  </si>
  <si>
    <t>Di Lorenzo</t>
  </si>
  <si>
    <t>DLRFNC97P15B157R</t>
  </si>
  <si>
    <t>'+393388806905</t>
  </si>
  <si>
    <t>francidilorenzo@gmail.com</t>
  </si>
  <si>
    <t>https://www.linkedin.com/in/francesco-di-lorenzo-b0b614273</t>
  </si>
  <si>
    <t>Laurea Magistrale in Consulenza Aziendale e Libera Professione conseguita in data 28 marzo 2022</t>
  </si>
  <si>
    <t>18 Maggio 2023 22:21</t>
  </si>
  <si>
    <t>Da approvare ordinario</t>
  </si>
  <si>
    <t>rumena</t>
  </si>
  <si>
    <t>Laurea in Ingegneria Meccanica dei materiali</t>
  </si>
  <si>
    <t>Laurea Magistrale in Ingegneria per l'Ambiente e il Territorio</t>
  </si>
  <si>
    <t>Laurea Magistrale in Consulenza Aziendale e libera professione</t>
  </si>
  <si>
    <t>Laurea Magistrale in Communication Technologies and Multimedia</t>
  </si>
  <si>
    <t>Laurea Magistrale in Moneta, Finanza e Rrik Management</t>
  </si>
  <si>
    <t>Laurea in Ingegneria dei materiali</t>
  </si>
  <si>
    <t>Laurea Specialistica in Ingegneria Gestionale</t>
  </si>
  <si>
    <t>cinese</t>
  </si>
  <si>
    <t>Laurea Magistrale a ciclo unico in Giurisprudenza</t>
  </si>
  <si>
    <t>Laurea in Ingegneria dell'Informazione</t>
  </si>
  <si>
    <t>Gregori</t>
  </si>
  <si>
    <t>GRGTMS98E08B157A</t>
  </si>
  <si>
    <t>tommaso.gregori.1998@gmail.com</t>
  </si>
  <si>
    <t>Rezzato (BS)</t>
  </si>
  <si>
    <t>2 Giugno 2023 10:30</t>
  </si>
  <si>
    <t>Zanotti</t>
  </si>
  <si>
    <t>Stefania</t>
  </si>
  <si>
    <t>ZNTSFN77P62B157Z</t>
  </si>
  <si>
    <t>'+393388059066</t>
  </si>
  <si>
    <t>stefania.zanotti@it.andersen.com</t>
  </si>
  <si>
    <t>Via Principe Umberto, 21</t>
  </si>
  <si>
    <t>Commercialista - Partner di Studio</t>
  </si>
  <si>
    <t>Andersen</t>
  </si>
  <si>
    <t>Laurea vecchio ordinamento - Economia Aziendale - 08 Luglio 2003</t>
  </si>
  <si>
    <t>2 Giugno 2023 9:56</t>
  </si>
  <si>
    <t>Dott.sa</t>
  </si>
  <si>
    <t>Lecchi</t>
  </si>
  <si>
    <t>LCCRRT80L53B157J</t>
  </si>
  <si>
    <t>'+393488327974</t>
  </si>
  <si>
    <t>roberta.lecchi@zullitabanelli.it</t>
  </si>
  <si>
    <t>Roberta Lecchi</t>
  </si>
  <si>
    <t>Laurea in economia e commercio in data 20 dicembre 2004</t>
  </si>
  <si>
    <t>1 Giugno 2023 17:09</t>
  </si>
  <si>
    <t>Salvinelli</t>
  </si>
  <si>
    <t>SLVMRA67L18B157S</t>
  </si>
  <si>
    <t>'+393356886278</t>
  </si>
  <si>
    <t>m.salvinelli@studiosalvinelli.it</t>
  </si>
  <si>
    <t>1 Giugno 2023 16:27</t>
  </si>
  <si>
    <t>RCHNDR80B01E333A</t>
  </si>
  <si>
    <t>'+393281045810</t>
  </si>
  <si>
    <t>andrea.archetti16@gmail.com</t>
  </si>
  <si>
    <t>www.linkedin.com/in/andreaarchetti</t>
  </si>
  <si>
    <t>Unicredit</t>
  </si>
  <si>
    <t>Villongo</t>
  </si>
  <si>
    <t>Laurea I livello in Economia 8/3/04</t>
  </si>
  <si>
    <t>Esperienza in ambito impiegatizio, artigianato, bancario, condominiale, politica locale, animazione ragazzi, volontariato. 
Sto studiando per esame OCF</t>
  </si>
  <si>
    <t>1 Giugno 2023 14:11</t>
  </si>
  <si>
    <t>Testa</t>
  </si>
  <si>
    <t>TSTRNI87R54B157G</t>
  </si>
  <si>
    <t>'+39340282654</t>
  </si>
  <si>
    <t>irene.testa87@gmail.com</t>
  </si>
  <si>
    <t>Consulente aziendale</t>
  </si>
  <si>
    <t>Laurea Magistrale in Management - anno 2012</t>
  </si>
  <si>
    <t>1 Giugno 2023 12:00</t>
  </si>
  <si>
    <t>Laganà</t>
  </si>
  <si>
    <t>Amedeo</t>
  </si>
  <si>
    <t>Lgnmda92p18h330j</t>
  </si>
  <si>
    <t>'+393281653323</t>
  </si>
  <si>
    <t>amedeo.lagana.bs@gmail.com</t>
  </si>
  <si>
    <t>Responsabile stabilimento produttivo</t>
  </si>
  <si>
    <t>Fondital s.p.a.</t>
  </si>
  <si>
    <t>Laurea magistrale ingegneria gestionale 14/02/2017</t>
  </si>
  <si>
    <t>31 Maggio 2023 23:16</t>
  </si>
  <si>
    <t>Spiller</t>
  </si>
  <si>
    <t>SPLNDR87H20D284J</t>
  </si>
  <si>
    <t>'+393293146773</t>
  </si>
  <si>
    <t>undress87@hotmail.it</t>
  </si>
  <si>
    <t>Laurea Magistrale in Ingegneria Meccanica anno 2012</t>
  </si>
  <si>
    <t>30 Maggio 2023 23:54</t>
  </si>
  <si>
    <t>dr</t>
  </si>
  <si>
    <t>gllcml63p12g288w</t>
  </si>
  <si>
    <t>'+393711482132</t>
  </si>
  <si>
    <t>carmelogallico1@icloud.com</t>
  </si>
  <si>
    <t>Palmi</t>
  </si>
  <si>
    <t>Laurea Magistrale in giurisprudenza</t>
  </si>
  <si>
    <t>30 Maggio 2023 22:38</t>
  </si>
  <si>
    <t>COLA</t>
  </si>
  <si>
    <t>PATRIZIA</t>
  </si>
  <si>
    <t>CLOPRZ94B50B157Z</t>
  </si>
  <si>
    <t>cola.patrizia@hotmail.it</t>
  </si>
  <si>
    <t>https://www.linkedin.com/in/patriziacola/</t>
  </si>
  <si>
    <t>Assistant Manager</t>
  </si>
  <si>
    <t>KPMG Advisory S.p.A.</t>
  </si>
  <si>
    <t>Coccaglio (BS)</t>
  </si>
  <si>
    <t>Laurea Magistrale in Moneta Finanza Risk Management data: 19 dicembre 2018</t>
  </si>
  <si>
    <t>30 Maggio 2023 12:52</t>
  </si>
  <si>
    <t>Laurea Magistrale in Scienze Giuridiche dell'innovazione</t>
  </si>
  <si>
    <t>Laurea in Economia</t>
  </si>
  <si>
    <t>Foglio</t>
  </si>
  <si>
    <t>FGLGNN91R06B157A</t>
  </si>
  <si>
    <t>giovanni.foglio91@gmail.com</t>
  </si>
  <si>
    <t>Laurea magistrale in giurisprudenza 12.4.2016</t>
  </si>
  <si>
    <t>14 Giugno 2023 20:21</t>
  </si>
  <si>
    <t>Armanelli</t>
  </si>
  <si>
    <t>RMNBBR70A55G264Q</t>
  </si>
  <si>
    <t>'+393479228595</t>
  </si>
  <si>
    <t>b.armanelli@gmail.com</t>
  </si>
  <si>
    <t>Technical asset manager</t>
  </si>
  <si>
    <t>Pradera Italy srl</t>
  </si>
  <si>
    <t>Laurea Magistrale - Ingegneria civile 15/10/1997</t>
  </si>
  <si>
    <t>13 Giugno 2023 16:48</t>
  </si>
  <si>
    <t>dott.ssa</t>
  </si>
  <si>
    <t>Venturi</t>
  </si>
  <si>
    <t>VNTLRA68R44B157T</t>
  </si>
  <si>
    <t>'+393486979049</t>
  </si>
  <si>
    <t>studio@lauraventuri.it</t>
  </si>
  <si>
    <t>https://www.linkedin.com/in/laura-venturi-86987170/</t>
  </si>
  <si>
    <t>Dottore commercialista e revisore legale; Consigliera Segretaria ODCEC Brescia, Consigliera BCC del Garda</t>
  </si>
  <si>
    <t>Laurea magistrale (durata 4 anni)</t>
  </si>
  <si>
    <t>12 Giugno 2023 19:29</t>
  </si>
  <si>
    <t>VLLVLR67C17G264I</t>
  </si>
  <si>
    <t>'+393388694771</t>
  </si>
  <si>
    <t>vavilla67@gmail.com</t>
  </si>
  <si>
    <t>valerio.villa@unibs.it</t>
  </si>
  <si>
    <t>Laurea V.O. in Ingegneria Meccanica,</t>
  </si>
  <si>
    <t>12 Giugno 2023 17:29</t>
  </si>
  <si>
    <t>LNCMRA00H62D940W</t>
  </si>
  <si>
    <t>'+393405189254</t>
  </si>
  <si>
    <t>m.lancellotti00@gmail.com</t>
  </si>
  <si>
    <t>12 Giugno 2023 11:32</t>
  </si>
  <si>
    <t>Guizzardi</t>
  </si>
  <si>
    <t>GZZFNC00S12B157C</t>
  </si>
  <si>
    <t>'+393341865764</t>
  </si>
  <si>
    <t>francescoguiz@gmail.com</t>
  </si>
  <si>
    <t>Flero</t>
  </si>
  <si>
    <t>Laurea Triennale</t>
  </si>
  <si>
    <t>9 Giugno 2023 15:20</t>
  </si>
  <si>
    <t>Tottoli</t>
  </si>
  <si>
    <t>TTTGCM00H23E333O</t>
  </si>
  <si>
    <t>'+393930143701</t>
  </si>
  <si>
    <t>g.tottoli@studenti.unibs.it</t>
  </si>
  <si>
    <t>9 Giugno 2023 13:23</t>
  </si>
  <si>
    <t>Dioni</t>
  </si>
  <si>
    <t>DNIFNC83M42B157I</t>
  </si>
  <si>
    <t>'+393391073689</t>
  </si>
  <si>
    <t>francesca.dioni83@gmail.com</t>
  </si>
  <si>
    <t>Specializzazione post laurea in professioni legali</t>
  </si>
  <si>
    <t>7 Giugno 2023 22:08</t>
  </si>
  <si>
    <t>Lazzaroni</t>
  </si>
  <si>
    <t>LZZFPP98E16B157W</t>
  </si>
  <si>
    <t>'+393891578482</t>
  </si>
  <si>
    <t>filippolazzaroni98@gmail.com</t>
  </si>
  <si>
    <t>https://www.linkedin.com/in/filippo-lazzaroni-69097a197</t>
  </si>
  <si>
    <t>Analyst Consultant</t>
  </si>
  <si>
    <t>Laurea Magistrale, Management, International Business, 06/04/2023</t>
  </si>
  <si>
    <t>5 Giugno 2023 19:19</t>
  </si>
  <si>
    <t>Festa</t>
  </si>
  <si>
    <t>FSTNCL90R21C618M</t>
  </si>
  <si>
    <t>'+393385320696</t>
  </si>
  <si>
    <t>nicolo.festa90@gmail.com</t>
  </si>
  <si>
    <t>Laurea Magistrale Ing. Informatica 2016</t>
  </si>
  <si>
    <t>5 Giugno 2023 13:13</t>
  </si>
  <si>
    <t>Laurea in Ingegneria Gestionale</t>
  </si>
  <si>
    <t>Laurea in Sistemi agricoli sostenibili</t>
  </si>
  <si>
    <t xml:space="preserve">Ingegneria </t>
  </si>
  <si>
    <t>Laurea in Ingegneria meccanica e dei materiali</t>
  </si>
  <si>
    <t>laura.depero@unibs.it</t>
  </si>
  <si>
    <t>Dottore con abilitazione all’ordine degli ingegneri</t>
  </si>
  <si>
    <t>Capuzzi</t>
  </si>
  <si>
    <t>CPZSMN97R15B157J</t>
  </si>
  <si>
    <t>'+393315856199</t>
  </si>
  <si>
    <t>sc97.private@gmail.com</t>
  </si>
  <si>
    <t>https://www.linkedin.com/in/simone-capuzzi-1a44a5203</t>
  </si>
  <si>
    <t>Consulente IT</t>
  </si>
  <si>
    <t>Connect Reply (gruppo Reply s.p.a.)</t>
  </si>
  <si>
    <t>Bedizzole</t>
  </si>
  <si>
    <t>Laurea magistrale in ingegneria informatica, conseguita in data 19/10/22</t>
  </si>
  <si>
    <t>27 Giugno 2023 10:09</t>
  </si>
  <si>
    <t>Micheletti</t>
  </si>
  <si>
    <t>MCHLRT89H29B157K</t>
  </si>
  <si>
    <t>'+393383696136</t>
  </si>
  <si>
    <t>albertomicheletti@hotmail.com</t>
  </si>
  <si>
    <t>Laurea di primo livello, Economia e gestione aziendale, 06/04/2023</t>
  </si>
  <si>
    <t>26 Giugno 2023 10:08</t>
  </si>
  <si>
    <t>SINGH</t>
  </si>
  <si>
    <t>LOVEPREET</t>
  </si>
  <si>
    <t>SNGLPR00A01Z222G</t>
  </si>
  <si>
    <t>singhlovepreet1973@icloud.com</t>
  </si>
  <si>
    <t>Lovepreet Singh</t>
  </si>
  <si>
    <t>studente</t>
  </si>
  <si>
    <t>HADJ AMOR</t>
  </si>
  <si>
    <t>HUSSEM</t>
  </si>
  <si>
    <t>HDJHSM98B23L378Y</t>
  </si>
  <si>
    <t>'+393441148122</t>
  </si>
  <si>
    <t>hussem23@gmail.com</t>
  </si>
  <si>
    <t>https://www.linkedin.com/in/hussem-amor</t>
  </si>
  <si>
    <t>Fondatore</t>
  </si>
  <si>
    <t>Trein S.r.l.</t>
  </si>
  <si>
    <t>Affi</t>
  </si>
  <si>
    <t>Doppia Laurea International Business</t>
  </si>
  <si>
    <t>25 Giugno 2023 18:35</t>
  </si>
  <si>
    <t>Marin</t>
  </si>
  <si>
    <t>MRNGLI99H43E349L</t>
  </si>
  <si>
    <t>'+393450519742</t>
  </si>
  <si>
    <t>giulia1999marin@gmail.com</t>
  </si>
  <si>
    <t>Sorgà</t>
  </si>
  <si>
    <t>Laurea triennale, Economia e Gestione Aziendale, 05 aprile 2023</t>
  </si>
  <si>
    <t>25 Giugno 2023 13:21</t>
  </si>
  <si>
    <t>Mozzo</t>
  </si>
  <si>
    <t>MZZLSN81R30B157B</t>
  </si>
  <si>
    <t>'+393281022586</t>
  </si>
  <si>
    <t>alessandro.mozzo@gmail.com</t>
  </si>
  <si>
    <t>https://www.linkedin.com/in/alessandromozzo/</t>
  </si>
  <si>
    <t>Laurea Specialistica in Direzione Aziendale</t>
  </si>
  <si>
    <t>23 Giugno 2023 15:41</t>
  </si>
  <si>
    <t>Medico</t>
  </si>
  <si>
    <t>ZNCGRG57A12B157H</t>
  </si>
  <si>
    <t>giorgio.zanacchi@crs.lombardia.it</t>
  </si>
  <si>
    <t>Laurea in Medicina e Chirurgia - Specializzazione in Medicina Interna</t>
  </si>
  <si>
    <t>18 Giugno 2023 11:30</t>
  </si>
  <si>
    <t>Laurea magistrale in Management</t>
  </si>
  <si>
    <t>Laurea specialistica/magistrale in Medicina e Chirurgia</t>
  </si>
  <si>
    <t>27/03/2023 - 03/07/2023</t>
  </si>
  <si>
    <t>Penna</t>
  </si>
  <si>
    <t>PNNMTT92P14D150W</t>
  </si>
  <si>
    <t>'+393888957414</t>
  </si>
  <si>
    <t>matteopenna1992@gmail.com</t>
  </si>
  <si>
    <t>Data Privacy and Protection Expert</t>
  </si>
  <si>
    <t>BNP Paribas Cardif Vita</t>
  </si>
  <si>
    <t>Leno, BS</t>
  </si>
  <si>
    <t>Laurea magistrale in ingegneria gestionale in data 29/03/2019</t>
  </si>
  <si>
    <t>3 Luglio 2023 21:45</t>
  </si>
  <si>
    <t>dott</t>
  </si>
  <si>
    <t>mazzoldi</t>
  </si>
  <si>
    <t>cristina</t>
  </si>
  <si>
    <t>MZZCST70R44B157E</t>
  </si>
  <si>
    <t>'+393396714465</t>
  </si>
  <si>
    <t>cristina.mazzoldi@gmail.com</t>
  </si>
  <si>
    <t>laurea 1995</t>
  </si>
  <si>
    <t>3 Luglio 2023 12:22</t>
  </si>
  <si>
    <t>Tagliavini</t>
  </si>
  <si>
    <t>'+393388884612</t>
  </si>
  <si>
    <t>albertotagliavini68@gmail.com</t>
  </si>
  <si>
    <t>https://www.linkedin.com/in/alberto-tagliavini-5194b991/</t>
  </si>
  <si>
    <t>Rhenus Logistics</t>
  </si>
  <si>
    <t>29 Giugno 2023 17:29</t>
  </si>
  <si>
    <t>Ottelli</t>
  </si>
  <si>
    <t>TTLPLG56L05F839Q</t>
  </si>
  <si>
    <t>pierluigi.ottelli@gmail.com</t>
  </si>
  <si>
    <t>Laurea in ingegneria meccanica conseguita il 14/7/1983&amp;</t>
  </si>
  <si>
    <t>29 Giugno 2023 7:19</t>
  </si>
  <si>
    <t>Galleri</t>
  </si>
  <si>
    <t>GLLJCP98S15B157H</t>
  </si>
  <si>
    <t>'+393450808845</t>
  </si>
  <si>
    <t>jacopogalleri09@gmail.com</t>
  </si>
  <si>
    <t>https://www.linkedin.com/in/jacopo-galleri-3b955a22a/</t>
  </si>
  <si>
    <t>San Paolo</t>
  </si>
  <si>
    <t>Laurea Magistrale in Ingegneria gestionale curriculum logistico produttivo</t>
  </si>
  <si>
    <t>27 Giugno 2023 20:51</t>
  </si>
  <si>
    <t>Rigosa</t>
  </si>
  <si>
    <t>Lucrezia</t>
  </si>
  <si>
    <t>RGSLRZ97S47B157Y</t>
  </si>
  <si>
    <t>'+393298271265</t>
  </si>
  <si>
    <t>lucreziarigosa@gmail.com</t>
  </si>
  <si>
    <t>Collebeato (BS)</t>
  </si>
  <si>
    <t>Laurea Magistrale in Giurisprudenza a ciclo unico, 23 Maggio 2023</t>
  </si>
  <si>
    <t>27 Giugno 2023 17:18</t>
  </si>
  <si>
    <t>TGLLRT68H23B157E</t>
  </si>
  <si>
    <t>Bolberti</t>
  </si>
  <si>
    <t>BLBSRA96T58B157V</t>
  </si>
  <si>
    <t>'+393385687843</t>
  </si>
  <si>
    <t>s.bolberti@studiocossu.it</t>
  </si>
  <si>
    <t>Laurea Specialistica in Consulenza Aziendale e Libera Professione conseguita in data 16.12.2020</t>
  </si>
  <si>
    <t>4 Luglio 2023 9:43</t>
  </si>
  <si>
    <t>Laurea magistrale a ciclo unico in Giurisprudenza</t>
  </si>
  <si>
    <t>dottore</t>
  </si>
  <si>
    <t>FARONI</t>
  </si>
  <si>
    <t>ELENA</t>
  </si>
  <si>
    <t>FRNLNE57A42B157I</t>
  </si>
  <si>
    <t>'+393460327159</t>
  </si>
  <si>
    <t>elena@enricodamianieditore.com</t>
  </si>
  <si>
    <t>http://linkedin.com/company/enrico-damiani-editore</t>
  </si>
  <si>
    <t>responsabile e direttore casa editrice</t>
  </si>
  <si>
    <t>ENRICO DAMIANI EDITORE</t>
  </si>
  <si>
    <t>Medico chirurgo laureato a Brescia il 17/10/198; specializzazione in Oftalmologia conseguita a Milano il 14/07/1988; iscritta al corso di laurea in scienze della comunicazione presso l'Università eCampus</t>
  </si>
  <si>
    <t>10 Luglio 2023 11:35</t>
  </si>
  <si>
    <t>Anderloni</t>
  </si>
  <si>
    <t>Ndrchr91m63b157n</t>
  </si>
  <si>
    <t>'+393497108420</t>
  </si>
  <si>
    <t>c.anderloni@gmail.com</t>
  </si>
  <si>
    <t>Funzionario</t>
  </si>
  <si>
    <t>Agenzia delle Entrate</t>
  </si>
  <si>
    <t>Concesio BS</t>
  </si>
  <si>
    <t>Laurea triennale in economia e gestione aziendale - 26/03/2020</t>
  </si>
  <si>
    <t>7 Luglio 2023 23:29</t>
  </si>
  <si>
    <t>Giacò</t>
  </si>
  <si>
    <t>GCICRL96D22D940X</t>
  </si>
  <si>
    <t>'+393312080222</t>
  </si>
  <si>
    <t>giac.carlo@yahoo.it</t>
  </si>
  <si>
    <t>https://www.linkedin.com/in/carlo-giaco-a210221a7/</t>
  </si>
  <si>
    <t>Puegnago sul Garda</t>
  </si>
  <si>
    <t>Laurea magistrale, ingegneria gestionale, 24/03/2023</t>
  </si>
  <si>
    <t>6 Luglio 2023 17:28</t>
  </si>
  <si>
    <t>Sartori</t>
  </si>
  <si>
    <t>'+393496238163</t>
  </si>
  <si>
    <t>pietrosartori93@gmail.com</t>
  </si>
  <si>
    <t>https://www.linkedin.com/in/pietro-sartori-14614459</t>
  </si>
  <si>
    <t>Supply chain specialist</t>
  </si>
  <si>
    <t>Eismann</t>
  </si>
  <si>
    <t>Lonato</t>
  </si>
  <si>
    <t>Laurea magistrale in Ingegneria gestionale</t>
  </si>
  <si>
    <t>6 Luglio 2023 13:15</t>
  </si>
  <si>
    <t>Trapani</t>
  </si>
  <si>
    <t>Vikash</t>
  </si>
  <si>
    <t>TRPVSH86L16Z222A</t>
  </si>
  <si>
    <t>'+39333680156</t>
  </si>
  <si>
    <t>vikash.trapani@gmail.com</t>
  </si>
  <si>
    <t>Laura 5 anni, Corso in Ingegneria Edile-Architettura, 19/09/2011</t>
  </si>
  <si>
    <t>4 Luglio 2023 23:08</t>
  </si>
  <si>
    <t>MRNMTT85R05B157M</t>
  </si>
  <si>
    <t>'+393351376696</t>
  </si>
  <si>
    <t>ing.matteomarini@gmail.com</t>
  </si>
  <si>
    <t>www.linkedin.com/in/matteo-marini-16906949</t>
  </si>
  <si>
    <t>Project Manager - HSE - Field Engineer</t>
  </si>
  <si>
    <t>Panizza 1914 S.r.l.</t>
  </si>
  <si>
    <t>Roncadelle</t>
  </si>
  <si>
    <t>Laurea Specialistica in Ingegneria Edile - Architettura</t>
  </si>
  <si>
    <t>4 Luglio 2023 16:14</t>
  </si>
  <si>
    <t>DANIELA</t>
  </si>
  <si>
    <t>TTLDNL66D51B157X</t>
  </si>
  <si>
    <t>'+393381212382</t>
  </si>
  <si>
    <t>dottellicna@gmail.com</t>
  </si>
  <si>
    <t>Responsabile provinciale settori autotrasporto merci persone-autoriparazione -Amministratore Unico in azienda consortile</t>
  </si>
  <si>
    <t>CNA ASSOCIAZIONE PARMA -PARMABUS SCRL</t>
  </si>
  <si>
    <t>LAUREA IN ECONOMIA E COMMERCIO</t>
  </si>
  <si>
    <t>HO PAGATO LA QUOTA ASSOCIATIVA IL 27 APRILE 2021 CON CARTA DI CREDITO SU PAGO PA (10,50€)</t>
  </si>
  <si>
    <t>4 Luglio 2023 12:06</t>
  </si>
  <si>
    <t>SRTPTR93P30D284P</t>
  </si>
  <si>
    <t>Laurea a ciclo unico in Ingegneria Edile</t>
  </si>
  <si>
    <t>Zinoni</t>
  </si>
  <si>
    <t>Znnjcp88d11e884e</t>
  </si>
  <si>
    <t>zinonijacopo@gmail.com</t>
  </si>
  <si>
    <t>Offlaga</t>
  </si>
  <si>
    <t>17 Luglio 2023 7:56</t>
  </si>
  <si>
    <t>Fratus</t>
  </si>
  <si>
    <t>FRTDRD99H18I628N</t>
  </si>
  <si>
    <t>'+393343410122</t>
  </si>
  <si>
    <t>edoardo.fra.ef@gmail.com</t>
  </si>
  <si>
    <t>https://www.linkedin.com/in/edoardofratus/</t>
  </si>
  <si>
    <t>Data Science Analyst</t>
  </si>
  <si>
    <t>Accenture</t>
  </si>
  <si>
    <t>Castelli Calepio</t>
  </si>
  <si>
    <t>Laurea di I livello</t>
  </si>
  <si>
    <t>13 Luglio 2023 21:06</t>
  </si>
  <si>
    <t>Rezzola</t>
  </si>
  <si>
    <t>RZZSRA87H59D284U</t>
  </si>
  <si>
    <t>'+390303717726</t>
  </si>
  <si>
    <t>rezzola.sara@gmail.com</t>
  </si>
  <si>
    <t>https://www.linkedin.com/in/sara-rezzola/</t>
  </si>
  <si>
    <t>Ricercatrice</t>
  </si>
  <si>
    <t>Calcinato</t>
  </si>
  <si>
    <t>Dottorato di ricerca in Biotecnologie Cellulari e Molecolari applicate al settore Biomedico conseguito il 03/12/2015</t>
  </si>
  <si>
    <t>11 Luglio 2023 14:02</t>
  </si>
  <si>
    <t>Laurea in Ingegneria Informatica</t>
  </si>
  <si>
    <t>Dottorato in Biotecnologie cellulari e molecolari XXVIII ciclo</t>
  </si>
  <si>
    <t>Dr.ssa</t>
  </si>
  <si>
    <t>AVIGO</t>
  </si>
  <si>
    <t>LUCIA</t>
  </si>
  <si>
    <t>VGALCU58C61B157E</t>
  </si>
  <si>
    <t>'+393487152721</t>
  </si>
  <si>
    <t>lucia.avigo@gmail.com</t>
  </si>
  <si>
    <t>Direttore Sanitario</t>
  </si>
  <si>
    <t>IRCCS CENTRO SAN GIOVANNI DI DIO - FATEBENEFRATELLI</t>
  </si>
  <si>
    <t>Laurea in Medicina e Chirurgia, Specializzazione in Igiene e Medicina Preventiva. Laurea il 19/10/1983</t>
  </si>
  <si>
    <t>24 Luglio 2023 12:18</t>
  </si>
  <si>
    <t>Boifava</t>
  </si>
  <si>
    <t>BFVNGL57P24B157H</t>
  </si>
  <si>
    <t>'+39030313117</t>
  </si>
  <si>
    <t>studiodentisticoboifavaangelo@gmail.com</t>
  </si>
  <si>
    <t>Laurea in Medicina e Chirurgia 11/07/1983 Licence en Médecine Dentaire Università di Ginevra (CH) 09/1988</t>
  </si>
  <si>
    <t>21 Luglio 2023 8:12</t>
  </si>
  <si>
    <t>Mastroeni</t>
  </si>
  <si>
    <t>MSTMRA55D23B817M</t>
  </si>
  <si>
    <t>'+393338616384</t>
  </si>
  <si>
    <t>mariomastroeni@libero.it</t>
  </si>
  <si>
    <t>'----</t>
  </si>
  <si>
    <t>'-----</t>
  </si>
  <si>
    <t>Medico Chirurgo Specialista in Odontostomatologia</t>
  </si>
  <si>
    <t>20 Luglio 2023 13:11</t>
  </si>
  <si>
    <t xml:space="preserve">Medicina </t>
  </si>
  <si>
    <t>BLLMRC65C01M109R</t>
  </si>
  <si>
    <t>non in esse3 ma conseguito dottorato a Brescia - rilasciato da Minstero</t>
  </si>
  <si>
    <t>Pecorelli</t>
  </si>
  <si>
    <t>PCRSRG44H10B157W</t>
  </si>
  <si>
    <t>'+393488295378</t>
  </si>
  <si>
    <t>sergiopecos@gmail.com</t>
  </si>
  <si>
    <t>Sergio Pecorelli</t>
  </si>
  <si>
    <t>Professore Emerito</t>
  </si>
  <si>
    <t>Laurea in Medicina e Chirurgia (Univ. Pavia), Specializzazione in Ginecologia e Ostetricia (Univ Milano), Fellowship in Chirurgia Pelvica (Mayo Clinic, USA)</t>
  </si>
  <si>
    <t>26 Luglio 2023 12:33</t>
  </si>
  <si>
    <t>professore</t>
  </si>
  <si>
    <t>Volta</t>
  </si>
  <si>
    <t>Marialuisa</t>
  </si>
  <si>
    <t>VLTMLS66S61B157B</t>
  </si>
  <si>
    <t>'+393356379744</t>
  </si>
  <si>
    <t>marialuisa.volta@unibs.it</t>
  </si>
  <si>
    <t>https://www.linkedin.com/in/marialuisa-volta-37a75158/</t>
  </si>
  <si>
    <t>professore ordinario in Automatica</t>
  </si>
  <si>
    <t>Dipartimento di Ingegneria Meccanica e Industriale, Università degli Studi di Brescia</t>
  </si>
  <si>
    <t>Laurea V.O. Ingegneria Elettronica (Politecnico di Milano), Dottorato di Ricerca in Ingegneria dell'Informazione (Università degli Studi di Brescia)</t>
  </si>
  <si>
    <t>25 Luglio 2023 15:40</t>
  </si>
  <si>
    <t>Da approvare onorario</t>
  </si>
  <si>
    <t>Ex Rettore</t>
  </si>
  <si>
    <t>Professore ordinario Unibs</t>
  </si>
  <si>
    <t>onorario</t>
  </si>
  <si>
    <t>PGNSFN98E51I628E</t>
  </si>
  <si>
    <t>'+393459133959</t>
  </si>
  <si>
    <t>stefy.pagani98@gmail.com</t>
  </si>
  <si>
    <t>Continuous improvement specialist</t>
  </si>
  <si>
    <t>Laurea Magistrale in Ingegneria Gestionale indirizzo Logistico Produttivo (conseguita a ottobre 2023)</t>
  </si>
  <si>
    <t>4 Agosto 2023 12:15</t>
  </si>
  <si>
    <t>Maternini</t>
  </si>
  <si>
    <t>MTRGLI55H23B157A</t>
  </si>
  <si>
    <t>'+393389011296</t>
  </si>
  <si>
    <t>giulio.maternini@unibs.it</t>
  </si>
  <si>
    <t>Via Carlo Cattaneo 66</t>
  </si>
  <si>
    <t>Laurea in Ingegneria Civile (vecchio ordinamento), conseguita il 31/10/1980 al Politecnico di Milano</t>
  </si>
  <si>
    <t>3 Agosto 2023 16:39</t>
  </si>
  <si>
    <t>Cerutti</t>
  </si>
  <si>
    <t>CRTCLD81M15C118P</t>
  </si>
  <si>
    <t>'+393283582393</t>
  </si>
  <si>
    <t>claudio.cerutti@studiocerutti.net</t>
  </si>
  <si>
    <t>https://www.linkedin.com/in/claudio-cerutti-96266b13/</t>
  </si>
  <si>
    <t>Titolare studio commercialista</t>
  </si>
  <si>
    <t>Studio Cerutti Claudio</t>
  </si>
  <si>
    <t>Ghedi BS</t>
  </si>
  <si>
    <t>Laurea magistrale, Economia aziendale e Libera Professione, data laurea 20/12/2005</t>
  </si>
  <si>
    <t>2 Agosto 2023 18:55</t>
  </si>
  <si>
    <t>Garbellini</t>
  </si>
  <si>
    <t>GRBMTT92P14B157G</t>
  </si>
  <si>
    <t>'+393202856213</t>
  </si>
  <si>
    <t>matteo.garbellini.1992@gmail.com</t>
  </si>
  <si>
    <t>https://it.linkedin.com/in/matteo-garbellini-526993200?trk=people-guest_people_search-card</t>
  </si>
  <si>
    <t>ATB Riva Calzoni spa</t>
  </si>
  <si>
    <t>Torbole casaglia</t>
  </si>
  <si>
    <t>Laurea magistrale in Ingegneria Meccanica, Data di Laurea: 21/03/2017</t>
  </si>
  <si>
    <t>1 Agosto 2023 14:09</t>
  </si>
  <si>
    <t>Laurea Magistrale Ingegneria gestionale</t>
  </si>
  <si>
    <t>Laurea specialistica in Consulenza e libera professione</t>
  </si>
  <si>
    <t>Marchini</t>
  </si>
  <si>
    <t>Mrcslv76h28b157l</t>
  </si>
  <si>
    <t>'+393441638274</t>
  </si>
  <si>
    <t>silvio.marchini@libero.it</t>
  </si>
  <si>
    <t>Laurea economia e commercio v.o.</t>
  </si>
  <si>
    <t>27 Agosto 2023 12:14</t>
  </si>
  <si>
    <t>Tomasini</t>
  </si>
  <si>
    <t>TMSMTN94D58B157A</t>
  </si>
  <si>
    <t>'+393201703620</t>
  </si>
  <si>
    <t>martinatomasini94@gmail.com</t>
  </si>
  <si>
    <t>Laurea di primo livello in Economia aziendale</t>
  </si>
  <si>
    <t>27 Agosto 2023 11:23</t>
  </si>
  <si>
    <t>Nicola Tomasini - Adesione Alumni Unibs</t>
  </si>
  <si>
    <t>TMSNCL98E28B157T</t>
  </si>
  <si>
    <t>nicola.tomasini.it@gmail.com</t>
  </si>
  <si>
    <t>Portfolio Analyst</t>
  </si>
  <si>
    <t>Generali Investments</t>
  </si>
  <si>
    <t>Laurea Magistrale; Moneta, Finanza e Risk Management; 12/07/2023</t>
  </si>
  <si>
    <t>23 Agosto 2023 18:10</t>
  </si>
  <si>
    <t>Piergiorgio</t>
  </si>
  <si>
    <t>BLTPGR94H23E884H</t>
  </si>
  <si>
    <t>'+393343204614</t>
  </si>
  <si>
    <t>piergiorgio.belotti94@gmail.com</t>
  </si>
  <si>
    <t>https://www.linkedin.com/in/piergiorgio-belotti-70360b179</t>
  </si>
  <si>
    <t>Scuola di Specializzazione per le Professioni Legali</t>
  </si>
  <si>
    <t>22 Agosto 2023 22:25</t>
  </si>
  <si>
    <t>Laurea Magistrale in Moneta, Finanza e Risk Management</t>
  </si>
  <si>
    <t>Scuola di Specializzazione per le Professioni legali</t>
  </si>
  <si>
    <t>Bennati Sgarbazzini</t>
  </si>
  <si>
    <t>Gioia Camilla</t>
  </si>
  <si>
    <t>Bnngml92d60z131d</t>
  </si>
  <si>
    <t>'+393349230740</t>
  </si>
  <si>
    <t>gioia.camilla@gmail.com</t>
  </si>
  <si>
    <t>https://www.linkedin.com/in/gioiacamilla</t>
  </si>
  <si>
    <t>Finance program manager</t>
  </si>
  <si>
    <t>Oyster HR</t>
  </si>
  <si>
    <t>Bratislava</t>
  </si>
  <si>
    <t>Slovakia</t>
  </si>
  <si>
    <t>BBA</t>
  </si>
  <si>
    <t>24 Settembre 2023 23:03</t>
  </si>
  <si>
    <t>Osmetti</t>
  </si>
  <si>
    <t>Nikolas</t>
  </si>
  <si>
    <t>SMTNLS02A29I828S</t>
  </si>
  <si>
    <t>'+393384274869</t>
  </si>
  <si>
    <t>osmetti.nikolas@gmail.com</t>
  </si>
  <si>
    <t>Livigno</t>
  </si>
  <si>
    <t>21 Settembre 2023 22:34</t>
  </si>
  <si>
    <t>Tedeschi</t>
  </si>
  <si>
    <t>Francesca Carlotta</t>
  </si>
  <si>
    <t>TDSFNC96L62B157R</t>
  </si>
  <si>
    <t>'+393338290086</t>
  </si>
  <si>
    <t>fctedeschi@gmail.com</t>
  </si>
  <si>
    <t>https://www.linkedin.com/in/francesca-carlotta-tedeschi-5a38981aa/</t>
  </si>
  <si>
    <t>Funzionario addetto all'ufficio per il processo</t>
  </si>
  <si>
    <t>Corte di Appello di Brescia, I Sezione civile - Ministero della Giustizia</t>
  </si>
  <si>
    <t>Laurea Magistrale (LM) in Giurisprudenza, Master di II livello ( Diploma Scuola di Specializzazione per le professioni legali)</t>
  </si>
  <si>
    <t>20 Settembre 2023 20:21</t>
  </si>
  <si>
    <t>Alessandro Rovetta- Adesione Alumni Unibs</t>
  </si>
  <si>
    <t>RVTLSN00B02B157E</t>
  </si>
  <si>
    <t>'+393401550072</t>
  </si>
  <si>
    <t>rovetta.alessandro@gmail.com</t>
  </si>
  <si>
    <t>Laurea Triennale in Ingegneria Meccanica e dei Materiali</t>
  </si>
  <si>
    <t>Grazie, aderisco volentieri!</t>
  </si>
  <si>
    <t>15 Settembre 2023 10:35</t>
  </si>
  <si>
    <t>laurea in Medicina e Chirurgia</t>
  </si>
  <si>
    <t>pavia</t>
  </si>
  <si>
    <t>leandro</t>
  </si>
  <si>
    <t>PVALDR58A25B157M</t>
  </si>
  <si>
    <t>'+393296923239</t>
  </si>
  <si>
    <t>leandropaolo.pavia@gmail.com</t>
  </si>
  <si>
    <t>medico cardiologo</t>
  </si>
  <si>
    <t>istituto Clinico San Anna brescia</t>
  </si>
  <si>
    <t>laurea medicina e chirurgia in data 17 ottobre 1983 specializzazione in cardiologia 7 luglio 1989</t>
  </si>
  <si>
    <t>14 Settembre 2023 10:12</t>
  </si>
  <si>
    <t>Quaresmini</t>
  </si>
  <si>
    <t>QRSMTT86H01B157P</t>
  </si>
  <si>
    <t>'+393205516826</t>
  </si>
  <si>
    <t>m.quaresmini@gmail.com</t>
  </si>
  <si>
    <t>https://www.linkedin.com/in/matteoquaresmini</t>
  </si>
  <si>
    <t>Chainalytics</t>
  </si>
  <si>
    <t>Capriano del Colle</t>
  </si>
  <si>
    <t>Laurea Specialistica in Management</t>
  </si>
  <si>
    <t>5 Settembre 2023 12:19</t>
  </si>
  <si>
    <t>Laura in ingegneria</t>
  </si>
  <si>
    <t>Pasini</t>
  </si>
  <si>
    <t>PSNGNN64P13G001N</t>
  </si>
  <si>
    <t>'+393357115530</t>
  </si>
  <si>
    <t>giovanni.pasini@it.feralpigroup.com</t>
  </si>
  <si>
    <t>www.linkedin.com/in/giovanni-pasini-11359b36</t>
  </si>
  <si>
    <t>Consigliere delegato</t>
  </si>
  <si>
    <t>Feralpi Holding SpA</t>
  </si>
  <si>
    <t>Laurea quinquennale in Ingegneria, anno di laurea 1989</t>
  </si>
  <si>
    <t>Il Presidente Dott. Michele Lancellotti mi invita a iscrivermi alla Associazione Alumni Unibs in qualità si socio onorario</t>
  </si>
  <si>
    <t>3 Settembre 2023 9:55</t>
  </si>
  <si>
    <t>Paoli</t>
  </si>
  <si>
    <t>PLACRL68H46L378J</t>
  </si>
  <si>
    <t>'+393492394567</t>
  </si>
  <si>
    <t>vonhausmann@icloud.com</t>
  </si>
  <si>
    <t>https://it.linkedin.com/in/carla-paoli-799016151</t>
  </si>
  <si>
    <t>Responsabile di Direzione e Coordinamento</t>
  </si>
  <si>
    <t>Ordine dei Dottori Commercialisti e degli ESperti Contabili di Brescia</t>
  </si>
  <si>
    <t>Laurea Economia e Commercio - vecchio ordinamento - aprile 1993</t>
  </si>
  <si>
    <t>Facebook</t>
  </si>
  <si>
    <t>30 Agosto 2023 12:31</t>
  </si>
  <si>
    <t>Laurea in Ingegneria Meccanica e dei Materiali</t>
  </si>
  <si>
    <t>Laurea Magistrale in Management</t>
  </si>
  <si>
    <t xml:space="preserve">Economia </t>
  </si>
  <si>
    <t>MNTDVD94S29B157O</t>
  </si>
  <si>
    <t>'+393316508048</t>
  </si>
  <si>
    <t>d.montani002@unibs.it</t>
  </si>
  <si>
    <t>davide@ingmontani.it</t>
  </si>
  <si>
    <t>Medico specializzando</t>
  </si>
  <si>
    <t>ASST spedali Civili Brescia</t>
  </si>
  <si>
    <t>Laurea magistrale in Medicina e chirurgia, 17/03/2020</t>
  </si>
  <si>
    <t>1 Ottobre 2023 19:24</t>
  </si>
  <si>
    <t>Ricchini</t>
  </si>
  <si>
    <t>RCCMRA00L26D434D</t>
  </si>
  <si>
    <t>'+393452144637</t>
  </si>
  <si>
    <t>emme.ricchini@icloud.com</t>
  </si>
  <si>
    <t>Laurea triennale in ingegneria meccanica e dei materiali</t>
  </si>
  <si>
    <t>1 Ottobre 2023 19:18</t>
  </si>
  <si>
    <t>Rchcrl90a18b157j</t>
  </si>
  <si>
    <t>'+393479566926</t>
  </si>
  <si>
    <t>carloarchetti@yahoo.it</t>
  </si>
  <si>
    <t>Operaio metalmeccanico</t>
  </si>
  <si>
    <t>Arcom s.r.l.</t>
  </si>
  <si>
    <t>Laurea triennale in banca e finanza</t>
  </si>
  <si>
    <t>30 Settembre 2023 14:43</t>
  </si>
  <si>
    <t>Nidasio</t>
  </si>
  <si>
    <t>NDSCLD73R08L781X</t>
  </si>
  <si>
    <t>'+393498475246</t>
  </si>
  <si>
    <t>claudio.nidasio@gmail.com</t>
  </si>
  <si>
    <t>Technology Transfer Manager</t>
  </si>
  <si>
    <t>Università di Verona</t>
  </si>
  <si>
    <t>sarei lieto di poter partecipare all'attività della associazione</t>
  </si>
  <si>
    <t>28 Settembre 2023 18:29</t>
  </si>
  <si>
    <t>Mazzoncini</t>
  </si>
  <si>
    <t>Renato</t>
  </si>
  <si>
    <t>MZZRNT68A13B157V</t>
  </si>
  <si>
    <t>associazionidicategoria@a2a.eu</t>
  </si>
  <si>
    <t>CEO e DG</t>
  </si>
  <si>
    <t>Laurea magistrale in Ingegneria Elettrotecnica al Politecnico di Milano; Iscritto all’albo degli Ingegneri della Provincia di Brescia</t>
  </si>
  <si>
    <t>28 Settembre 2023 17:05</t>
  </si>
  <si>
    <t>dibo</t>
  </si>
  <si>
    <t>mireille</t>
  </si>
  <si>
    <t>DBINMR99T46D150R</t>
  </si>
  <si>
    <t>'+393917058490</t>
  </si>
  <si>
    <t>annemireilledibo@gmail.com</t>
  </si>
  <si>
    <t>Via Merula 5</t>
  </si>
  <si>
    <t>laureando</t>
  </si>
  <si>
    <t>laureanda</t>
  </si>
  <si>
    <t>27 Settembre 2023 21:08</t>
  </si>
  <si>
    <t>Riccardi</t>
  </si>
  <si>
    <t>RCCNCL94H30B157J</t>
  </si>
  <si>
    <t>'+393462216300</t>
  </si>
  <si>
    <t>niccolo.riccardi@live.com</t>
  </si>
  <si>
    <t>https://www.linkedin.com/in/niccolò-riccardi-32362b278/</t>
  </si>
  <si>
    <t>Stagista area Comunicazione e Sostenibilità</t>
  </si>
  <si>
    <t>Feralpi Group</t>
  </si>
  <si>
    <t>Laurea Magistrale in Economia Sociale e Imprese Cooperative, conseguita il 26/05/2023</t>
  </si>
  <si>
    <t>27 Settembre 2023 14:42</t>
  </si>
  <si>
    <t>Ph.D.</t>
  </si>
  <si>
    <t>SALVINELLI</t>
  </si>
  <si>
    <t>CARLO</t>
  </si>
  <si>
    <t>SLVCRL84S21D918F</t>
  </si>
  <si>
    <t>'+15733089763</t>
  </si>
  <si>
    <t>carlo.salvinelli@colorado.edu</t>
  </si>
  <si>
    <t>www.linkedin.com/in/carlo-salvinelli</t>
  </si>
  <si>
    <t>Associate Teaching Professor</t>
  </si>
  <si>
    <t>University of Colorado Boulder</t>
  </si>
  <si>
    <t>Lafayette</t>
  </si>
  <si>
    <t>Laurea triennale in Ingegneria Gestionale, Febbraio 2007 - Laurea Specialistica in Ingegneria Gestionale, Novembre 2012 - Dottorato in Ingegneria Geologica, Luglio 2016.</t>
  </si>
  <si>
    <t>27 Settembre 2023 7:18</t>
  </si>
  <si>
    <t>LSSLCU96C22F443E</t>
  </si>
  <si>
    <t>'+393481239173</t>
  </si>
  <si>
    <t>luca.ales@gmail.com</t>
  </si>
  <si>
    <t>Mazzano</t>
  </si>
  <si>
    <t>26 Settembre 2023 19:16</t>
  </si>
  <si>
    <t>Farina</t>
  </si>
  <si>
    <t>FRNNDR65C18C118Y</t>
  </si>
  <si>
    <t>'+393398029318</t>
  </si>
  <si>
    <t>a.farina@imbalcarton.com</t>
  </si>
  <si>
    <t>Prevalle (BS)</t>
  </si>
  <si>
    <t>Laurea in Economia, 17 luglio 1990</t>
  </si>
  <si>
    <t>26 Settembre 2023 9:57</t>
  </si>
  <si>
    <t>Laurea in Ingegneria Meccanica e dei materiali</t>
  </si>
  <si>
    <t>Laurea in Banca e Finanza</t>
  </si>
  <si>
    <t>Presidente Feralpi Group Spa</t>
  </si>
  <si>
    <t>Laurea Magistrale in Economia sociale e imprese cooperative</t>
  </si>
  <si>
    <t>Laurea Specialistica in Ingegneria gestionale</t>
  </si>
  <si>
    <t>Massioli</t>
  </si>
  <si>
    <t>MSSMRC83C05D284F</t>
  </si>
  <si>
    <t>'+393209427407</t>
  </si>
  <si>
    <t>marco_mss@libero.it</t>
  </si>
  <si>
    <t>Lonato del garda</t>
  </si>
  <si>
    <t>8 Ottobre 2023 21:10</t>
  </si>
  <si>
    <t>Borella</t>
  </si>
  <si>
    <t>BRLNRC86E22B157E</t>
  </si>
  <si>
    <t>'+32485001305</t>
  </si>
  <si>
    <t>enrico.borella@gmail.com</t>
  </si>
  <si>
    <t>Laura Triennale, Economia e Gestione delle Imprese, gennaio 2009</t>
  </si>
  <si>
    <t>6 Ottobre 2023 12:03</t>
  </si>
  <si>
    <t>Ennio</t>
  </si>
  <si>
    <t>BRBNNE78P15E333N</t>
  </si>
  <si>
    <t>'+393388723313</t>
  </si>
  <si>
    <t>ennio.barbieri@live.it</t>
  </si>
  <si>
    <t>Laurea in Economia e Commercio conseguita nel luglio 2002</t>
  </si>
  <si>
    <t>5 Ottobre 2023 18:16</t>
  </si>
  <si>
    <t>sig</t>
  </si>
  <si>
    <t>montuschi</t>
  </si>
  <si>
    <t>federico</t>
  </si>
  <si>
    <t>mntfrc73l23d918h</t>
  </si>
  <si>
    <t>'+393346509427</t>
  </si>
  <si>
    <t>federico.montuschi@gmail.com</t>
  </si>
  <si>
    <t>https://www.linkedin.com/in/federico-montuschi-405b6/</t>
  </si>
  <si>
    <t>People Management &amp; HR Transformation</t>
  </si>
  <si>
    <t>Intesa San Paolo</t>
  </si>
  <si>
    <t>Laurea in Ingegneria Gestionale, Ottobre 1997</t>
  </si>
  <si>
    <t>4 Ottobre 2023 11:40</t>
  </si>
  <si>
    <t>Collini</t>
  </si>
  <si>
    <t>Giuliana</t>
  </si>
  <si>
    <t>CLLGLN67T46D924D</t>
  </si>
  <si>
    <t>giuliana.collini@gmail.com</t>
  </si>
  <si>
    <t>Toscolano - Maderno (BS)</t>
  </si>
  <si>
    <t>Laurea in Economia e Commercio (vecchio ordinamento) data laurea 29/04/1992</t>
  </si>
  <si>
    <t>3 Ottobre 2023 13:30</t>
  </si>
  <si>
    <t>Veronesi</t>
  </si>
  <si>
    <t>VRNMTT92B27D940H</t>
  </si>
  <si>
    <t>'+393421925301</t>
  </si>
  <si>
    <t>matteoveronesi92@gmail.com</t>
  </si>
  <si>
    <t>https://www.linkedin.com/in/matteo-veronesi-9826ab6b/</t>
  </si>
  <si>
    <t>Banca Mediolanum s.p.a.</t>
  </si>
  <si>
    <t>PALAZZOLO SULL'OGLIO</t>
  </si>
  <si>
    <t>Buongiorno, ho conosciuto la vostra realtà tramite un'amica e ho deciso di iscrivermi in quanto organizzate attività molto interessanti.</t>
  </si>
  <si>
    <t>3 Ottobre 2023 11:57</t>
  </si>
  <si>
    <t xml:space="preserve">Laurea in Ingegneria meccanica  </t>
  </si>
  <si>
    <t>Laurea Magistrale in Consulenza anziendale e libera professione</t>
  </si>
  <si>
    <t>Radice</t>
  </si>
  <si>
    <t>RDCSFN77R07A470W</t>
  </si>
  <si>
    <t>'+393491905139</t>
  </si>
  <si>
    <t>rstefanoster@gmail.com</t>
  </si>
  <si>
    <t>https://www.linkedin.com/in/stefanoradice/</t>
  </si>
  <si>
    <t>Impiegato ufficio tecnico</t>
  </si>
  <si>
    <t>Loris Bellini S.r.l.</t>
  </si>
  <si>
    <t>Laurea Ingegneria meccanica V.O.</t>
  </si>
  <si>
    <t>15 Ottobre 2023 18:07</t>
  </si>
  <si>
    <t>Allegro</t>
  </si>
  <si>
    <t>LLGNDR90M14L781W</t>
  </si>
  <si>
    <t>'+393408945688</t>
  </si>
  <si>
    <t>andrea3allegro@gmail.com</t>
  </si>
  <si>
    <t>https://www.linkedin.com/in/allegroandrea/</t>
  </si>
  <si>
    <t>Head Forming Process Engineer - R&amp;D</t>
  </si>
  <si>
    <t>Vetrerie Riunite spa - VR GROUP</t>
  </si>
  <si>
    <t>741MECLT</t>
  </si>
  <si>
    <t>11 Ottobre 2023 8:42</t>
  </si>
  <si>
    <t>Maroni</t>
  </si>
  <si>
    <t>MRNMRC69H20B157O</t>
  </si>
  <si>
    <t>'+393358425247</t>
  </si>
  <si>
    <t>marco.maroni@studio-ml.it</t>
  </si>
  <si>
    <t>dottore commercialista</t>
  </si>
  <si>
    <t>Studio associato Maroni Lucini &amp; Radoani</t>
  </si>
  <si>
    <t>Laurea Economia e Commercio a.a. 1992/93 conseguita il 28.04.1994</t>
  </si>
  <si>
    <t>10 Ottobre 2023 13:02</t>
  </si>
  <si>
    <t>FRNLNR91R61B149E</t>
  </si>
  <si>
    <t>'+393403715838</t>
  </si>
  <si>
    <t>nora.ele.leo@hotmail.it</t>
  </si>
  <si>
    <t>Laurea Magistrale Economia 17/12/2015</t>
  </si>
  <si>
    <t>9 Ottobre 2023 13:47</t>
  </si>
  <si>
    <t xml:space="preserve">non accettabile </t>
  </si>
  <si>
    <t>Adesione Alumni Unibs</t>
  </si>
  <si>
    <t>Abbate</t>
  </si>
  <si>
    <t>Noemi</t>
  </si>
  <si>
    <t>BBTNMO01L53E573F</t>
  </si>
  <si>
    <t>'+393200275177</t>
  </si>
  <si>
    <t>noemiabbatee@gmail.com</t>
  </si>
  <si>
    <t>Laurea di I livello in Ingegneria Gestionale</t>
  </si>
  <si>
    <t>19 Ottobre 2023 9:37</t>
  </si>
  <si>
    <t>citroni</t>
  </si>
  <si>
    <t>mattia</t>
  </si>
  <si>
    <t>ctrmtt00l14d434m</t>
  </si>
  <si>
    <t>'+393421576005</t>
  </si>
  <si>
    <t>mattia.citroni00@gmail.com</t>
  </si>
  <si>
    <t>BERZO DEMO</t>
  </si>
  <si>
    <t>Laurea triennale ingegneria informatica, data:16/02/2023</t>
  </si>
  <si>
    <t>18 Ottobre 2023 21:08</t>
  </si>
  <si>
    <t>Ing. Meccanico</t>
  </si>
  <si>
    <t>Bianchetti</t>
  </si>
  <si>
    <t>lorenzo</t>
  </si>
  <si>
    <t>BNCLNZ84C20B157Y</t>
  </si>
  <si>
    <t>'+393394564603</t>
  </si>
  <si>
    <t>bianchetti.l@hotmail.it</t>
  </si>
  <si>
    <t>Via Frugoni, 11</t>
  </si>
  <si>
    <t>Moderno Opificio Meccanico - MOMEC S.r.l.</t>
  </si>
  <si>
    <t>cologne</t>
  </si>
  <si>
    <t>Laurea I livello Ing. Meccanica, Laurea Magistrale Ing. Meccanica Tecnologie di Produzione anno 2010</t>
  </si>
  <si>
    <t>17 Ottobre 2023 23:26</t>
  </si>
  <si>
    <t>Titolare d'impresa</t>
  </si>
  <si>
    <t>Laurea Specialistica in Ingegneria Meccanica</t>
  </si>
  <si>
    <t>Dottore in ingegneria meccanica</t>
  </si>
  <si>
    <t>Piora</t>
  </si>
  <si>
    <t>PRINDR01H11B157P</t>
  </si>
  <si>
    <t>'+393279437501</t>
  </si>
  <si>
    <t>andypiora@gmail.com</t>
  </si>
  <si>
    <t>Maclodio</t>
  </si>
  <si>
    <t>1 Novembre 2023 11:24</t>
  </si>
  <si>
    <t>Salvadori</t>
  </si>
  <si>
    <t>SLVLRT68E24F205H</t>
  </si>
  <si>
    <t>'+393208535458</t>
  </si>
  <si>
    <t>alberto.salvadori@unibs.it</t>
  </si>
  <si>
    <t>Docente universitario</t>
  </si>
  <si>
    <t>26 Ottobre 2023 20:40</t>
  </si>
  <si>
    <t>Ingegneria Gestionale</t>
  </si>
  <si>
    <t>Danesi</t>
  </si>
  <si>
    <t>DNSGRG97H17I437W</t>
  </si>
  <si>
    <t>'+443454595609</t>
  </si>
  <si>
    <t>g.danesi009@studenti.unibs.it</t>
  </si>
  <si>
    <t>Predore</t>
  </si>
  <si>
    <t>Laurea primo livello, ingegneria industriale, 24/10/23</t>
  </si>
  <si>
    <t>25 Ottobre 2023 12:04</t>
  </si>
  <si>
    <t>PLEGNN62S13B157S</t>
  </si>
  <si>
    <t>'+393472552279</t>
  </si>
  <si>
    <t>giopeli@hotmail.com</t>
  </si>
  <si>
    <t>Praticante pensionato</t>
  </si>
  <si>
    <t>Studio Baiguera e Peli Dottori Commercialisti Associati</t>
  </si>
  <si>
    <t>OME</t>
  </si>
  <si>
    <t>Laurea Economia e Commercio 1987</t>
  </si>
  <si>
    <t>24 Ottobre 2023 8:10</t>
  </si>
  <si>
    <t xml:space="preserve">Laurea in Ingegneria gestionale </t>
  </si>
  <si>
    <t>Laurea in Ingegneria Civile Edile</t>
  </si>
  <si>
    <t>De Rose</t>
  </si>
  <si>
    <t>DRSGRL93D28B157G</t>
  </si>
  <si>
    <t>'+393454136685</t>
  </si>
  <si>
    <t>derose.gabriele@gmail.com</t>
  </si>
  <si>
    <t>https://www.linkedin.com/in/gabrielederose</t>
  </si>
  <si>
    <t>Advisory Desk Analyst</t>
  </si>
  <si>
    <t>Banca Patrimoni Sella &amp; C.</t>
  </si>
  <si>
    <t>Laura Magistrale</t>
  </si>
  <si>
    <t>12 Novembre 2023 18:13</t>
  </si>
  <si>
    <t>Zanandrea</t>
  </si>
  <si>
    <t>Znnlss97r69b157b</t>
  </si>
  <si>
    <t>aalessia.zanandrea@libero.it</t>
  </si>
  <si>
    <t>Laurea triennale classe L-18 conseguita il 25/03/2021</t>
  </si>
  <si>
    <t>12 Novembre 2023 10:09</t>
  </si>
  <si>
    <t>Falcone</t>
  </si>
  <si>
    <t>FLCFNC94H17G149R</t>
  </si>
  <si>
    <t>'+393396808815</t>
  </si>
  <si>
    <t>f_falco@outlook.it</t>
  </si>
  <si>
    <t>Funzionario amministrativo-tributario</t>
  </si>
  <si>
    <t>Laurea Triennale in Economia e Gestione Aziendale, Gestione delle Imprese, 26/03/20</t>
  </si>
  <si>
    <t>11 Novembre 2023 17:34</t>
  </si>
  <si>
    <t>Alghisi</t>
  </si>
  <si>
    <t>LGHLRT85D10B157R</t>
  </si>
  <si>
    <t>'+393200256968</t>
  </si>
  <si>
    <t>a.alghisi@outlook.it</t>
  </si>
  <si>
    <t>www.linkedin.com/in/alberto-alghisi-835477120</t>
  </si>
  <si>
    <t>Laurea magistrale, Ingegneria meccanica, 24/09/2013</t>
  </si>
  <si>
    <t>11 Novembre 2023 14:35</t>
  </si>
  <si>
    <t>'+393335387937</t>
  </si>
  <si>
    <t>federica.ragni1@gmail.com</t>
  </si>
  <si>
    <t>Via Pasinetti, 16</t>
  </si>
  <si>
    <t>Patent Engineer</t>
  </si>
  <si>
    <t>Jacobacci &amp; Partners</t>
  </si>
  <si>
    <t>11 Novembre 2023 11:35</t>
  </si>
  <si>
    <t>Seghezzi</t>
  </si>
  <si>
    <t>SGHMRC74P05H509F</t>
  </si>
  <si>
    <t>'+393357554479</t>
  </si>
  <si>
    <t>seghezzi.marco@gmail.com</t>
  </si>
  <si>
    <t>www.linkedin.com/in/marco-seghezzi-755836</t>
  </si>
  <si>
    <t>AML manager - Responsabile antiriciclaggio presso banche</t>
  </si>
  <si>
    <t>Iccrea banca SpA</t>
  </si>
  <si>
    <t>Laurea in Economia e commercio (indirizzo Economia aziendale, vecchio ordinamento) + Master in Moneta e Finanza</t>
  </si>
  <si>
    <t>10 Novembre 2023 16:22</t>
  </si>
  <si>
    <t>MORETTI</t>
  </si>
  <si>
    <t>PAOLO LUIGI</t>
  </si>
  <si>
    <t>MRTPLG82A10L400P</t>
  </si>
  <si>
    <t>'+393485902103</t>
  </si>
  <si>
    <t>p.moretti@vittoria.com</t>
  </si>
  <si>
    <t>https://www.linkedin.com/in/paolo-luigi-moretti-2b6b5344/</t>
  </si>
  <si>
    <t>Vittoria S.p.a.</t>
  </si>
  <si>
    <t>Fontanella (Bg)</t>
  </si>
  <si>
    <t>Laurea Magistrale, conseguita nel 2007</t>
  </si>
  <si>
    <t>9 Novembre 2023 17:11</t>
  </si>
  <si>
    <t>Laurea in ingegneria elettronica e delle telecomunicazioni</t>
  </si>
  <si>
    <t>Molari</t>
  </si>
  <si>
    <t>MLRSFN00R30E884E</t>
  </si>
  <si>
    <t>'+393382462277</t>
  </si>
  <si>
    <t>stefanomolari00@gmail.com</t>
  </si>
  <si>
    <t>Rudiano</t>
  </si>
  <si>
    <t>9 Novembre 2023 15:06</t>
  </si>
  <si>
    <t>Sperti</t>
  </si>
  <si>
    <t>SPRLSN84H01B157E</t>
  </si>
  <si>
    <t>alessandro.sperti@gmail.com</t>
  </si>
  <si>
    <t>https://www.linkedin.com/in/alessandro-sperti-67b7b8a7</t>
  </si>
  <si>
    <t>Guber Banca SpA</t>
  </si>
  <si>
    <t>Laurea Magistrale in Giurisprudenza, Diploma di scuola di Specializzazione per le Professioni Legali.</t>
  </si>
  <si>
    <t>9 Novembre 2023 9:52</t>
  </si>
  <si>
    <t>Finoli</t>
  </si>
  <si>
    <t>FNLLCU91T09B157Q</t>
  </si>
  <si>
    <t>luca.finoli91@gmail.com</t>
  </si>
  <si>
    <t>Qualità, R&amp;D, assistenza clienti - fonderia di alluminio di parti strutturali per telai auto, gravità e bassa pressione</t>
  </si>
  <si>
    <t>FMB Srl, gruppo OMR</t>
  </si>
  <si>
    <t>Laure Magistrale in Ingegneria Meccanica dei Materiali, marzo 2018</t>
  </si>
  <si>
    <t>8 Novembre 2023 13:52</t>
  </si>
  <si>
    <t>FSTMRC94C09C618Z</t>
  </si>
  <si>
    <t>'+393281826006</t>
  </si>
  <si>
    <t>marco.festa009@gmail.com</t>
  </si>
  <si>
    <t>https://www.linkedin.com/in/marco-festa-235142180?utm_source=share&amp;utm_campaign=share_via&amp;utm_content=profile&amp;utm_medium=android_app</t>
  </si>
  <si>
    <t>Specializzando In Igiene e Medicina Preventiva (3°anno)</t>
  </si>
  <si>
    <t>CHIARI</t>
  </si>
  <si>
    <t>Laurea in Medicina e Chirurgia 09/12/2020 e Specializzando In Igiene e Medicina Preventiva (3°anno)</t>
  </si>
  <si>
    <t>8 Novembre 2023 13:51</t>
  </si>
  <si>
    <t>FLPFNC83E70A470G</t>
  </si>
  <si>
    <t>francesca.filippini83@gmail.com</t>
  </si>
  <si>
    <t>Laurea specialistica in Biotecnologie Mediche 04/07/2007</t>
  </si>
  <si>
    <t>8 Novembre 2023 9:19</t>
  </si>
  <si>
    <t>Pancera</t>
  </si>
  <si>
    <t>PNCSMN88E09F471S</t>
  </si>
  <si>
    <t>'+393338680793</t>
  </si>
  <si>
    <t>simonepancera88@gmail.com</t>
  </si>
  <si>
    <t>https://www.linkedin.com/in/simone-pancera-837068b0/</t>
  </si>
  <si>
    <t>Laurea in Fisioterapia, Dottorato in Technology for Health, Dipartimento di Ingegneria dell'Informazione, conseguito il 17 Aprile 2023.</t>
  </si>
  <si>
    <t>8 Novembre 2023 8:17</t>
  </si>
  <si>
    <t>BNRMHL91R69B157L</t>
  </si>
  <si>
    <t>'+393341447691</t>
  </si>
  <si>
    <t>michela.bonera@gmail.com</t>
  </si>
  <si>
    <t>https://www.linkedin.com/in/michelabonera?utm_source=share&amp;utm_campaign=share_via&amp;utm_content=profile&amp;utm_medium=android_app</t>
  </si>
  <si>
    <t>Brescia Mobilità S.p.A.</t>
  </si>
  <si>
    <t>Dottorato di Ricerca in Ingegneria Civile, Ambientale, della Cooperazione internazionale e di Matematica</t>
  </si>
  <si>
    <t>8 Novembre 2023 8:08</t>
  </si>
  <si>
    <t>Maiolo</t>
  </si>
  <si>
    <t>Mladnl84r14b157y</t>
  </si>
  <si>
    <t>'+393342615906</t>
  </si>
  <si>
    <t>maiolo.daniele@gmail.com</t>
  </si>
  <si>
    <t>Insegnante</t>
  </si>
  <si>
    <t>Liceo scientifico annibale calini</t>
  </si>
  <si>
    <t>7 Novembre 2023 18:53</t>
  </si>
  <si>
    <t>Martinelli</t>
  </si>
  <si>
    <t>MRTSRA95B54G149Q</t>
  </si>
  <si>
    <t>'+447894893479</t>
  </si>
  <si>
    <t>sara.g.martinelli@gmail.com</t>
  </si>
  <si>
    <t>https://www.linkedin.com/in/sara-martinelli</t>
  </si>
  <si>
    <t>Laurea magistrale 2020</t>
  </si>
  <si>
    <t>7 Novembre 2023 17:57</t>
  </si>
  <si>
    <t>Dott.saa</t>
  </si>
  <si>
    <t>Angela</t>
  </si>
  <si>
    <t>PPANGL94T52B157A</t>
  </si>
  <si>
    <t>'+393468378371</t>
  </si>
  <si>
    <t>papaangela9494@gmail.com</t>
  </si>
  <si>
    <t>Laurea in Giurisprudenza 11/12/2018</t>
  </si>
  <si>
    <t>7 Novembre 2023 16:06</t>
  </si>
  <si>
    <t>GREGORELLI</t>
  </si>
  <si>
    <t>GRGMRC86S21B157B</t>
  </si>
  <si>
    <t>'+393483543315</t>
  </si>
  <si>
    <t>marco.gregorelli@gmail.com</t>
  </si>
  <si>
    <t>Ideas of Service Srl</t>
  </si>
  <si>
    <t>Laurea Magistrale in Giurisprudenza, 12/11/2013</t>
  </si>
  <si>
    <t>7 Novembre 2023 15:24</t>
  </si>
  <si>
    <t>Lollio</t>
  </si>
  <si>
    <t>LLLFNC92P41E704C</t>
  </si>
  <si>
    <t>'+393495678627</t>
  </si>
  <si>
    <t>francesca.lollio92@gmail.com</t>
  </si>
  <si>
    <t>Lovere (Bg)</t>
  </si>
  <si>
    <t>Laurea Magistrale, Ingegneria Meccanica dei Materiali (02/2017)</t>
  </si>
  <si>
    <t>7 Novembre 2023 14:32</t>
  </si>
  <si>
    <t>Economia e gestione aziendale</t>
  </si>
  <si>
    <t>Cordioli</t>
  </si>
  <si>
    <t>Crdncl85b07l949a</t>
  </si>
  <si>
    <t>'+393282573321</t>
  </si>
  <si>
    <t>nicolacordioli85verona@gmail.com</t>
  </si>
  <si>
    <t>Mozzecane</t>
  </si>
  <si>
    <t>1 livello 18marzo2008</t>
  </si>
  <si>
    <t>Cosa dovrei pagare?
Che attività fate? 
Ricreative, socializzanti o per fini lavorativi</t>
  </si>
  <si>
    <t>7 Novembre 2023 14:00</t>
  </si>
  <si>
    <t>fogliata</t>
  </si>
  <si>
    <t>luca</t>
  </si>
  <si>
    <t>FGLLCU89E27B157I</t>
  </si>
  <si>
    <t>'+393495176443</t>
  </si>
  <si>
    <t>lf.fogliata@gmail.com</t>
  </si>
  <si>
    <t>via Guglielmo Marconi 40</t>
  </si>
  <si>
    <t>laurea magistrale in ingegneria edile architettura</t>
  </si>
  <si>
    <t>7 Novembre 2023 13:46</t>
  </si>
  <si>
    <t>Ingegnere dell’automazione</t>
  </si>
  <si>
    <t>RSOCST87B13G149F</t>
  </si>
  <si>
    <t>'+393343690188</t>
  </si>
  <si>
    <t>cristian.rosa.1987@gmail.com</t>
  </si>
  <si>
    <t>http://linkedin.com/in/cristian-rosa-083150236</t>
  </si>
  <si>
    <t>Responsabile Manutenzione Elettrica</t>
  </si>
  <si>
    <t>Montini spa</t>
  </si>
  <si>
    <t>Laurea specialistica Ingegneria dell’automazione</t>
  </si>
  <si>
    <t>7 Novembre 2023 13:39</t>
  </si>
  <si>
    <t>Levitchi</t>
  </si>
  <si>
    <t>LVTLGO71P47Z140V</t>
  </si>
  <si>
    <t>'+393802661815</t>
  </si>
  <si>
    <t>sallveolga@yahoo.com</t>
  </si>
  <si>
    <t>Della Valle</t>
  </si>
  <si>
    <t>Laurea Medicina e chirurgia</t>
  </si>
  <si>
    <t>Ho conosciuto l'associazione via mail - mi è arrivata la richiesta di adesione.</t>
  </si>
  <si>
    <t>7 Novembre 2023 13:38</t>
  </si>
  <si>
    <t>Bonacina</t>
  </si>
  <si>
    <t>Sonia</t>
  </si>
  <si>
    <t>BNCSNO90C48I628H</t>
  </si>
  <si>
    <t>'+393492973742</t>
  </si>
  <si>
    <t>sonia.bonacina@gmail.com</t>
  </si>
  <si>
    <t>Laurea magistrale in medicina e chirurgia, specializzazione in neurologia (19/10/2021)</t>
  </si>
  <si>
    <t>7 Novembre 2023 13:12</t>
  </si>
  <si>
    <t>SNDMTT87A14B157H</t>
  </si>
  <si>
    <t>'+393338846552</t>
  </si>
  <si>
    <t>sandrophenia@gmail.com</t>
  </si>
  <si>
    <t>Laurea specialistica ingegneria meccanica 2013</t>
  </si>
  <si>
    <t>7 Novembre 2023 13:03</t>
  </si>
  <si>
    <t>Ceretti</t>
  </si>
  <si>
    <t>CRTCST94L47E704T</t>
  </si>
  <si>
    <t>'+393488168904</t>
  </si>
  <si>
    <t>cristina.ceretti94@gmail.com</t>
  </si>
  <si>
    <t>https://www.linkedin.com/in/cristina-ceretti-baa791137?utm_source=share&amp;utm_campaign=share_via&amp;utm_content=profile&amp;utm_medium=ios_app</t>
  </si>
  <si>
    <t>Manager Audit</t>
  </si>
  <si>
    <t>KPMG S.p.A</t>
  </si>
  <si>
    <t>Laura magistrale in Consulenza aziendale e libera professione conseguita il 24/05/2022</t>
  </si>
  <si>
    <t>7 Novembre 2023 12:30</t>
  </si>
  <si>
    <t>Dancelli</t>
  </si>
  <si>
    <t>DNCLSN94M01B157X</t>
  </si>
  <si>
    <t>'+393395871365</t>
  </si>
  <si>
    <t>alessandro.dancelli@gmail.com</t>
  </si>
  <si>
    <t>https://www.linkedin.com/public-profile/settings?lipi=urnlipaged_flagship3_profile_self_edit_contact-infoHVryfvvmRcacx3UJWayOw</t>
  </si>
  <si>
    <t>Marketing Officer</t>
  </si>
  <si>
    <t>Platek S.r.l.</t>
  </si>
  <si>
    <t>7 Novembre 2023 11:53</t>
  </si>
  <si>
    <t>Dottore in Ingegneria Gestionale</t>
  </si>
  <si>
    <t>BRCFBA95E25B157W</t>
  </si>
  <si>
    <t>'+393287733169</t>
  </si>
  <si>
    <t>fabiobracchi95@gmail.com</t>
  </si>
  <si>
    <t>https://www.linkedin.com/in/fabiobracchi5/</t>
  </si>
  <si>
    <t>Executive Assistant</t>
  </si>
  <si>
    <t>AIC Holding</t>
  </si>
  <si>
    <t>7 Novembre 2023 11:43</t>
  </si>
  <si>
    <t>Bottaioli</t>
  </si>
  <si>
    <t>Carlo Alberto</t>
  </si>
  <si>
    <t>BTTCLL95D02D150T</t>
  </si>
  <si>
    <t>'+393914860611</t>
  </si>
  <si>
    <t>bottaiolicarloalberto@gmail.com</t>
  </si>
  <si>
    <t>https://www.linkedin.com/in/carloalbertobottaioli/</t>
  </si>
  <si>
    <t>Responsabile finanziario</t>
  </si>
  <si>
    <t>Germani SPA</t>
  </si>
  <si>
    <t>Laurea Magistrale in Management, Curriculum in Finanza Aziendale - titolo conseguito il 27/10/2020</t>
  </si>
  <si>
    <t>7 Novembre 2023 11:34</t>
  </si>
  <si>
    <t>Ingegnere dell'Automazione Industriale</t>
  </si>
  <si>
    <t>Nikolic</t>
  </si>
  <si>
    <t>Mladen</t>
  </si>
  <si>
    <t>NKLMDN98P10Z153H</t>
  </si>
  <si>
    <t>'+393206294506</t>
  </si>
  <si>
    <t>linkedin.com/in/mladen-nikolic-4178b5233</t>
  </si>
  <si>
    <t>Software Engeneer</t>
  </si>
  <si>
    <t>Doss Visual Solutions</t>
  </si>
  <si>
    <t>Laurea Magistrale in Ingegneria dell'Automazione Industriale, Marzo 2023</t>
  </si>
  <si>
    <t>7 Novembre 2023 11:33</t>
  </si>
  <si>
    <t>RSSFRC84S55C618N</t>
  </si>
  <si>
    <t>'+39347922985</t>
  </si>
  <si>
    <t>federicarossi17@gmail.com</t>
  </si>
  <si>
    <t>https://www.linkedin.com/in/federica-rossi-91974326/</t>
  </si>
  <si>
    <t>Delivery Specialist @ Business Intelligence &amp; Analytics Zucchetti</t>
  </si>
  <si>
    <t>Zucchetti</t>
  </si>
  <si>
    <t>Coccglio</t>
  </si>
  <si>
    <t>Laurea Specialistica Ingegneria Informatica</t>
  </si>
  <si>
    <t>7 Novembre 2023 11:31</t>
  </si>
  <si>
    <t>Fedriga</t>
  </si>
  <si>
    <t>FDRSFN95L41E704C</t>
  </si>
  <si>
    <t>stefaniafedriga@gmail.com</t>
  </si>
  <si>
    <t>7 Novembre 2023 11:29</t>
  </si>
  <si>
    <t>Laurea in Ingegneria Elettronica e delle Telecomunicazioni</t>
  </si>
  <si>
    <t>Laurea Magistrale in Ingegneria Meccanica dei Materiali</t>
  </si>
  <si>
    <t>Laurea Magistrale in Biotecnologie Mediche</t>
  </si>
  <si>
    <t>Dottorato in Technology for Health</t>
  </si>
  <si>
    <t>Laurea a ciclo unico in Ingegneria Edile-Architettura</t>
  </si>
  <si>
    <t>moldava</t>
  </si>
  <si>
    <t>Diploma di Specializzazione in Neurologia</t>
  </si>
  <si>
    <t>Diploma di Specializzazione per le Professoni Legali</t>
  </si>
  <si>
    <t>Laurea specialistica in Ingegneria meccanica</t>
  </si>
  <si>
    <t>Laurea Magistrale in Consulenza aziendale e libera professione</t>
  </si>
  <si>
    <t>Laurea specialistica in Ingegneria dell'Automazione Industriale</t>
  </si>
  <si>
    <t>Arzuffi</t>
  </si>
  <si>
    <t>RZFLCU87R22G264T</t>
  </si>
  <si>
    <t>lucaarzu@gmail.com</t>
  </si>
  <si>
    <t>Laurea di II livello in Finanza aziendale</t>
  </si>
  <si>
    <t>15 Novembre 2023 14:27</t>
  </si>
  <si>
    <t>Ruggero Pierangelo</t>
  </si>
  <si>
    <t>MRNRGR80H06B157W</t>
  </si>
  <si>
    <t>ruggero.marniga@gmail.com</t>
  </si>
  <si>
    <t>Laurea specialistica economia, indirizzo direzione aziendale, 2007</t>
  </si>
  <si>
    <t>Ho conosciuto l’associazione grazie al dott. Michele Lancellotti.</t>
  </si>
  <si>
    <t>14 Novembre 2023 23:47</t>
  </si>
  <si>
    <t>MZZLNR83E68B157L</t>
  </si>
  <si>
    <t>eleonora.mozzo@gmail.com</t>
  </si>
  <si>
    <t>Laurea magistrale, Medicina e Chirurgia, 21/03/2011</t>
  </si>
  <si>
    <t>14 Novembre 2023 23:32</t>
  </si>
  <si>
    <t>Paterlini</t>
  </si>
  <si>
    <t>PTRGDU91C01L736G</t>
  </si>
  <si>
    <t>'+393920964717</t>
  </si>
  <si>
    <t>guidopaterlini@libero.it</t>
  </si>
  <si>
    <t>Reali e Guscetti Studio d'ingegneria SA</t>
  </si>
  <si>
    <t>Bellinzona</t>
  </si>
  <si>
    <t>Laurea magistrale Civil and Environmental Engineering, 22/03/2019</t>
  </si>
  <si>
    <t>14 Novembre 2023 17:02</t>
  </si>
  <si>
    <t>Valentina</t>
  </si>
  <si>
    <t>Care'</t>
  </si>
  <si>
    <t>CRAVNT92C71D918G</t>
  </si>
  <si>
    <t>'+393516050556</t>
  </si>
  <si>
    <t>vale92c@yahoo.it</t>
  </si>
  <si>
    <t>https://www.linkedin.com/in/valentina-caré-0a3175120</t>
  </si>
  <si>
    <t>Consulting Functional &amp; Business Analyst Senior</t>
  </si>
  <si>
    <t>Nexen S.p.A (gruppo Engineering Ingegneria Informatica S.p.A)</t>
  </si>
  <si>
    <t>Lumezzane (BS)</t>
  </si>
  <si>
    <t>Laurea Triennale in Banca e Finanza + Laurea Magistrale in Moneta, Finanza e Risk Management</t>
  </si>
  <si>
    <t>14 Novembre 2023 9:40</t>
  </si>
  <si>
    <t>Laurea Magistrale in Civil and Environmental Engineering</t>
  </si>
  <si>
    <t xml:space="preserve"> Laurea Magistrale in MONETA, FINANZA E RISK MANAGEMENT</t>
  </si>
  <si>
    <t>RGNFRC94B55B157L</t>
  </si>
  <si>
    <t>Master I livello in Moneta e Finanza</t>
  </si>
  <si>
    <t>Richiedei</t>
  </si>
  <si>
    <t>RCHNNA83B45E884J</t>
  </si>
  <si>
    <t>anna.richiedei@gmail.com</t>
  </si>
  <si>
    <t>Laurea specialistica in Ingegneria per l'ambiente ed il territorio (10/02/2009), Dottorato di ricerca in campo urbanistico (22/02/2013)</t>
  </si>
  <si>
    <t>20 Novembre 2023 12:37</t>
  </si>
  <si>
    <t>ingegnere</t>
  </si>
  <si>
    <t>Mazozldi</t>
  </si>
  <si>
    <t>MZZSLV71M27D918A</t>
  </si>
  <si>
    <t>'+393476836390</t>
  </si>
  <si>
    <t>ingsilviomazozldi@libero.it</t>
  </si>
  <si>
    <t>referente collettori fognari in Acque Bresciane (progettista e direttore dei lavori)</t>
  </si>
  <si>
    <t>ACQUE BRESCIANE srl</t>
  </si>
  <si>
    <t>Laurea Magistrale in ingegneria civile anno 1999</t>
  </si>
  <si>
    <t>20 Novembre 2023 9:27</t>
  </si>
  <si>
    <t>Cittadini</t>
  </si>
  <si>
    <t>Denise</t>
  </si>
  <si>
    <t>CTTDNS99H69B157U</t>
  </si>
  <si>
    <t>'+393668741716</t>
  </si>
  <si>
    <t>denisecittadini99@gmail.com</t>
  </si>
  <si>
    <t>Laurea Triennale, Economia e Gestione Aziendale, 27/10/2023</t>
  </si>
  <si>
    <t>17 Novembre 2023 21:22</t>
  </si>
  <si>
    <t>Dottorato di ricerca in LUOGHI E TEMPI CITTA' E TERRITORIO</t>
  </si>
  <si>
    <t xml:space="preserve">Laurea in Ingegneria civile  </t>
  </si>
  <si>
    <t xml:space="preserve"> Laurea in Economia e gestione aziendale</t>
  </si>
  <si>
    <t>Gorlani</t>
  </si>
  <si>
    <t>GRLFPP85D02B157O</t>
  </si>
  <si>
    <t>'+393382851846</t>
  </si>
  <si>
    <t>filippogorlani@gmail.com</t>
  </si>
  <si>
    <t>linkedin.com/in/filippo-gorlani</t>
  </si>
  <si>
    <t>Responsabile Amministrativo</t>
  </si>
  <si>
    <t>Lastra Attrezzature Srl</t>
  </si>
  <si>
    <t>Laurea Magistrale in Direzione Aziendale - Curriculum in General Management</t>
  </si>
  <si>
    <t>Pagamento effettuato in data 04/12/2023</t>
  </si>
  <si>
    <t>4 Dicembre 2023 alle 9:54</t>
  </si>
  <si>
    <t>Jacopo Francesco</t>
  </si>
  <si>
    <t>ZNIJPF95L17D918I</t>
  </si>
  <si>
    <t>'+393490725162</t>
  </si>
  <si>
    <t>jacopofrancesco.zini@gmail.com</t>
  </si>
  <si>
    <t>www.linkedin.com/in/jacopofrancescozini</t>
  </si>
  <si>
    <t>R&amp;D Engineer</t>
  </si>
  <si>
    <t>ZF Italia S.r.l</t>
  </si>
  <si>
    <t>Sarezzo</t>
  </si>
  <si>
    <t>Laurea magistrale, Ingegneria Meccanica (curriculum autoveicoli), 22/11/2019</t>
  </si>
  <si>
    <t>28 Novembre 2023 alle 20:38</t>
  </si>
  <si>
    <t xml:space="preserve"> Laurea Specialistica in Direzione Aziendale</t>
  </si>
  <si>
    <t>marzia.bolpagni@polimi.it</t>
  </si>
  <si>
    <t>BNTLCU97H11B157C</t>
  </si>
  <si>
    <t>'+393385738868</t>
  </si>
  <si>
    <t>luca@lucabontempi.com</t>
  </si>
  <si>
    <t>https://www.linkedin.com/in/lucabontempi1/</t>
  </si>
  <si>
    <t>Partner Technical Specialist</t>
  </si>
  <si>
    <t>IBM</t>
  </si>
  <si>
    <t>UNIBS: Laurea di primo livello, in Economia e Gestione Aziendale, conseguita il 25/03/2020</t>
  </si>
  <si>
    <t>10 Dicembre 2023 alle 20:06</t>
  </si>
  <si>
    <t>Nestori</t>
  </si>
  <si>
    <t>Nstfnc94t59b157l</t>
  </si>
  <si>
    <t>'+393664518824</t>
  </si>
  <si>
    <t>nestori@hotmail.it</t>
  </si>
  <si>
    <t>Agnosine</t>
  </si>
  <si>
    <t>Laurea secondo livello 19/12/23</t>
  </si>
  <si>
    <t>7 Dicembre 2023 alle 20:50</t>
  </si>
  <si>
    <t>Tanghetti</t>
  </si>
  <si>
    <t>TNGJSC85R44B157D</t>
  </si>
  <si>
    <t>'+393496755172</t>
  </si>
  <si>
    <t>jessica.tanghetti@icloud.com</t>
  </si>
  <si>
    <t>17 Dicembre 2023 alle 20:04</t>
  </si>
  <si>
    <t>brunelli</t>
  </si>
  <si>
    <t>francesco</t>
  </si>
  <si>
    <t>Brnfnc65c29b157f</t>
  </si>
  <si>
    <t>'+393356656737</t>
  </si>
  <si>
    <t>francesco_brunelli@yahoo.it</t>
  </si>
  <si>
    <t>via panoramica 94</t>
  </si>
  <si>
    <t>Presidente</t>
  </si>
  <si>
    <t>Regesta spa</t>
  </si>
  <si>
    <t>16 Dicembre 2023 alle 14:15</t>
  </si>
  <si>
    <t>Galbardi</t>
  </si>
  <si>
    <t>Adele</t>
  </si>
  <si>
    <t>GLBDLA93R45I437P</t>
  </si>
  <si>
    <t>galbardiadele@gmail.com</t>
  </si>
  <si>
    <t>Laurea magistrale in ingegneria meccanica marzo 2018</t>
  </si>
  <si>
    <t>Associazione conosciuta tramite l'azienda dove lavoro (Regesta)</t>
  </si>
  <si>
    <t>15 Dicembre 2023 alle 18:32</t>
  </si>
  <si>
    <t>Davelli</t>
  </si>
  <si>
    <t>DVLLCU98C04E884V</t>
  </si>
  <si>
    <t>'+393277439523</t>
  </si>
  <si>
    <t>lucadavelli@gmail.com</t>
  </si>
  <si>
    <t>Bassano Bresciano</t>
  </si>
  <si>
    <t>Laurea magistrale a ciclo unico in medicina e chirurgia, 16/10/2023</t>
  </si>
  <si>
    <t>13 Dicembre 2023 alle 22:06</t>
  </si>
  <si>
    <t xml:space="preserve">Dottorato in Istituzioni e impresa: valore, regole e responsabilità sociale: Business and Law </t>
  </si>
  <si>
    <t>Spedale</t>
  </si>
  <si>
    <t>SPDNDR71D01D284R</t>
  </si>
  <si>
    <t>'+393385031630</t>
  </si>
  <si>
    <t>andrea.spedale@gmail.com</t>
  </si>
  <si>
    <t>https://www.linkedin.com/profile/in/andreaspedale/it</t>
  </si>
  <si>
    <t>Laurea Magistrale - 1996</t>
  </si>
  <si>
    <t>28 Dicembre 2023 alle 23:29</t>
  </si>
  <si>
    <t>Nava</t>
  </si>
  <si>
    <t>NVALNZ84E27B157Q</t>
  </si>
  <si>
    <t>'+393299145004</t>
  </si>
  <si>
    <t>lorenx4@gmail.com</t>
  </si>
  <si>
    <t>Inxpect SpA</t>
  </si>
  <si>
    <t>27 Dicembre 2023 alle 16:29</t>
  </si>
  <si>
    <t>Terzi</t>
  </si>
  <si>
    <t>TRZLCU00C21C618F</t>
  </si>
  <si>
    <t>'+393391027306</t>
  </si>
  <si>
    <t>lucaterzi27@gmail.com</t>
  </si>
  <si>
    <t>https://www.linkedin.com/in/luca-terzi-856943181?lipi=urnlipaged_flagship3_profile_view_base_contact_detailsg29qCxqQ7WM2cBdqVqIpA</t>
  </si>
  <si>
    <t>Laurea di primo livello conseguita il 18/12/2023</t>
  </si>
  <si>
    <t>22 Dicembre 2023 alle 16:07</t>
  </si>
  <si>
    <t>Mecaj</t>
  </si>
  <si>
    <t>Emili</t>
  </si>
  <si>
    <t>MCJMLE98C68D612O</t>
  </si>
  <si>
    <t>mecaj.emili@icloud.com</t>
  </si>
  <si>
    <t>Laurea Magistrale, Dipartimento di Economia e Management, Corso di Studi in Moneta, Finanza e Risk Management. Data di Laurea: 18/12/2023</t>
  </si>
  <si>
    <t>22 Dicembre 2023 alle 15:03</t>
  </si>
  <si>
    <t>CRISAN FERESTEAN</t>
  </si>
  <si>
    <t>ROXANA VIRGINIA</t>
  </si>
  <si>
    <t>CRSRNV92R65Z129I</t>
  </si>
  <si>
    <t>'+393486026911</t>
  </si>
  <si>
    <t>crisan_roxana@hotmail.it</t>
  </si>
  <si>
    <t>http://linkedin.com/in/roxana-crisan-69168a182</t>
  </si>
  <si>
    <t>REVISORE LEGALE - ESPERTO CONTABILE</t>
  </si>
  <si>
    <t>GAVARDO</t>
  </si>
  <si>
    <t>LAUREA MAGISTRALE IN ECONOMIA SOCIALE ED IMPRESE COOPERATIVE, 18/12/2023</t>
  </si>
  <si>
    <t>21 Dicembre 2023 alle 9:08</t>
  </si>
  <si>
    <t>BRNLNZ77P01D150Z</t>
  </si>
  <si>
    <t>'+393383038966</t>
  </si>
  <si>
    <t>baroniolorenzo1@gmail.com</t>
  </si>
  <si>
    <t>Castelverde (CR)</t>
  </si>
  <si>
    <t>Laurea vecchio ordinamento in ingegneria meccanica (2002)</t>
  </si>
  <si>
    <t>20 Dicembre 2023 alle 22:04</t>
  </si>
  <si>
    <t xml:space="preserve">Laurea in Ingegneria Meccanica   </t>
  </si>
  <si>
    <t>MMBGRG87P22E884W</t>
  </si>
  <si>
    <t>'+393342106739</t>
  </si>
  <si>
    <t>mombelligiorgio@gmail.com</t>
  </si>
  <si>
    <t>Via Martiri Della Libertà 14</t>
  </si>
  <si>
    <t>Data Science Manager</t>
  </si>
  <si>
    <t>Moneta, finanza e Risk Management</t>
  </si>
  <si>
    <t>Mail</t>
  </si>
  <si>
    <t>29 Gennaio 2024 alle 11:51</t>
  </si>
  <si>
    <t>Librace</t>
  </si>
  <si>
    <t>LBRGNN77M04B157W</t>
  </si>
  <si>
    <t>'+393923106160</t>
  </si>
  <si>
    <t>giovanni.librace@gmail.com</t>
  </si>
  <si>
    <t>https://www.linkedin.com/in/giovanni-librace/</t>
  </si>
  <si>
    <t>client manager</t>
  </si>
  <si>
    <t>aon</t>
  </si>
  <si>
    <t>milano</t>
  </si>
  <si>
    <t>29 Gennaio 2024 alle 11:25</t>
  </si>
  <si>
    <t>ZNTLNZ95D22C618B</t>
  </si>
  <si>
    <t>'+393663311624</t>
  </si>
  <si>
    <t>lrz.zanotti@gmail.com</t>
  </si>
  <si>
    <t>https://www.linkedin.com/in/lorenzo-zanotti-62a6b21a1/</t>
  </si>
  <si>
    <t>Imprenditore - Responsabile Vendite</t>
  </si>
  <si>
    <t>Suprema Bags Srl</t>
  </si>
  <si>
    <t>Pontoglio</t>
  </si>
  <si>
    <t>Laurea di secondo livello, Ingegneria Meccanica, 26/03/2021</t>
  </si>
  <si>
    <t>29 Gennaio 2024 alle 10:52</t>
  </si>
  <si>
    <t>Veschetti</t>
  </si>
  <si>
    <t>VSCLRA94S61B157O</t>
  </si>
  <si>
    <t>'+393403156619</t>
  </si>
  <si>
    <t>laura.veschetti@gmail.com</t>
  </si>
  <si>
    <t>https://www.linkedin.com/in/laura-veschetti/</t>
  </si>
  <si>
    <t>IRCCS San Raffaele Scientific Institute</t>
  </si>
  <si>
    <t>Cologne (BS)</t>
  </si>
  <si>
    <t>Dottorato in Scienze Applicate della Vita e della Salute 28/09/2022 (Università degli studi di Verona), Laurea Magistrale in Molecular and Medical Biotechnology LM-9 13/07/2018 (Università degli studi di Verona), Laurea di Primo Livello in Tecniche di Laboratorio Biomedico L/SNT3 16/09/2013 (Università degli studi di Brescia).</t>
  </si>
  <si>
    <t>29 Gennaio 2024 alle 10:45</t>
  </si>
  <si>
    <t>BLTVNT97L68B393K</t>
  </si>
  <si>
    <t>belottivalentina@yahoo.it</t>
  </si>
  <si>
    <t>Laurea magistrale in Moneta, finanza e Risk management</t>
  </si>
  <si>
    <t>29 Gennaio 2024 alle 10:34</t>
  </si>
  <si>
    <t>Peroni</t>
  </si>
  <si>
    <t>PRNNGL72B03B157Y</t>
  </si>
  <si>
    <t>'+393333773635</t>
  </si>
  <si>
    <t>peroniangelo@gmail.com</t>
  </si>
  <si>
    <t>https://www.linkedin.com/in/angelo-peroni-24186948/</t>
  </si>
  <si>
    <t>Direttore unità operativa complessa di Urologia</t>
  </si>
  <si>
    <t>Fondazione Poliambulanza</t>
  </si>
  <si>
    <t>Laurea in Medicina e Chirurgia, Specializzazione in Urologia, 2001</t>
  </si>
  <si>
    <t>25 Gennaio 2024 alle 22:41</t>
  </si>
  <si>
    <t>Boghetta</t>
  </si>
  <si>
    <t>BGHMNC71H47B157G</t>
  </si>
  <si>
    <t>'+393358090641</t>
  </si>
  <si>
    <t>monica.boghetta@gmail.com</t>
  </si>
  <si>
    <t>Monica Boghetta</t>
  </si>
  <si>
    <t>Marketing Communication Specialist</t>
  </si>
  <si>
    <t>CEF</t>
  </si>
  <si>
    <t>Botticino Sera (BS)</t>
  </si>
  <si>
    <t>Economia e Commercio vecchio ordinamento</t>
  </si>
  <si>
    <t>25 Gennaio 2024 alle 13:43</t>
  </si>
  <si>
    <t>Zanini</t>
  </si>
  <si>
    <t>ZNNPLA89S17B393B</t>
  </si>
  <si>
    <t>'+393428532472</t>
  </si>
  <si>
    <t>zaninipol@gmail.com</t>
  </si>
  <si>
    <t>https://www.linkedin.com/in/paolozaninipz/</t>
  </si>
  <si>
    <t>Key Account Manager - EMEA - Semicoductors</t>
  </si>
  <si>
    <t>NI (National Instruments)</t>
  </si>
  <si>
    <t>Como</t>
  </si>
  <si>
    <t>Laurea II livello, Ingegneria dell'Automazione Industriale, 09/2016</t>
  </si>
  <si>
    <t>24 Gennaio 2024 alle 16:07</t>
  </si>
  <si>
    <t>Viscardi</t>
  </si>
  <si>
    <t>VSCCST79E26B393M</t>
  </si>
  <si>
    <t>'+393383072066</t>
  </si>
  <si>
    <t>cri.viscardi@gmail.com</t>
  </si>
  <si>
    <t>https://it.linkedin.com/in/cristian-viscardi-184bb317</t>
  </si>
  <si>
    <t>Direttore Tecnico</t>
  </si>
  <si>
    <t>Ecotre Valente srl</t>
  </si>
  <si>
    <t>Palosco</t>
  </si>
  <si>
    <t>Laurea in Ingegneria dei Materiali V.O. - 2004</t>
  </si>
  <si>
    <t>9 Gennaio 2024 alle 12:06</t>
  </si>
  <si>
    <t>Laurea Magistrale in Moneta, finanza e Risk Management</t>
  </si>
  <si>
    <t>Corso di Laurea in TECNICHE DI LABORATORIO BIOMEDICO (ABILITANTE ALLA PROFESSIONE SANITARIA DI TECNICO DI LABORATORIO BIOME</t>
  </si>
  <si>
    <t>Scuola di Specializzazione in Urologia</t>
  </si>
  <si>
    <t>Laurea in INGEGNERIA DELL'AUTOMAZIONE INDUSTRIALE</t>
  </si>
  <si>
    <t>TDLMNL90D26B157C</t>
  </si>
  <si>
    <t>etedoldi@gmail.com</t>
  </si>
  <si>
    <t>Laurea di primo livello in Ingegneria Informatica conseguita in marzo 2014</t>
  </si>
  <si>
    <t>4 Febbraio 2024 alle 9:30</t>
  </si>
  <si>
    <t>PPALNZ97P27D284U</t>
  </si>
  <si>
    <t>'+393312919052</t>
  </si>
  <si>
    <t>lore_papa@icloud.com</t>
  </si>
  <si>
    <t>https://it.linkedin.com/in/lorenzo-papa-7297a2225</t>
  </si>
  <si>
    <t>Senior Analyst</t>
  </si>
  <si>
    <t>Accenture S.p.A.</t>
  </si>
  <si>
    <t>Lonato Del Garda</t>
  </si>
  <si>
    <t>Laurea Magistrale Ingegneria Informatica (Marzo 2022)</t>
  </si>
  <si>
    <t>3 Febbraio 2024 alle 19:58</t>
  </si>
  <si>
    <t>Millimaggi</t>
  </si>
  <si>
    <t>MLLMRC87A04B157K</t>
  </si>
  <si>
    <t>'+393491552184</t>
  </si>
  <si>
    <t>mmillimaggi@gmail.com</t>
  </si>
  <si>
    <t>www.linkedin.com/in/marco-m-117657109</t>
  </si>
  <si>
    <t>Funzionario giudiziario presso il Tribunale di Brescia</t>
  </si>
  <si>
    <t>LMG-01 Laurea Magistrale in Giurisprudenza - 20/03/2013</t>
  </si>
  <si>
    <t>3 Febbraio 2024 alle 12:09</t>
  </si>
  <si>
    <t>Perani</t>
  </si>
  <si>
    <t>PRNMDA92P22B157L</t>
  </si>
  <si>
    <t>amedeoperani@libero.it</t>
  </si>
  <si>
    <t>https://www.linkedin.com/in/amedeo-perani-40b11b9b?utm_source=share&amp;utm_campaign=share_via&amp;utm_content=profile&amp;utm_medium=ios_app</t>
  </si>
  <si>
    <t>Relationship Manager Aladdin Wealth</t>
  </si>
  <si>
    <t>BlackRock</t>
  </si>
  <si>
    <t>Laurea triennale in economia e gestione aziendale - UNIBS - Luglio 2015 / Laurea Specialistica in Economia e Management - LUISS - Novembre 2017</t>
  </si>
  <si>
    <t>31 Gennaio 2024 alle 21:38</t>
  </si>
  <si>
    <t>Ingegnere Civile e Ambientale</t>
  </si>
  <si>
    <t>LNGVNC83A53F205D</t>
  </si>
  <si>
    <t>'+393283439508</t>
  </si>
  <si>
    <t>mariam.vbs@gmail.com</t>
  </si>
  <si>
    <t>RODENGO SAIANO</t>
  </si>
  <si>
    <t>Laurea II livello in ing. Civile, curriculum strutturistico, 03/2013</t>
  </si>
  <si>
    <t>30 Gennaio 2024 alle 20:48</t>
  </si>
  <si>
    <t>Rapagnani</t>
  </si>
  <si>
    <t>RPGDNL95D03L112Z</t>
  </si>
  <si>
    <t>'+393398082617</t>
  </si>
  <si>
    <t>danilonrg@gmail.com</t>
  </si>
  <si>
    <t>Fondazione G. Giglio di Cefalú</t>
  </si>
  <si>
    <t>Cefalú</t>
  </si>
  <si>
    <t>L/SNT1 08/11/2018</t>
  </si>
  <si>
    <t>30 Gennaio 2024 alle 16:26</t>
  </si>
  <si>
    <t>Dottoressa in infermieristica</t>
  </si>
  <si>
    <t>RCCCLD94H54B157Z</t>
  </si>
  <si>
    <t>'+393318799305</t>
  </si>
  <si>
    <t>claudia.rocco94@gmail.com</t>
  </si>
  <si>
    <t>/</t>
  </si>
  <si>
    <t>Infermiera in terapia intensiva neonatale</t>
  </si>
  <si>
    <t>Spedali Civili</t>
  </si>
  <si>
    <t>Laurea in infermieristica (Bs UNIBS 2016), Master I livello infermier esperto area ped e neonatale (Pavia 2019), in corso (termine maggio 24) master I livello management professioni sanitarie (Bs, Cattolica)</t>
  </si>
  <si>
    <t>30 Gennaio 2024 alle 8:18</t>
  </si>
  <si>
    <t>Pedezzi</t>
  </si>
  <si>
    <t>PDZPLA94M71I829S</t>
  </si>
  <si>
    <t>'+393478990672</t>
  </si>
  <si>
    <t>paola.pedezzi@libero.it</t>
  </si>
  <si>
    <t>Junior portfolio manager</t>
  </si>
  <si>
    <t>Eurizon SA</t>
  </si>
  <si>
    <t>Luxembourg</t>
  </si>
  <si>
    <t>29 Gennaio 2024 alle 22:50</t>
  </si>
  <si>
    <t>Bignami</t>
  </si>
  <si>
    <t>BGNFNC91T02B157N</t>
  </si>
  <si>
    <t>'+393207250102</t>
  </si>
  <si>
    <t>fbignami1@gmail.com</t>
  </si>
  <si>
    <t>https://www.linkedin.com/in/francescobignami/</t>
  </si>
  <si>
    <t>Field Sales Engineer</t>
  </si>
  <si>
    <t>OMRON ELECTRONICS S.P.A.</t>
  </si>
  <si>
    <t>LAUREA MAGISTRALE IN INGEGNERIA MECCANICA DEI MATERIALI, 2016</t>
  </si>
  <si>
    <t>29 Gennaio 2024 alle 18:25</t>
  </si>
  <si>
    <t>Postiglione</t>
  </si>
  <si>
    <t>massimoposti@icloud.com</t>
  </si>
  <si>
    <t>Dottorando di ricerca in Business &amp; Law</t>
  </si>
  <si>
    <t>Laurea Magistrale (LM-77) - Management curriculum in Finanza di Impresa, votazione 110L</t>
  </si>
  <si>
    <t>29 Gennaio 2024 alle 16:32</t>
  </si>
  <si>
    <t>Laurea triennale ingegneria meccanica</t>
  </si>
  <si>
    <t>Domou</t>
  </si>
  <si>
    <t>Valéry</t>
  </si>
  <si>
    <t>DMOVRY08A79Z306U</t>
  </si>
  <si>
    <t>'+393209547515</t>
  </si>
  <si>
    <t>domouval@yahoo.fr</t>
  </si>
  <si>
    <t>Laurea triennale Ingegneria meccanica settembre 2014</t>
  </si>
  <si>
    <t>29 Gennaio 2024 alle 13:16</t>
  </si>
  <si>
    <t>Bonzanini</t>
  </si>
  <si>
    <t>BNZNNA97C70D284F</t>
  </si>
  <si>
    <t>'+393297936889</t>
  </si>
  <si>
    <t>bonzaninianna@gmail.com</t>
  </si>
  <si>
    <t>Roè Volciano</t>
  </si>
  <si>
    <t>Laurea Magistrale, consulenza aziendale e libera professione, 30 marzo 2022</t>
  </si>
  <si>
    <t>29 Gennaio 2024 alle 12:49</t>
  </si>
  <si>
    <t>Architetto</t>
  </si>
  <si>
    <t>LDOSFN80A11D284E</t>
  </si>
  <si>
    <t>'+393394123652</t>
  </si>
  <si>
    <t>stefano.loda@lodamedda.it</t>
  </si>
  <si>
    <t>Studio Associato Loda Medda &amp; Partners</t>
  </si>
  <si>
    <t>29 Gennaio 2024 alle 12:14</t>
  </si>
  <si>
    <t>Laurea Magistrale in Ingegneria informatica</t>
  </si>
  <si>
    <t>Laurea Specialistica in Ingegneria Civile</t>
  </si>
  <si>
    <t>LAUREA IN INFERMIERISTICA (ABILITANTE ALLA PROFESSIONE SANITARIA DI INFERMIERE)</t>
  </si>
  <si>
    <t>PSTMSM91E06H501H</t>
  </si>
  <si>
    <t>camerunense</t>
  </si>
  <si>
    <t>Laurea Magistrale in CONSULENZA AZIENDALE E LIBERA PROFESSIONE</t>
  </si>
  <si>
    <t>BIEMMI</t>
  </si>
  <si>
    <t>FRANCESCO</t>
  </si>
  <si>
    <t>BMMFNC75L02B157H</t>
  </si>
  <si>
    <t>f.biemmi2@gmail.com</t>
  </si>
  <si>
    <t>Laurea in Economia e Commercio (Laurea vecchio ordinamento) - 03/03/2003</t>
  </si>
  <si>
    <t>9 Febbraio 2024 alle 22:27</t>
  </si>
  <si>
    <t>Fraccaro</t>
  </si>
  <si>
    <t>marta.fraccaro0@gmail.com</t>
  </si>
  <si>
    <t>Stradella</t>
  </si>
  <si>
    <t>Laurea triennale in Economia e gestione aziendale, il 27/10/2023</t>
  </si>
  <si>
    <t>8 Febbraio 2024 alle 16:24</t>
  </si>
  <si>
    <t>Carnaghi</t>
  </si>
  <si>
    <t>CRNMHL76D63D284U</t>
  </si>
  <si>
    <t>'+393487226679</t>
  </si>
  <si>
    <t>michela.carnaghi@garda.bcc.it</t>
  </si>
  <si>
    <t>Specialista del credito</t>
  </si>
  <si>
    <t>BCC GARDA</t>
  </si>
  <si>
    <t>Laura magistrale in Economia, conseguita a Brescia il 12/07/2001</t>
  </si>
  <si>
    <t>Bonifico eseguito</t>
  </si>
  <si>
    <t>8 Febbraio 2024 alle 11:09</t>
  </si>
  <si>
    <t>Xavier</t>
  </si>
  <si>
    <t>'+393395479888</t>
  </si>
  <si>
    <t>xavierperani@libero.it</t>
  </si>
  <si>
    <t>8 Febbraio 2024 alle 10:32</t>
  </si>
  <si>
    <t>BALDO</t>
  </si>
  <si>
    <t>PAOLA</t>
  </si>
  <si>
    <t>BLDPLA76H44D284L</t>
  </si>
  <si>
    <t>baldopaola1@gmail.com</t>
  </si>
  <si>
    <t>LAUREA IN ECONOMIA E COMMERCIO - Economia industriale 2002 (+ MASTER in ECONOMIA E GESTIONE PICCOLE E MEDIE IMPRESE c/o ISFOR)</t>
  </si>
  <si>
    <t>8 Febbraio 2024 alle 10:27</t>
  </si>
  <si>
    <t>Gallina</t>
  </si>
  <si>
    <t>GLLFBA88S16B157J</t>
  </si>
  <si>
    <t>'+393337554643</t>
  </si>
  <si>
    <t>fabiogallina16@gmail.com</t>
  </si>
  <si>
    <t>Direttore Amministrativo</t>
  </si>
  <si>
    <t>GOLDAL SRL</t>
  </si>
  <si>
    <t>Laurea II livello, Consulenza Aziendale e Libera Professione</t>
  </si>
  <si>
    <t>7 Febbraio 2024 alle 11:34</t>
  </si>
  <si>
    <t>FRCMRT98L62H264P</t>
  </si>
  <si>
    <t>PRNXVR94P03B157S</t>
  </si>
  <si>
    <t>Poiatti</t>
  </si>
  <si>
    <t>Giorgia</t>
  </si>
  <si>
    <t>PTTGRG97D63E333V</t>
  </si>
  <si>
    <t>'+393209677886</t>
  </si>
  <si>
    <t>giorgiapoiatti.gp@gmail.com</t>
  </si>
  <si>
    <t>http://linkedin.com/in/giorgia-poiatti-7058501b8</t>
  </si>
  <si>
    <t>Lavoratrice - Consulente Ambientale</t>
  </si>
  <si>
    <t>Green Evolution Srl SB</t>
  </si>
  <si>
    <t>Laurea magistrale in ingegneria per l’ambiente e il territorio</t>
  </si>
  <si>
    <t>19 Febbraio 2024 alle 7:45</t>
  </si>
  <si>
    <t>Gerolimich</t>
  </si>
  <si>
    <t>Grllrt70h11b157c</t>
  </si>
  <si>
    <t>'+393382377305</t>
  </si>
  <si>
    <t>a.gerolimich@ergoncommercialisti.it</t>
  </si>
  <si>
    <t>Via San Zeno 102</t>
  </si>
  <si>
    <t>Ergon Commercialisti</t>
  </si>
  <si>
    <t>Laurea quadriennale</t>
  </si>
  <si>
    <t>Sono orgoglioso di essermi laureato a Brescia</t>
  </si>
  <si>
    <t>14 Febbraio 2024 alle 20:38</t>
  </si>
  <si>
    <t>GRNSFN91R12D918U</t>
  </si>
  <si>
    <t>'+393386970838</t>
  </si>
  <si>
    <t>stefanoguerini@outlook.com</t>
  </si>
  <si>
    <t>www.linkedin.com/in/stefanoguerini</t>
  </si>
  <si>
    <t>Responsabile amministrativo</t>
  </si>
  <si>
    <t>Fausti Stefano s.r.l.</t>
  </si>
  <si>
    <t>Gardone Val Trompia</t>
  </si>
  <si>
    <t>Laurea L-14, Consulente del lavoro e Giurista d'impresa, Dipartimento di Giurisprudenza, conseguita il 9 febbraio 2016</t>
  </si>
  <si>
    <t>14 Febbraio 2024 alle 16:28</t>
  </si>
  <si>
    <t>Scarpari</t>
  </si>
  <si>
    <t>simona</t>
  </si>
  <si>
    <t>SCRSMN67R51B157Z</t>
  </si>
  <si>
    <t>'+393356222712</t>
  </si>
  <si>
    <t>simona@frankalza.com</t>
  </si>
  <si>
    <t>VIA F.R.DORA,30</t>
  </si>
  <si>
    <t>FRANKALZA SRL</t>
  </si>
  <si>
    <t>LAUREA 27/04/1995</t>
  </si>
  <si>
    <t>14 Febbraio 2024 alle 11:09</t>
  </si>
  <si>
    <t>gnutti</t>
  </si>
  <si>
    <t>alessandra</t>
  </si>
  <si>
    <t>gntlsn67c65b157r</t>
  </si>
  <si>
    <t>'+393358317979</t>
  </si>
  <si>
    <t>alessandra@pintossi.it</t>
  </si>
  <si>
    <t>PINTOSSI+C SPA</t>
  </si>
  <si>
    <t>UNIVERSITA' DEGLI STUDI DI BRESCIA FACOLTA' DI ECONOMIA E COMMERCIO - N.MATRICOLA 010274 - ANNO ACCADEMICO 1993 1994 TESI FEBBRAIO 1995 'VINCOLI E OPPORTUNITA' NELLINTRODUZIONE DI UN SISTEMA DI CONTROLLO DI GESTIONE IN UN'IMORESA DI PICCOLE DIMENSIONI: IL CASO BETA RELATORE PROF. MARIO MAZZOLENI</t>
  </si>
  <si>
    <t>14 Febbraio 2024 alle 10:05</t>
  </si>
  <si>
    <t>Laurea Magistrale in INGEGNERIA PER L'AMBIENTE E IL TERRITORIO</t>
  </si>
  <si>
    <t>Laurea in Econmia e Commercio</t>
  </si>
  <si>
    <t>Laurea in CONSULENTE DEL LAVORO E GIURISTA D'IMPRESA</t>
  </si>
  <si>
    <t>mladennikolic.32@gmail.com</t>
  </si>
  <si>
    <t>Sukhpreet</t>
  </si>
  <si>
    <t>SNGSHP95R09Z222A</t>
  </si>
  <si>
    <t>'+393891620904</t>
  </si>
  <si>
    <t>s95pooni@gmail.com</t>
  </si>
  <si>
    <t>https://www.linkedin.com/in/sukhpreetsingh95</t>
  </si>
  <si>
    <t>Chassis Engineer</t>
  </si>
  <si>
    <t>Hydrogen Vehicle Systems</t>
  </si>
  <si>
    <t>Birmingham</t>
  </si>
  <si>
    <t>Laurea Magistrale, Ingegneria Meccanica, 20/05/2021</t>
  </si>
  <si>
    <t>24 Febbraio 2024 alle 23:54</t>
  </si>
  <si>
    <t>Causetti</t>
  </si>
  <si>
    <t>CSTTMS01C09B157N</t>
  </si>
  <si>
    <t>'+393713275355</t>
  </si>
  <si>
    <t>thomas.causetti@gmail.com</t>
  </si>
  <si>
    <t>Remedello</t>
  </si>
  <si>
    <t>Laurea in Ingegneria delle Tecnologie per l'Impresa Digitale, 14-02-2024</t>
  </si>
  <si>
    <t>24 Febbraio 2024 alle 10:37</t>
  </si>
  <si>
    <t>Laurea Magistrale in Telecommunication Technologies and Multimedia</t>
  </si>
  <si>
    <t>Lopez-Gonzalez</t>
  </si>
  <si>
    <t>Igor</t>
  </si>
  <si>
    <t>LPZGRI91M25Z605Q</t>
  </si>
  <si>
    <t>'+34600087581</t>
  </si>
  <si>
    <t>igor.lopez.gonzalez@gmail.com</t>
  </si>
  <si>
    <t>https://www.linkedin.com/in/ilopgon-eng/</t>
  </si>
  <si>
    <t>Dottorando in Integrated Quantum Photonics all'Università degli Studi di Trento</t>
  </si>
  <si>
    <t>Trento</t>
  </si>
  <si>
    <t>22 Febbraio 2024 alle 18:14</t>
  </si>
  <si>
    <t>Laurea in INGEGNERIA DELLE TECNOLOGIE PER L'IMPRESA DIGITALE</t>
  </si>
  <si>
    <t>Laurea Magistrale in COMMUNICATION TECHNOLOGIES AND MULTIMEDIA</t>
  </si>
  <si>
    <t>spagnola</t>
  </si>
  <si>
    <t>Camera</t>
  </si>
  <si>
    <t>CMRNDR95B01B157H</t>
  </si>
  <si>
    <t>'+393341305985</t>
  </si>
  <si>
    <t>a.camera@outlook.it</t>
  </si>
  <si>
    <t>linkedin.com/in/andrea-camera-154427218</t>
  </si>
  <si>
    <t>Oslo, Norway</t>
  </si>
  <si>
    <t>Universitetet i Oslo</t>
  </si>
  <si>
    <t>Oslo</t>
  </si>
  <si>
    <t>Norway</t>
  </si>
  <si>
    <t>Laurea magistrale, PhD candidate</t>
  </si>
  <si>
    <t>4 Marzo 2024 alle 22:25</t>
  </si>
  <si>
    <t>Gipponi</t>
  </si>
  <si>
    <t>GPPSRA98T62B157G</t>
  </si>
  <si>
    <t>'+393770225506</t>
  </si>
  <si>
    <t>saragipponi@gmail.com</t>
  </si>
  <si>
    <t>4 Marzo 2024 alle 21:07</t>
  </si>
  <si>
    <t>da approvare ordinario</t>
  </si>
  <si>
    <t>5+5</t>
  </si>
  <si>
    <t>25+5</t>
  </si>
  <si>
    <t>27/03/2023 - 03/07/2023 - 15/03/2024</t>
  </si>
  <si>
    <t>03/07/2023 - 15/03/2024</t>
  </si>
  <si>
    <t>pinzufede@hotmail.it</t>
  </si>
  <si>
    <t>gr.consulenzaziendale@gmail.com</t>
  </si>
  <si>
    <t>stefanoamadei996@gmail.com</t>
  </si>
  <si>
    <t>Zamboni</t>
  </si>
  <si>
    <t>ZMBNDR95R05B157M</t>
  </si>
  <si>
    <t>'+393288407559</t>
  </si>
  <si>
    <t>andrea-zamboni@outlook.it</t>
  </si>
  <si>
    <t>https://www.linkedin.com/in/andrea-zamboni-digital/</t>
  </si>
  <si>
    <t>Digital Marketer</t>
  </si>
  <si>
    <t>Bonera Spa</t>
  </si>
  <si>
    <t>Laurea Triennale in Economia e Gestione Aziendale</t>
  </si>
  <si>
    <t>4 Aprile 2024 alle 17:21</t>
  </si>
  <si>
    <t>Bini</t>
  </si>
  <si>
    <t>BNILSN99C23B157F</t>
  </si>
  <si>
    <t>'+393737607528</t>
  </si>
  <si>
    <t>ale.bini2303@gmail.com</t>
  </si>
  <si>
    <t>Via Imperia 7</t>
  </si>
  <si>
    <t>operation planner</t>
  </si>
  <si>
    <t>GEFRAN SPA</t>
  </si>
  <si>
    <t>1 Aprile 2024 alle 15:05</t>
  </si>
  <si>
    <t>Pennacchio</t>
  </si>
  <si>
    <t>PNNCRL96B04E704T</t>
  </si>
  <si>
    <t>'+393891133948</t>
  </si>
  <si>
    <t>cpennacchio40@gmail.com</t>
  </si>
  <si>
    <t>Borno</t>
  </si>
  <si>
    <t>Laurea magistrale in ingegneria dell'automazione industriale conseguita il 13/09/22</t>
  </si>
  <si>
    <t>27 Marzo 2024 alle 22:25</t>
  </si>
  <si>
    <t>Veneziani</t>
  </si>
  <si>
    <t>VNZPLA94P01D284O</t>
  </si>
  <si>
    <t>'+393336618280</t>
  </si>
  <si>
    <t>veneziani.paolo94@gmail.com</t>
  </si>
  <si>
    <t>Laurea I livello in ingegneria elettronica e telecomunicazioni, 20/03/2024</t>
  </si>
  <si>
    <t>26 Marzo 2024 alle 22:28</t>
  </si>
  <si>
    <t>Rabaioli</t>
  </si>
  <si>
    <t>RBLGLI95A59B157D</t>
  </si>
  <si>
    <t>'+393517258838</t>
  </si>
  <si>
    <t>giulia.rabaioli@gmail.com</t>
  </si>
  <si>
    <t>Laurea magistrale in Giurisprudenza, 8/10/2019; Dottorato di ricerca XXXVI ciclo (discussione della tesi: estate 2024).</t>
  </si>
  <si>
    <t>26 Marzo 2024 alle 16:08</t>
  </si>
  <si>
    <t>Sanna</t>
  </si>
  <si>
    <t>SNNMTT98A15D434C</t>
  </si>
  <si>
    <t>'+393349140088</t>
  </si>
  <si>
    <t>mattia.sanna098@gmail.com</t>
  </si>
  <si>
    <t>https://www.linkedin.com/in/mattia-sanna-2a510b189/</t>
  </si>
  <si>
    <t>Costa Volpino</t>
  </si>
  <si>
    <t>Laurea Triennale in Economia e Management, conseguita in data 25/03/2024</t>
  </si>
  <si>
    <t>26 Marzo 2024 alle 11:50</t>
  </si>
  <si>
    <t>Melotti</t>
  </si>
  <si>
    <t>MLTLCU98L11D434H</t>
  </si>
  <si>
    <t>'+393342340836</t>
  </si>
  <si>
    <t>melottiluca11@gmail.com</t>
  </si>
  <si>
    <t>www.linkedin.com/in/luca-melotti-13106a217</t>
  </si>
  <si>
    <t>R&amp;D engineer</t>
  </si>
  <si>
    <t>OMB Saleri S.p.A.</t>
  </si>
  <si>
    <t>Breno</t>
  </si>
  <si>
    <t>Laurea magistrale, Ingegneria meccanica curriculum autoveicoli, 19/03/2024</t>
  </si>
  <si>
    <t>21 Marzo 2024 alle 20:01</t>
  </si>
  <si>
    <t>Bonetti</t>
  </si>
  <si>
    <t>silviabonetti91@gmail.com</t>
  </si>
  <si>
    <t>BNTSLV91H62E884E</t>
  </si>
  <si>
    <t>'+393336242117</t>
  </si>
  <si>
    <t>Ospedale di Manerbio - ASST del Garda</t>
  </si>
  <si>
    <t>Laurea in Medicina e Chirurgia, Specializzazione in medicina interna</t>
  </si>
  <si>
    <t>Mi piacerebbe partecipare al programma Mentor - Mentee ed avrei già trovato anche un possibile mentore</t>
  </si>
  <si>
    <t>19 Marzo 2024 alle 19:48</t>
  </si>
  <si>
    <t>Adesione associazione alumni unibs - Raccagni Paolo</t>
  </si>
  <si>
    <t>Raccagni</t>
  </si>
  <si>
    <t>RCCPLA95M22B157E</t>
  </si>
  <si>
    <t>paolo95raccagni@gmail.com</t>
  </si>
  <si>
    <t>Laurea (magistrale) in ingegneria per l'ambiente e il territorio, data di laurea: 22/03/2021</t>
  </si>
  <si>
    <t>18 Marzo 2024 alle 16:19</t>
  </si>
  <si>
    <t>Laurea Triennale Ingegneria Informatica</t>
  </si>
  <si>
    <t>Passi</t>
  </si>
  <si>
    <t>PSSRHL01A70E884Z</t>
  </si>
  <si>
    <t>r.passi@studenti.unibs.it</t>
  </si>
  <si>
    <t>Elettrosolution</t>
  </si>
  <si>
    <t>Triennale, Ingegneria Informatica, 16/02/2024, Interpolazione polinomiale applicata a problemi di fluido-struttura</t>
  </si>
  <si>
    <t>16 Marzo 2024 alle 16:05</t>
  </si>
  <si>
    <t>FRRLSE98E53B157I</t>
  </si>
  <si>
    <t>'+393389558454</t>
  </si>
  <si>
    <t>e.ferrari059@studenti.unibs.it</t>
  </si>
  <si>
    <t>Quinzano d’Oglio</t>
  </si>
  <si>
    <t>16 Marzo 2024 alle 14:00</t>
  </si>
  <si>
    <t>Laurea in GEGNERIA ELETTRONICA E DELLE TELECOMUNICAZIONI</t>
  </si>
  <si>
    <t>Laurea Magistrale in INGEGNERIA MECCANICA</t>
  </si>
  <si>
    <t>Scuola di Specializzazione in Geriatria</t>
  </si>
  <si>
    <t>Laurea Magistrale in INGEGNERIA PER L'AMBIENTE E IL TERRITORI</t>
  </si>
  <si>
    <t>Laurea in INGEGNERIA INFORMATICA</t>
  </si>
  <si>
    <t>INA_Titolo</t>
  </si>
  <si>
    <t>Esonerato/a</t>
  </si>
  <si>
    <t>Cometti</t>
  </si>
  <si>
    <t>CMTSRA97D55B393E</t>
  </si>
  <si>
    <t>'+393454617942</t>
  </si>
  <si>
    <t>saracometti16@gmail.com</t>
  </si>
  <si>
    <t>https://it.linkedin.com/in/sara-cometti-6b27841b2</t>
  </si>
  <si>
    <t>Area Manager Delivery Operations</t>
  </si>
  <si>
    <t>Bologna</t>
  </si>
  <si>
    <t>Laurea Magistrale in Ingegneria Gestionale, 24/03/2022</t>
  </si>
  <si>
    <t>13 Aprile 2024 alle 16:08</t>
  </si>
  <si>
    <t>Furlanis</t>
  </si>
  <si>
    <t>Frlrcr80t29b157w</t>
  </si>
  <si>
    <t>'+393289137913</t>
  </si>
  <si>
    <t>riccardo.furlanis@gmail.com</t>
  </si>
  <si>
    <t>https://www.linkedin.com/in/furlanisr</t>
  </si>
  <si>
    <t>DIREZIONE GENERALE</t>
  </si>
  <si>
    <t>Cameo spa</t>
  </si>
  <si>
    <t>Laurea economia magistrale e master di 2 livello</t>
  </si>
  <si>
    <t>12 Aprile 2024 alle 17:11</t>
  </si>
  <si>
    <t>Adesione all'associazione</t>
  </si>
  <si>
    <t>Sparapani</t>
  </si>
  <si>
    <t>SPRSRA99L54B157C</t>
  </si>
  <si>
    <t>'+393457795533</t>
  </si>
  <si>
    <t>sara.sparapani@gmail.com</t>
  </si>
  <si>
    <t>https://www.linkedin.com/in/sara-sparapani-93029920a</t>
  </si>
  <si>
    <t>Rodengo-Saiano</t>
  </si>
  <si>
    <t>Conseguimento titolo di Laurea Magistrale luglio 2024</t>
  </si>
  <si>
    <t>11 Aprile 2024 alle 12:52</t>
  </si>
  <si>
    <t>Ingegnere per l'ambiente e il territorio</t>
  </si>
  <si>
    <t>TNLCLR99P70B157O</t>
  </si>
  <si>
    <t>'+393383884392</t>
  </si>
  <si>
    <t>clari.tonoli99@gmail.com</t>
  </si>
  <si>
    <t>Clara Tonoli</t>
  </si>
  <si>
    <t>san zeno naviglio</t>
  </si>
  <si>
    <t>Laurea Magistrale, Ingegneria per l'ambiente e il territorio, 110 con lode</t>
  </si>
  <si>
    <t>9 Aprile 2024 alle 18:50</t>
  </si>
  <si>
    <t>Master II livello in GESTIONE DEI PROGETTI DI INTERNAZIONALIZZAZIONE PRODUTTIVA</t>
  </si>
  <si>
    <t>Alfano</t>
  </si>
  <si>
    <t>Virginia</t>
  </si>
  <si>
    <t>LFNVGN01A63G224M</t>
  </si>
  <si>
    <t>'+393426396148</t>
  </si>
  <si>
    <t>v.alfano001@studenti.unibs.it</t>
  </si>
  <si>
    <t>Padova</t>
  </si>
  <si>
    <t>Laurea triennale, Economia (Classe L-18), 18/10/2022</t>
  </si>
  <si>
    <t>22 Aprile 2024 alle 10:50</t>
  </si>
  <si>
    <t>Medico-Chirurgo</t>
  </si>
  <si>
    <t>Sarzi Amade'</t>
  </si>
  <si>
    <t>SRZLRD93A15E897G</t>
  </si>
  <si>
    <t>'+393498959697</t>
  </si>
  <si>
    <t>sarzileonardo93@gmail.com</t>
  </si>
  <si>
    <t>Corsi di Laurea Magistrale a ciclo unico in Medicina e Chirurgia, Area Medica, titolo conseguito in data 12/12/2023</t>
  </si>
  <si>
    <t>21 Aprile 2024 alle 17:00</t>
  </si>
  <si>
    <t>MRAPLA99R15B157A</t>
  </si>
  <si>
    <t>paolo.mauro1999@gmail.com</t>
  </si>
  <si>
    <t>Laurea Magistrale - C.S. Moneta, Finanza e Risk Management (Economia e Management) conseguita il 18/12/2023</t>
  </si>
  <si>
    <t>Bonifico disposto in data odierna (21/04/2024), accredito previsto il giorno 23/04/2024.</t>
  </si>
  <si>
    <t>21 Aprile 2024 alle 11:51</t>
  </si>
  <si>
    <t>Tononi</t>
  </si>
  <si>
    <t>Debora</t>
  </si>
  <si>
    <t>TNNDBR99R56B157S</t>
  </si>
  <si>
    <t>'+393315263414</t>
  </si>
  <si>
    <t>deboratononi1@gmail.com</t>
  </si>
  <si>
    <t>https://www.linkedin.com/in/debora-tononi-64005520a/</t>
  </si>
  <si>
    <t>Product Engineering Analyst - Quantitative Strategies</t>
  </si>
  <si>
    <t>ANIMA Sgr</t>
  </si>
  <si>
    <t>Laurea Magistrale in Mometa, Finanza e Risk Management</t>
  </si>
  <si>
    <t>Ho effettuato il bonifico oggi, quindi può essere che sarà visibile a voi tra qualche giorno</t>
  </si>
  <si>
    <t>18 Aprile 2024 alle 14:29</t>
  </si>
  <si>
    <t>Rand</t>
  </si>
  <si>
    <t>Makhoul</t>
  </si>
  <si>
    <t>MKHRND91A30Z240R</t>
  </si>
  <si>
    <t>'+393202183799</t>
  </si>
  <si>
    <t>eng.rand.makhoul@gmail.com</t>
  </si>
  <si>
    <t>https://www.linkedin.com/in/rand-makhoul-225560225?utm_source=share&amp;utm_campaign=share_via&amp;utm_content=profile&amp;utm_medium=android_app</t>
  </si>
  <si>
    <t>23/10/2023</t>
  </si>
  <si>
    <t>17 Aprile 2024 alle 15:50</t>
  </si>
  <si>
    <t>Soldi</t>
  </si>
  <si>
    <t>SLDMRA01C22E884A</t>
  </si>
  <si>
    <t>'+393489941266</t>
  </si>
  <si>
    <t>maurosoldi22@gmail.com</t>
  </si>
  <si>
    <t>https://www.linkedin.com/in/mauro-soldi-b09427271</t>
  </si>
  <si>
    <t>Leno (Brescia)</t>
  </si>
  <si>
    <t>Laurea di primo livello, Ingegneria Meccanica e dei Materiali , 11/07/2023</t>
  </si>
  <si>
    <t>Bonifico effettuato il 17/04/24</t>
  </si>
  <si>
    <t>17 Aprile 2024 alle 13:05</t>
  </si>
  <si>
    <t>Studentessa</t>
  </si>
  <si>
    <t>QRSNNA01C64B157J</t>
  </si>
  <si>
    <t>'+393248350921</t>
  </si>
  <si>
    <t>a.quaresmini003@studenti.unibs.it</t>
  </si>
  <si>
    <t>http://linkedin.com/in/anna-quaresmini-0203952a1</t>
  </si>
  <si>
    <t>Studentessa magistrale</t>
  </si>
  <si>
    <t>Laureata triennale in ingegneria gestionale in data 14/09/23</t>
  </si>
  <si>
    <t>17 Aprile 2024 alle 12:57</t>
  </si>
  <si>
    <t>SLDSRA01C62E884K</t>
  </si>
  <si>
    <t>'+393459285187</t>
  </si>
  <si>
    <t>sarasoldi2@gmail.com</t>
  </si>
  <si>
    <t>www.linkedin.com/in/sarasoldi</t>
  </si>
  <si>
    <t>Laurea di primo livello, Ingegneria Gestionale , 14/09/2023</t>
  </si>
  <si>
    <t>Data Esecuzione Bonifico: 17/04/24</t>
  </si>
  <si>
    <t>17 Aprile 2024 alle 12:56</t>
  </si>
  <si>
    <t>Venturetti</t>
  </si>
  <si>
    <t>VNTRCR96B17C618C</t>
  </si>
  <si>
    <t>'+393333121046</t>
  </si>
  <si>
    <t>r.venturetti@icloud.com</t>
  </si>
  <si>
    <t>http://linkedin.com/in/riccardo-venturetti-1b91a216b</t>
  </si>
  <si>
    <t>Machinery engineer</t>
  </si>
  <si>
    <t>ENI</t>
  </si>
  <si>
    <t>Palazzolo sull’Oglio</t>
  </si>
  <si>
    <t>Laurea Magistrale in ingegneria Meccanica curriculum costruzioni, marzo 2022. master secondo livello in Energy Innovation 2024</t>
  </si>
  <si>
    <t>17 Aprile 2024 alle 11:36</t>
  </si>
  <si>
    <t>Giorgio Giuseppe</t>
  </si>
  <si>
    <t>SRDGGG76D23H598U</t>
  </si>
  <si>
    <t>'+393805551234</t>
  </si>
  <si>
    <t>giorgio76@email.com</t>
  </si>
  <si>
    <t>https://www.linkedin.com/in/giorgiosuardi/</t>
  </si>
  <si>
    <t>Key Account Manager</t>
  </si>
  <si>
    <t>Gulliver s.r.l.</t>
  </si>
  <si>
    <t>Economia e Gestione Aziendale - Borse Mercati e Intermediari Finanziari</t>
  </si>
  <si>
    <t>16 Aprile 2024 alle 18:22</t>
  </si>
  <si>
    <t>Sarro</t>
  </si>
  <si>
    <t>SRRLCU98R08E884N</t>
  </si>
  <si>
    <t>'+393396980113</t>
  </si>
  <si>
    <t>sar.l@hotmail.it</t>
  </si>
  <si>
    <t>Via Folonari 5</t>
  </si>
  <si>
    <t>Ingegnere di produzione</t>
  </si>
  <si>
    <t>Vhit spa</t>
  </si>
  <si>
    <t>Roccafranca</t>
  </si>
  <si>
    <t>15 Aprile 2024 alle 20:30</t>
  </si>
  <si>
    <t>Laurea Magistrale in CIVIL AND ENVIRONMENTAL ENGINEERING - INGEGNERIA CIVILE E AMBIENTALE</t>
  </si>
  <si>
    <t>siriana</t>
  </si>
  <si>
    <t>Laurea Magistrale in Ingegneria meccanica</t>
  </si>
  <si>
    <t>Non accettabile</t>
  </si>
  <si>
    <t>MNNNDR01S28B157Q</t>
  </si>
  <si>
    <t>'+393311751143</t>
  </si>
  <si>
    <t>andreamanenti18@gmail.com</t>
  </si>
  <si>
    <t>8 Maggio 2024 alle 12:37</t>
  </si>
  <si>
    <t>Ranza</t>
  </si>
  <si>
    <t>RNZMHL99E65E884A</t>
  </si>
  <si>
    <t>'+393272436314</t>
  </si>
  <si>
    <t>ranzamichela25@gmail.com</t>
  </si>
  <si>
    <t>2 Maggio 2024 alle 11:06</t>
  </si>
  <si>
    <t>Comelli</t>
  </si>
  <si>
    <t>Serena</t>
  </si>
  <si>
    <t>CMLSRN00C50B157R</t>
  </si>
  <si>
    <t>'+393791113264</t>
  </si>
  <si>
    <t>serena.comelli@gmail.com</t>
  </si>
  <si>
    <t>30 Aprile 2024 alle 22:16</t>
  </si>
  <si>
    <t>PSTFLV60S12B157R</t>
  </si>
  <si>
    <t>'+393440460977</t>
  </si>
  <si>
    <t>flaviopasotti60@gmail.com</t>
  </si>
  <si>
    <t>Metrobrescia srl</t>
  </si>
  <si>
    <t>maturità classica</t>
  </si>
  <si>
    <t>27 Aprile 2024 alle 17:19</t>
  </si>
  <si>
    <t>Laurea in INFERMIERISTICA (ABILITANTE ALLA PROFESSIONE SANITARIA DI INFERMIERE)</t>
  </si>
  <si>
    <t>Laurea triennale Ingegneria dell'automazione industriale</t>
  </si>
  <si>
    <t>Ciavattini</t>
  </si>
  <si>
    <t>CVTGLC01B23B157I</t>
  </si>
  <si>
    <t>'+393318822639</t>
  </si>
  <si>
    <t>giangi.ciavattini@outlook.it</t>
  </si>
  <si>
    <t>https://www.linkedin.com/in/gianluca-ciavattini-436605300?utm_source=share&amp;utm_campaign=share_via&amp;utm_content=profile&amp;utm_medium=android_app</t>
  </si>
  <si>
    <t>Sviluppatore software</t>
  </si>
  <si>
    <t>Viemme project</t>
  </si>
  <si>
    <t>Bovezzo</t>
  </si>
  <si>
    <t>Laurea primo livello, Ingegneria dell'automazione industriale, 19/03/2024</t>
  </si>
  <si>
    <t>6 Giugno 2024 alle 16:18</t>
  </si>
  <si>
    <t>Npllnz89a05h501b</t>
  </si>
  <si>
    <t>Via Giovanni Cimabue, 18</t>
  </si>
  <si>
    <t>2 Giugno 2024 alle 10:23</t>
  </si>
  <si>
    <t>Giardini</t>
  </si>
  <si>
    <t>GRDCLD60R25B157F</t>
  </si>
  <si>
    <t>'+393485156466</t>
  </si>
  <si>
    <t>claudio.giardini@gmail.com</t>
  </si>
  <si>
    <t>https://www.linkedin.com/in/claudio-giardini-860b911/</t>
  </si>
  <si>
    <t>Professore ordinario di Tecnologie e Sistemi di Lavorazione</t>
  </si>
  <si>
    <t>Università degli Studi di Bergamo</t>
  </si>
  <si>
    <t>Laurea quinquennale in Ingegneria Meccanica, 12 ottobre 1984</t>
  </si>
  <si>
    <t>24 Maggio 2024 alle 18:17</t>
  </si>
  <si>
    <t>Sandri</t>
  </si>
  <si>
    <t>SNDPLA67H05Z315T</t>
  </si>
  <si>
    <t>'+393477576067</t>
  </si>
  <si>
    <t>paolo.sandri@azimut.it</t>
  </si>
  <si>
    <t>Azimut Capital Management Sgr Spa</t>
  </si>
  <si>
    <t>Master II Livello</t>
  </si>
  <si>
    <t>22 Maggio 2024 alle 11:48</t>
  </si>
  <si>
    <t>Laurea in Ingegneria Meccanica vecchio ordinamento</t>
  </si>
  <si>
    <t>Master II livello in GOVERNANCE DEL PATRIMONIO E PASSAGGIO GENERAZIONALE</t>
  </si>
  <si>
    <t>DOTT.</t>
  </si>
  <si>
    <t>SOLDI</t>
  </si>
  <si>
    <t>ANTONIO</t>
  </si>
  <si>
    <t>SLDNTN70C02B157Q</t>
  </si>
  <si>
    <t>'+393929291159</t>
  </si>
  <si>
    <t>antonio.soldi@fontanaeassociati.it</t>
  </si>
  <si>
    <t>CORSO ZANARDELLI 15</t>
  </si>
  <si>
    <t>laurea in Economia e Commercio</t>
  </si>
  <si>
    <t>Acconsento al trattamento dei miei dati personali ai sensi del Decreto Legislativo 30 giugno 2003, n. 196 "Codice in materia di protezione dei dati personali" e all'Informativa Privacy dell'Associazione</t>
  </si>
  <si>
    <t>24 Giugno 2024 alle 12:34</t>
  </si>
  <si>
    <t>Jan</t>
  </si>
  <si>
    <t>Salman</t>
  </si>
  <si>
    <t>JNASMN94P24Z236P</t>
  </si>
  <si>
    <t>'+393517892015</t>
  </si>
  <si>
    <t>salmanjan.ipb@gmail.com</t>
  </si>
  <si>
    <t>https://www.linkedin.com/in/salmanjan11/</t>
  </si>
  <si>
    <t>Software Programmer</t>
  </si>
  <si>
    <t>Area 9000 Srls</t>
  </si>
  <si>
    <t>25/10/2023 Laurea Magistrale in Telecommunication Technologies and Multimedia</t>
  </si>
  <si>
    <t>24 Giugno 2024 alle 10:10</t>
  </si>
  <si>
    <t>tomasi</t>
  </si>
  <si>
    <t>cesare</t>
  </si>
  <si>
    <t>tmscsr60l13b157p</t>
  </si>
  <si>
    <t>'+393387685532</t>
  </si>
  <si>
    <t>cesare.tomasi1@gmail.com</t>
  </si>
  <si>
    <t>https://it.linkedin.com/in/cesare-tomasi-177706209</t>
  </si>
  <si>
    <t>roncadelle</t>
  </si>
  <si>
    <t>lauree Economia 1984 Scienze Politiche 1990</t>
  </si>
  <si>
    <t>24 Giugno 2024 alle 9:14</t>
  </si>
  <si>
    <t>Pellini</t>
  </si>
  <si>
    <t>PLLSFN99P26D284H</t>
  </si>
  <si>
    <t>'+393485291212</t>
  </si>
  <si>
    <t>stefano.pellini99@gmail.com</t>
  </si>
  <si>
    <t>Via Zanardelli 158</t>
  </si>
  <si>
    <t>Laurea triennale ingegneria elettronica e delle telecomunicazioni</t>
  </si>
  <si>
    <t>23 Giugno 2024 alle 22:36</t>
  </si>
  <si>
    <t>Guarnera</t>
  </si>
  <si>
    <t>GRNNDR99R01B157U</t>
  </si>
  <si>
    <t>'+393313034004</t>
  </si>
  <si>
    <t>a.guarnera@studenti.unibs.it</t>
  </si>
  <si>
    <t>https://www.linkedin.com/in/andrea-guarnera-57888b277?utm_source=share&amp;utm_campaign=share_via&amp;utm_content=profile&amp;utm_medium=android_app</t>
  </si>
  <si>
    <t>CALCINATO</t>
  </si>
  <si>
    <t>Laurea magistrale in giurisprudenza, data conseguimento: 18-10-2023</t>
  </si>
  <si>
    <t>23 Giugno 2024 alle 21:54</t>
  </si>
  <si>
    <t>Dott. In Economia e Management</t>
  </si>
  <si>
    <t>Tosana</t>
  </si>
  <si>
    <t>Nicolo'</t>
  </si>
  <si>
    <t>TSNNCL93L27D434W</t>
  </si>
  <si>
    <t>'+393489533687</t>
  </si>
  <si>
    <t>nicolotosana@gmail.com</t>
  </si>
  <si>
    <t>https://www.linkedin.com/in/nicolotosana?utm_source=share&amp;utm_campaign=share_via&amp;utm_content=profile&amp;utm_medium=ios_app</t>
  </si>
  <si>
    <t>Manager - Consulenza di direzione</t>
  </si>
  <si>
    <t>MBS Consulting</t>
  </si>
  <si>
    <t>23 Giugno 2024 alle 20:10</t>
  </si>
  <si>
    <t>ZLOMNL98S03E884U</t>
  </si>
  <si>
    <t>'+393474639234</t>
  </si>
  <si>
    <t>emanuele.zola98@gmail.com</t>
  </si>
  <si>
    <t>Laure Magistrale, Ingegneria Meccanica, 19/03/2024</t>
  </si>
  <si>
    <t>23 Giugno 2024 alle 18:31</t>
  </si>
  <si>
    <t>Laurea Magistrale in COMMUNICATION TECHNOLOGIES AND MULTIMEDIA - TECNOLOGIE DELLE COMUNIC</t>
  </si>
  <si>
    <t>pakistana</t>
  </si>
  <si>
    <t>Laurea in  ELETTRONICA E DELLE TELECOMUNICAZIONI</t>
  </si>
  <si>
    <t>Laurea Magistrale in MANAGEMENT</t>
  </si>
  <si>
    <t>Serpelloni</t>
  </si>
  <si>
    <t>William</t>
  </si>
  <si>
    <t>SRPWLM97S15B157R</t>
  </si>
  <si>
    <t>'+393518931917</t>
  </si>
  <si>
    <t>williamserpelloni@gmail.com</t>
  </si>
  <si>
    <t>Borgosatollo</t>
  </si>
  <si>
    <t>30 Giugno 2024 alle 13:08</t>
  </si>
  <si>
    <t>Mottinelli</t>
  </si>
  <si>
    <t>MTTFRC99D14B157G</t>
  </si>
  <si>
    <t>mottinellifederico@gmail.com</t>
  </si>
  <si>
    <t>29 Giugno 2024 alle 17:56</t>
  </si>
  <si>
    <t>Marinoni</t>
  </si>
  <si>
    <t>Maria Angela</t>
  </si>
  <si>
    <t>MRNMNG70S60I827T</t>
  </si>
  <si>
    <t>ma.marinoni@tin.it</t>
  </si>
  <si>
    <t>25030 - Pompiano (BS)</t>
  </si>
  <si>
    <t>INGEGNERE CIVILE EDILE</t>
  </si>
  <si>
    <t>25 Giugno 2024 alle 16:49</t>
  </si>
  <si>
    <t>Rambaldini</t>
  </si>
  <si>
    <t>Greta</t>
  </si>
  <si>
    <t>RMBGRT99H57B157P</t>
  </si>
  <si>
    <t>'+393485623406</t>
  </si>
  <si>
    <t>gretarambaldini@outlook.it</t>
  </si>
  <si>
    <t>Laurea Magistrale a ciclo unico in Giurisprudenza, 17 ottobre 2023</t>
  </si>
  <si>
    <t>24 Giugno 2024 alle 19:15</t>
  </si>
  <si>
    <t>Di Palma</t>
  </si>
  <si>
    <t>DPLNDR83C23F205S</t>
  </si>
  <si>
    <t>'+393397882886</t>
  </si>
  <si>
    <t>andrea.dipalma@outlook.com</t>
  </si>
  <si>
    <t>Laurea Magistrale Odontoiatria e Protesi Dentaria - ultima conseguita luglio 2023 (vedasi commenti per dettagli altri titoli)</t>
  </si>
  <si>
    <t>Breve CV formativo:
Laurea triennale Biotecnologie 2005 - UniBS
Laurea Magistrale Biotecnolgie Mediche 2007 - UniBS
Master II livello Scienze Forensi 2010 - UniPR
Specializzazione Biochimica Clinica 2015 - UniBS aggregata UniMI
Laurea Magistrale Odontoiatria e Protesi Dentaria 2023 - UniBS</t>
  </si>
  <si>
    <t>Laurea Magistrale a ciclo unico in ODONTOIATRIA E PROTESI DENTARIA</t>
  </si>
  <si>
    <t xml:space="preserve"> I have a foreign educational qualification</t>
  </si>
  <si>
    <t>Non ho un titolo di studio estero</t>
  </si>
  <si>
    <t>Laurea Magistrale in Scienze e Tecniche delle Attività Motorie Preventive e Adattate</t>
  </si>
  <si>
    <t>Bianchini</t>
  </si>
  <si>
    <t>BNCPGR94A05B157X</t>
  </si>
  <si>
    <t>'+393333899783</t>
  </si>
  <si>
    <t>bianchini.piergiorgio@virgilio.it</t>
  </si>
  <si>
    <t>VIA RODONE 12</t>
  </si>
  <si>
    <t>Laurea di secondo livello</t>
  </si>
  <si>
    <t>22 Luglio 2024 alle 14:24</t>
  </si>
  <si>
    <t>Dottore in ingegneria per l’ambiente ed il territorio</t>
  </si>
  <si>
    <t>Al Mahroug</t>
  </si>
  <si>
    <t>Zakari</t>
  </si>
  <si>
    <t>Lmhzkr98c11d284h</t>
  </si>
  <si>
    <t>'+393494509643</t>
  </si>
  <si>
    <t>zakaria.almahroug@gmail.com</t>
  </si>
  <si>
    <t>Ingegneria idraulica</t>
  </si>
  <si>
    <t>A2A Ciclo Idrico</t>
  </si>
  <si>
    <t>17 Luglio 2024 alle 14:57</t>
  </si>
  <si>
    <t>'- dott. commercialista e revisore legale</t>
  </si>
  <si>
    <t>zampedrini</t>
  </si>
  <si>
    <t>anna</t>
  </si>
  <si>
    <t>zmpnna81m64b157r</t>
  </si>
  <si>
    <t>'+393289898951</t>
  </si>
  <si>
    <t>anna.zampedrini@gmail.com</t>
  </si>
  <si>
    <t>Flero (BS)</t>
  </si>
  <si>
    <t>laurea specialistica</t>
  </si>
  <si>
    <t>16 Luglio 2024 alle 13:42</t>
  </si>
  <si>
    <t>singh</t>
  </si>
  <si>
    <t>sukhpreet</t>
  </si>
  <si>
    <t>SNGSHP01P05Z222P</t>
  </si>
  <si>
    <t>'+393511218396</t>
  </si>
  <si>
    <t>sukhpreetsurya94@gmail.com</t>
  </si>
  <si>
    <t>www.linkedin.com/in/sukhpreet-singh-59ba77316</t>
  </si>
  <si>
    <t>san paolo</t>
  </si>
  <si>
    <t>INGEGNERIA DELL'AUTOMAZIONE INDUSTRIALE TRIENNALE</t>
  </si>
  <si>
    <t>15 Luglio 2024 alle 8:40</t>
  </si>
  <si>
    <t>PSNCNZ92H54D940P</t>
  </si>
  <si>
    <t>'+393339521946</t>
  </si>
  <si>
    <t>cinzia14pasini1992@gmail.com</t>
  </si>
  <si>
    <t>Impiegata contabile</t>
  </si>
  <si>
    <t>Studio Commercialista</t>
  </si>
  <si>
    <t>Laurea secondo livello</t>
  </si>
  <si>
    <t>5 Luglio 2024 alle 20:25</t>
  </si>
  <si>
    <t>Faini</t>
  </si>
  <si>
    <t>FNASML98T02D940V</t>
  </si>
  <si>
    <t>'+393427758818</t>
  </si>
  <si>
    <t>samuelefaini21@gmail.com</t>
  </si>
  <si>
    <t>https://www.linkedin.com/in/samuele-faini-61043b20a?lipi=urnlipaged_flagship3_profile_view_base_contact_detailsO5DduwZ3R9a9f5IyKNZeQ</t>
  </si>
  <si>
    <t>Masera engineering group</t>
  </si>
  <si>
    <t>Laurea di II livello (magistrale)</t>
  </si>
  <si>
    <t>4 Luglio 2024 alle 12:03</t>
  </si>
  <si>
    <t>Laurea Magistrale in SCIENZE E TECNICHE DELLE ATTIVITÀ MOTORIE PREVENTIVE E ADATTATE</t>
  </si>
  <si>
    <t>Laurea Specialistica in CONSULENZA AZIENDALE  E LIBERA PROFESSIONE</t>
  </si>
  <si>
    <t>indiana</t>
  </si>
  <si>
    <t>Laurea magistrale in MANAGEMENT</t>
  </si>
  <si>
    <t>Laurea magistrale in INGEGNERIA CIVILE</t>
  </si>
  <si>
    <t>LAUREATO ECONOMIA E GESTIONE AZIENDALE</t>
  </si>
  <si>
    <t>'+393513599057</t>
  </si>
  <si>
    <t>studente magistrale CALP</t>
  </si>
  <si>
    <t>laureato (I LIVELLO) in ECONOMIA E GESTIONE AZIENDALE ,19/07/2024</t>
  </si>
  <si>
    <t>22 Luglio 2024 alle 15:33</t>
  </si>
  <si>
    <t>Laurea in ECONOMIA E GESTIONE AZIENDALE</t>
  </si>
  <si>
    <t>Sign.</t>
  </si>
  <si>
    <t>COMETTI</t>
  </si>
  <si>
    <t>VLADIMIR</t>
  </si>
  <si>
    <t>CMTVDM95D08B393R</t>
  </si>
  <si>
    <t>'+393457060365</t>
  </si>
  <si>
    <t>comettivladimir@gmail.com</t>
  </si>
  <si>
    <t>www.linkedin.com/in/vladimir-cometti-344898195</t>
  </si>
  <si>
    <t>Pre Sales Manager</t>
  </si>
  <si>
    <t>Meccanotecnica Spa</t>
  </si>
  <si>
    <t>Laurea Magistrale in Ingegneria gestionale, Classe delle lauree magistrali LM 31 Ingegneria gestionale, Data 8 Settembre 2020</t>
  </si>
  <si>
    <t>Ho appena fatto il bonifico, dovrebbe arrivare in 1-2 giorni lavorativi. Nel foreign educatinal qualification si intende l'Erasmus?</t>
  </si>
  <si>
    <t>I have a foreign educational qualification</t>
  </si>
  <si>
    <t>5 Settembre 2024 alle 11:12</t>
  </si>
  <si>
    <t>Tisi</t>
  </si>
  <si>
    <t>TSIMCH00D42B157L</t>
  </si>
  <si>
    <t>mariachiaratisi@gmail.com</t>
  </si>
  <si>
    <t>www.linkedin.com/in/mariachiara-tisi-a9aa51226</t>
  </si>
  <si>
    <t>Bonifico fatto in questo momento (04/09/2024). Valuta di regolamento: 05/09/2024.</t>
  </si>
  <si>
    <t>4 Settembre 2024 alle 11:03</t>
  </si>
  <si>
    <t>Riboli</t>
  </si>
  <si>
    <t>RBLGRG99P70D142I</t>
  </si>
  <si>
    <t>'+393469628682</t>
  </si>
  <si>
    <t>giorgiariboli99@gmail.com</t>
  </si>
  <si>
    <t>Madignano</t>
  </si>
  <si>
    <t>25 Agosto 2024 alle 15:27</t>
  </si>
  <si>
    <t>Iscrizione Associazione Alumni Unibs - Diana Tognoli</t>
  </si>
  <si>
    <t>Tognoli</t>
  </si>
  <si>
    <t>Diana</t>
  </si>
  <si>
    <t>TGNDNI97S61B157K</t>
  </si>
  <si>
    <t>dianatog24@gmail.com</t>
  </si>
  <si>
    <t>Laurea Magistrale in Moneta, finanza e risk management, Dipartimento di Economia e Management, data di laurea 30 marzo 2022 con votazione 110/110 e lode</t>
  </si>
  <si>
    <t>Mail istituzionale: diana.tognoli@unibs.it
Buongiorno, 
ho effettuato il bonifico in data odierna, sarebbe possibile ricevere conferma della corretta ricezione? 
Per quanto riguardano invece le varie attività che vengono svolte, visto che è la prima volta che mi iscrivo, dove sarebbe possibile vederle/consultarle?
Grazie in anticipo e buona giornata.</t>
  </si>
  <si>
    <t>17 Agosto 2024 alle 12:34</t>
  </si>
  <si>
    <t>Medola</t>
  </si>
  <si>
    <t>MDLLRD96D28D284X</t>
  </si>
  <si>
    <t>'+393661449044</t>
  </si>
  <si>
    <t>medola.leonardo@gmail.com</t>
  </si>
  <si>
    <t>www.linkedin.com/in/leonardo-medola</t>
  </si>
  <si>
    <t>Operations Controller &amp; Process Engineer</t>
  </si>
  <si>
    <t>Tomasi Auto S.r.l.</t>
  </si>
  <si>
    <t>Castel Goffredo</t>
  </si>
  <si>
    <t>Laurea Magistrale in Ingegneria Gestionale conseguita il 22/10/2020</t>
  </si>
  <si>
    <t>12 Agosto 2024 alle 18:52</t>
  </si>
  <si>
    <t>Ardigò</t>
  </si>
  <si>
    <t>Vittorio</t>
  </si>
  <si>
    <t>RDGVTR98T22F205V</t>
  </si>
  <si>
    <t>'+393281647914</t>
  </si>
  <si>
    <t>vittorioardigo@gmail.com</t>
  </si>
  <si>
    <t>Laurea magistrale in consulenza aziendale e libera professione, classe delle lauree magistrali LM-77 - Scienze Economico-Aziendali conseguita il 19 dicembre 2023</t>
  </si>
  <si>
    <t>11 Agosto 2024 alle 13:14</t>
  </si>
  <si>
    <t>Damioli</t>
  </si>
  <si>
    <t>Andrea Giovanni Battista</t>
  </si>
  <si>
    <t>DMLNRG91S28B149B</t>
  </si>
  <si>
    <t>'+41768243397</t>
  </si>
  <si>
    <t>andrea.damioli.ch@gmail.com</t>
  </si>
  <si>
    <t>https://www.linkedin.com/in/andrea-damioli-02aa76b6/</t>
  </si>
  <si>
    <t>Nvalue AG</t>
  </si>
  <si>
    <t>Paradiso</t>
  </si>
  <si>
    <t>9 Agosto 2024 alle 14:22</t>
  </si>
  <si>
    <t>ADESIONE ASSOCIAZIONE ALUMNI UNIBS</t>
  </si>
  <si>
    <t>SALA</t>
  </si>
  <si>
    <t>CLAUDIA</t>
  </si>
  <si>
    <t>SLACLD75R43G149B</t>
  </si>
  <si>
    <t>'+393396608936</t>
  </si>
  <si>
    <t>c.sala@dottsala.it</t>
  </si>
  <si>
    <t>www.linkedin.com/in/claudia-sala-3535823b</t>
  </si>
  <si>
    <t>DOTT. COMMERCIALISTA - REVISORE LEGALE</t>
  </si>
  <si>
    <t>LIBERA PROFESSIONISTA</t>
  </si>
  <si>
    <t>PADENGHE SUL GARDA (BS)</t>
  </si>
  <si>
    <t>LAUREA IN ECONOMIA E COMMERCIO (INDIRIZZO ECONOMIA E LEGISLAZIONE PER L'IMPRESA)</t>
  </si>
  <si>
    <t>9 Agosto 2024 alle 13:45</t>
  </si>
  <si>
    <t>Laurea magistrale in Ingegneria Gestionale</t>
  </si>
  <si>
    <t>Laurea magistrale in  INGEGNERIA INFORMATICA</t>
  </si>
  <si>
    <t>Corso di Laurea in ECONOMIA E COMMERCIO</t>
  </si>
  <si>
    <t>+393382892031</t>
  </si>
  <si>
    <t>Ordinari</t>
  </si>
  <si>
    <t>Onorari</t>
  </si>
  <si>
    <t>Tot</t>
  </si>
  <si>
    <t>iscrizione annullata</t>
  </si>
  <si>
    <t>Mirabella</t>
  </si>
  <si>
    <t>MRBGPP75B27A794F</t>
  </si>
  <si>
    <t>'+393389927459</t>
  </si>
  <si>
    <t>giumira75@gmail.com</t>
  </si>
  <si>
    <t>Dir medico 1 livello</t>
  </si>
  <si>
    <t>Spedali Civili di Brescia</t>
  </si>
  <si>
    <t>Laurea e specialità in Urologia nel 2005</t>
  </si>
  <si>
    <t>Vice presidente della ODV Mo4mo ( Www.mo4mo.it)</t>
  </si>
  <si>
    <t>19 Settembre 2024 alle 20:32</t>
  </si>
  <si>
    <t>Spinoni</t>
  </si>
  <si>
    <t>Antonella</t>
  </si>
  <si>
    <t>SPNNNL99P44B157E</t>
  </si>
  <si>
    <t>spinoni.antonella@gmail.com</t>
  </si>
  <si>
    <t>Laurea magistrale in ingegneria gestionale, 10/09/2024</t>
  </si>
  <si>
    <t>18 Settembre 2024 alle 19:08</t>
  </si>
  <si>
    <t>Cavicchioli</t>
  </si>
  <si>
    <t>Luca Cavicchioli</t>
  </si>
  <si>
    <t>cvclcu99r14b157i</t>
  </si>
  <si>
    <t>'+393774221275</t>
  </si>
  <si>
    <t>lucacavicchiolimail@gmail.com</t>
  </si>
  <si>
    <t>via giacomo leopardi 29</t>
  </si>
  <si>
    <t>Laurea magistrale prevista a febbraio 2025</t>
  </si>
  <si>
    <t>18 Settembre 2024 alle 16:17</t>
  </si>
  <si>
    <t>Lazzarini</t>
  </si>
  <si>
    <t>LZZLCU00C15D284D</t>
  </si>
  <si>
    <t>'+393515151036</t>
  </si>
  <si>
    <t>lazzariniluca2000@gmail.com</t>
  </si>
  <si>
    <t>17 Settembre 2024 alle 18:47</t>
  </si>
  <si>
    <t>Dot. Ing</t>
  </si>
  <si>
    <t>Lussignoli</t>
  </si>
  <si>
    <t>LSSLCU97T11B157G</t>
  </si>
  <si>
    <t>'+393313882613</t>
  </si>
  <si>
    <t>lucalussignoli97@gmail.com</t>
  </si>
  <si>
    <t>San Zeno Naviglio</t>
  </si>
  <si>
    <t>17 Settembre 2024 alle 16:35</t>
  </si>
  <si>
    <t>DOTTORE</t>
  </si>
  <si>
    <t>MARTINELLI</t>
  </si>
  <si>
    <t>MRTMTT92H03D284K</t>
  </si>
  <si>
    <t>'+393332340621</t>
  </si>
  <si>
    <t>mattia.martinelli1@gmail.com</t>
  </si>
  <si>
    <t>CASTIGLIONE DELLE STIVIERE</t>
  </si>
  <si>
    <t>17 Settembre 2024 alle 10:05</t>
  </si>
  <si>
    <t>PSNCHR96H42D940D</t>
  </si>
  <si>
    <t>'+393470656103</t>
  </si>
  <si>
    <t>Saló</t>
  </si>
  <si>
    <t>Dottorato in Technology for Health (conseguito il 16 febbraio 2024)</t>
  </si>
  <si>
    <t>17 Settembre 2024 alle 9:06</t>
  </si>
  <si>
    <t>Genalizzi</t>
  </si>
  <si>
    <t>Gnlcrl94a25b157n</t>
  </si>
  <si>
    <t>'+393394334417</t>
  </si>
  <si>
    <t>genalizzi.carlo@gmail.com</t>
  </si>
  <si>
    <t>https://www.linkedin.com/in/carlo-genalizzi-?utm_source=share&amp;utm_campaign=share_via&amp;utm_content=profile&amp;utm_medium=ios_app</t>
  </si>
  <si>
    <t>Vendor Management</t>
  </si>
  <si>
    <t>A2A Spa</t>
  </si>
  <si>
    <t>Laurea magistrale in Management (LM-77 scienze economico-aziendali) conseguita il 25/03/2020</t>
  </si>
  <si>
    <t>13 Settembre 2024 alle 9:35</t>
  </si>
  <si>
    <t>Gelmini</t>
  </si>
  <si>
    <t>GLMTMS99E05C794G</t>
  </si>
  <si>
    <t>'+393470698493</t>
  </si>
  <si>
    <t>geltommy99@gmail.com</t>
  </si>
  <si>
    <t>Cerveno</t>
  </si>
  <si>
    <t>Laurea Triennale, Ingegneria meccanica e dei materiali, 10/09/2024</t>
  </si>
  <si>
    <t>12 Settembre 2024 alle 14:16</t>
  </si>
  <si>
    <t>MUSMECI</t>
  </si>
  <si>
    <t>ERMANNO</t>
  </si>
  <si>
    <t>MSMRNN95B16B157N</t>
  </si>
  <si>
    <t>'+393313163952</t>
  </si>
  <si>
    <t>ermanno95@hotmail.it</t>
  </si>
  <si>
    <t>LAUREA TRIENNALE IN ECONOMIA E GESTIONE AZIENDALE, UNIBS 27/03/2020</t>
  </si>
  <si>
    <t>12 Settembre 2024 alle 10:50</t>
  </si>
  <si>
    <t>Lncptr97d03d940j</t>
  </si>
  <si>
    <t>'+393396262956</t>
  </si>
  <si>
    <t>lancepietro@gmail.com</t>
  </si>
  <si>
    <t>Laurea in Economia e Gestione Aziendale, conseguita a luglio 2024</t>
  </si>
  <si>
    <t>11 Settembre 2024 alle 11:16</t>
  </si>
  <si>
    <t>Adesione Associazione Alumni Unibs Simone Gilberti</t>
  </si>
  <si>
    <t>GLBSMN99A15B157N</t>
  </si>
  <si>
    <t>'+393282868300</t>
  </si>
  <si>
    <t>simonegilberti36@gmail.com</t>
  </si>
  <si>
    <t>www.linkedin.com/in/ simone-gilberti-682657297</t>
  </si>
  <si>
    <t>SAP FI Junior Consultant</t>
  </si>
  <si>
    <t>Regesta Spa</t>
  </si>
  <si>
    <t>Passirano</t>
  </si>
  <si>
    <t>Laurea Magistrale in Management Finanza. Conseguimento del titolo a marzo 2024 con la votazione di 110/110</t>
  </si>
  <si>
    <t>Attualmente ricopro la posizione lavorativa di SAP FI Consultant presso Regesta. Tuttavia in questo periodo sto valutando di cambiare mansione poiché mi sono reso conto che quest'ultima non è affine ai miei interessi. Mi piacerebbe quindi poter avere un confronto con voi per capire come affrontare al meglio la ricerca della nuova posizione lavorativa. Vi ringrazio in anticipo, Simone.</t>
  </si>
  <si>
    <t>8 Settembre 2024 alle 11:46</t>
  </si>
  <si>
    <t>Consoli</t>
  </si>
  <si>
    <t>CNSFNC75S08B157D</t>
  </si>
  <si>
    <t>'+393294917685</t>
  </si>
  <si>
    <t>francesco.consoli@libra.claims</t>
  </si>
  <si>
    <t>https://www.linkedin.com/in/francesco-consoli-698251163/</t>
  </si>
  <si>
    <t>Libra Claims - Prontodanno.it</t>
  </si>
  <si>
    <t>Laurea Magistrale in Economia Industriale (UniBS - 1999) - Laurea Triennale in Scienze dei Beni Culturali (UniCatt - 2005) - Laurea Magistrale in Giurisprudenza (UniPR - 2009)</t>
  </si>
  <si>
    <t>8 Settembre 2024 alle 11:41</t>
  </si>
  <si>
    <t>Laurea Magistrale in INGEGNERIA GESTIONALE</t>
  </si>
  <si>
    <t>Laurea in INGEGNERIA GESTIONALE</t>
  </si>
  <si>
    <t>chiarapasini3@gmail.com</t>
  </si>
  <si>
    <t>bazzoli.elena@hotmail.it</t>
  </si>
  <si>
    <t>Caffi</t>
  </si>
  <si>
    <t>Martina Greta</t>
  </si>
  <si>
    <t>CFFMTN98T48B157V</t>
  </si>
  <si>
    <t>'+393467411975</t>
  </si>
  <si>
    <t>martinacaffi@gmail.com</t>
  </si>
  <si>
    <t>www.linkedin.com/in/martina-caffi</t>
  </si>
  <si>
    <t>Laurea Magistrale in Ingegneria per l'Ambiente e il Territorio, conseguita il 18/03/2024</t>
  </si>
  <si>
    <t>29 Settembre 2024 alle 16:45</t>
  </si>
  <si>
    <t>TGNSRA01A55B157G</t>
  </si>
  <si>
    <t>'+393318286866</t>
  </si>
  <si>
    <t>saranoli15@gmail.com</t>
  </si>
  <si>
    <t>27 Settembre 2024 alle 17:27</t>
  </si>
  <si>
    <t>Lini</t>
  </si>
  <si>
    <t>LNINCL94D13C618M</t>
  </si>
  <si>
    <t>collapritt@live.it</t>
  </si>
  <si>
    <t>Bancario</t>
  </si>
  <si>
    <t>Laurea Triennale, Facoltà di Economia a Brescia Banca e finanza, 17/07/2019</t>
  </si>
  <si>
    <t>25 Settembre 2024 alle 16:06</t>
  </si>
  <si>
    <t>Laurea giurisprudenza</t>
  </si>
  <si>
    <t>Ragogna</t>
  </si>
  <si>
    <t>Rggbbr75d47a246r</t>
  </si>
  <si>
    <t>'+393476024002</t>
  </si>
  <si>
    <t>sintesi.toga@gmail.com</t>
  </si>
  <si>
    <t>24 Settembre 2024 alle 19:59</t>
  </si>
  <si>
    <t>Tiso</t>
  </si>
  <si>
    <t>TSILRA96C59B157V</t>
  </si>
  <si>
    <t>solaly@libero.it</t>
  </si>
  <si>
    <t>Provincia di Brescia</t>
  </si>
  <si>
    <t>Laurea in assistenza sanitaria, 28/11/2019</t>
  </si>
  <si>
    <t>24 Settembre 2024 alle 13:08</t>
  </si>
  <si>
    <t>Ginevra</t>
  </si>
  <si>
    <t>BNMGVR97L49G388F</t>
  </si>
  <si>
    <t>'+393358057362</t>
  </si>
  <si>
    <t>ginevra.bonomi@gmail.com</t>
  </si>
  <si>
    <t>Laurea magistrale a ciclo unico in Giurisprudenza - 7 dicembre 2021</t>
  </si>
  <si>
    <t>23 Settembre 2024 alle 14:45</t>
  </si>
  <si>
    <t>Laurea in BANCA E FINANZA</t>
  </si>
  <si>
    <t>Laurea in ASSISTENZA SANITARIA (ABILITANTE ALLA PROFESSIONE SANITARIA DI ASSISTENTE SANITARIO)</t>
  </si>
  <si>
    <t>FABIO</t>
  </si>
  <si>
    <t>MRTFBA63D26B049T</t>
  </si>
  <si>
    <t>'+390342701511</t>
  </si>
  <si>
    <t>COMMERCIALISTA</t>
  </si>
  <si>
    <t>TIRANO</t>
  </si>
  <si>
    <t>laurea economia e commercio del 22.4.1993</t>
  </si>
  <si>
    <t>7 Ottobre 2024 alle 15:08</t>
  </si>
  <si>
    <t>Cotti</t>
  </si>
  <si>
    <t>CTTLCU98M06D434E</t>
  </si>
  <si>
    <t>'+393473278729</t>
  </si>
  <si>
    <t>lucacotti@outlook.com</t>
  </si>
  <si>
    <t>Laurea Magistrale in Ingegneria Informatica, 20/03/2024</t>
  </si>
  <si>
    <t>7 Ottobre 2024 alle 14:17</t>
  </si>
  <si>
    <t>LGHVNT86H44E884A</t>
  </si>
  <si>
    <t>'+393349925956</t>
  </si>
  <si>
    <t>valentina.alghisi1986@gmail.com</t>
  </si>
  <si>
    <t>Laurea specialistica in Economia - 2012</t>
  </si>
  <si>
    <t>3 Ottobre 2024 alle 16:12</t>
  </si>
  <si>
    <t>dottore Odontoiatra</t>
  </si>
  <si>
    <t>CNTGLI77B10B157V</t>
  </si>
  <si>
    <t>'+393425218348</t>
  </si>
  <si>
    <t>Laurea in Odontoiatria e protesi dentaria- Specializzazione in Chirurgia Orale e Ortognatodonzia - Dottorato di Ricerca</t>
  </si>
  <si>
    <t>3 Ottobre 2024 alle 15:21</t>
  </si>
  <si>
    <t>Maria elena</t>
  </si>
  <si>
    <t>Chrmln74a69b157r</t>
  </si>
  <si>
    <t>mariaelenachiari@gmail.com</t>
  </si>
  <si>
    <t>Laurea in medicina e chirurgia, specializzazione in radiologia</t>
  </si>
  <si>
    <t>30 Settembre 2024 alle 14:04</t>
  </si>
  <si>
    <t>Laurea Magistrale in INGEGNERIA INFORMATICA</t>
  </si>
  <si>
    <t>Master II livello in ODONTOIATRIA PEDIATRICA</t>
  </si>
  <si>
    <t>Scuola di Specializzazione in RADIODIAGNOSTICA</t>
  </si>
  <si>
    <t>Rebay</t>
  </si>
  <si>
    <t>RBYSFN62D17F205M</t>
  </si>
  <si>
    <t>'+393334298148</t>
  </si>
  <si>
    <t>stefano.rebay@unibs.it</t>
  </si>
  <si>
    <t>10 Ottobre 2024 alle 12:13</t>
  </si>
  <si>
    <t>Guerra</t>
  </si>
  <si>
    <t>GRRFNC53S15L750N</t>
  </si>
  <si>
    <t>francesco.guerra@unibs.it</t>
  </si>
  <si>
    <t>Università di Brescia Ingegneria</t>
  </si>
  <si>
    <t>Laurea in Ingegneria Meccanica Politecnico Milano 26 luglio 1977</t>
  </si>
  <si>
    <t>Grazie per aver aperto l'iscrizione ai docenti dell'Università di Brescia, appena in tempo utile</t>
  </si>
  <si>
    <t>10 Ottobre 2024 alle 11:54</t>
  </si>
  <si>
    <t>ZANOLA</t>
  </si>
  <si>
    <t>ANNALISA</t>
  </si>
  <si>
    <t>ZNLNLS66L63B157G</t>
  </si>
  <si>
    <t>'+390302988247</t>
  </si>
  <si>
    <t>annalisa.zanola@unibs.it</t>
  </si>
  <si>
    <t>https://it.linkedin.com/in/annalisa-zanola-87a53818</t>
  </si>
  <si>
    <t>10 Ottobre 2024 alle 9:39</t>
  </si>
  <si>
    <t>Bondoni</t>
  </si>
  <si>
    <t>Corinna</t>
  </si>
  <si>
    <t>BNDCNN81C56B157T</t>
  </si>
  <si>
    <t>'+393284791808</t>
  </si>
  <si>
    <t>corinna.bondoni@unibs.it</t>
  </si>
  <si>
    <t>amministrativo</t>
  </si>
  <si>
    <t>Laurea in Economia e Gestione dell'Informazione e della Comunicazione</t>
  </si>
  <si>
    <t>Dipendente UNIBS</t>
  </si>
  <si>
    <t>10 Ottobre 2024 alle 9:16</t>
  </si>
  <si>
    <t>peronaglio</t>
  </si>
  <si>
    <t>silviA</t>
  </si>
  <si>
    <t>prnslv69p48b157a</t>
  </si>
  <si>
    <t>'+393387423633</t>
  </si>
  <si>
    <t>s.peronaglio@gmail.com</t>
  </si>
  <si>
    <t>PADERNO FRANCIACORTA</t>
  </si>
  <si>
    <t>laurea in Economia e Commercio 1993</t>
  </si>
  <si>
    <t>10 Ottobre 2024 alle 9:15</t>
  </si>
  <si>
    <t>Coccoli</t>
  </si>
  <si>
    <t>Carlotta</t>
  </si>
  <si>
    <t>CCCCLT71R46B157B</t>
  </si>
  <si>
    <t>carlotta.coccoli@unibs.it</t>
  </si>
  <si>
    <t>https://www.linkedin.com/in/carlotta-coccoli-1428b336/</t>
  </si>
  <si>
    <t>Professoressa Associata</t>
  </si>
  <si>
    <t>Laurea v.o. in Architettura (8/7/1996), dottorato di ricerca in Conservazione dei Beni Architettonici (2009), Scuola di Specializzazione in Restauro dei Monumenti (2002), tutti presso il Politecnico di Milano</t>
  </si>
  <si>
    <t>9 Ottobre 2024 alle 19:07</t>
  </si>
  <si>
    <t>Sig</t>
  </si>
  <si>
    <t>Ronchi</t>
  </si>
  <si>
    <t>Bruno</t>
  </si>
  <si>
    <t>RNCBRN77A30L781J</t>
  </si>
  <si>
    <t>'+393288216745</t>
  </si>
  <si>
    <t>ing.ronchi@gmail.com</t>
  </si>
  <si>
    <t>Castiglione d/s (mn)</t>
  </si>
  <si>
    <t>Laurea v.o. In Ingegneria Elettronica conseguita il 17/12/2003</t>
  </si>
  <si>
    <t>9 Ottobre 2024 alle 18:04</t>
  </si>
  <si>
    <t>De Col</t>
  </si>
  <si>
    <t>Katia</t>
  </si>
  <si>
    <t>DCLKTA70T45A757U</t>
  </si>
  <si>
    <t>'+393280055909</t>
  </si>
  <si>
    <t>katia.decol@unibs.it</t>
  </si>
  <si>
    <t>via del Piave, 79</t>
  </si>
  <si>
    <t>impiegata</t>
  </si>
  <si>
    <t>Laurea Magistrale Vecchio Ordinamento Scienze della Formazione - Università degli Studi di Verona 03/06/2008</t>
  </si>
  <si>
    <t>9 Ottobre 2024 alle 17:47</t>
  </si>
  <si>
    <t>Mirella</t>
  </si>
  <si>
    <t>BLLMLL67M61B157H</t>
  </si>
  <si>
    <t>mirella.belleri@unibs.it</t>
  </si>
  <si>
    <t>Laurea di primo livello in Tecniche di Laboratorio Biomedico - Novembre 2011</t>
  </si>
  <si>
    <t>9 Ottobre 2024 alle 17:29</t>
  </si>
  <si>
    <t>Landoni</t>
  </si>
  <si>
    <t>LNDMTT82R24F205C</t>
  </si>
  <si>
    <t>matteo.landoni@unibs.it</t>
  </si>
  <si>
    <t>Ricercatore T.D. Tipo B</t>
  </si>
  <si>
    <t>9 Ottobre 2024 alle 17:26</t>
  </si>
  <si>
    <t>Dalessandri</t>
  </si>
  <si>
    <t>Domenico</t>
  </si>
  <si>
    <t>DLADNC79E22A089X</t>
  </si>
  <si>
    <t>'+393409252856</t>
  </si>
  <si>
    <t>domenico.dalessandri@unibs.it</t>
  </si>
  <si>
    <t>Gorle</t>
  </si>
  <si>
    <t>9 Ottobre 2024 alle 16:33</t>
  </si>
  <si>
    <t>Saetti</t>
  </si>
  <si>
    <t>STTLSN77R16B157W</t>
  </si>
  <si>
    <t>'+393391115006</t>
  </si>
  <si>
    <t>alessandro.saetti@unibs.it</t>
  </si>
  <si>
    <t>9 Ottobre 2024 alle 16:32</t>
  </si>
  <si>
    <t>Paletti</t>
  </si>
  <si>
    <t>PLTFRC76B62B157W</t>
  </si>
  <si>
    <t>federica.paletti@unibs.it</t>
  </si>
  <si>
    <t>Ricercatrice RTDB presso Dipartimento di Giurisprudenza (Unibs)</t>
  </si>
  <si>
    <t>Laurea in Giurisprudenza conseguita il 16.10.2000, valutazione 110/110 con lode; Dottorato di ricerca in Diritto romano e cultura giuridica europea, Università degli Studi di Pavia, ciclo XXIV</t>
  </si>
  <si>
    <t>9 Ottobre 2024 alle 16:21</t>
  </si>
  <si>
    <t>Odicino</t>
  </si>
  <si>
    <t>DCNFNC57R02D969K</t>
  </si>
  <si>
    <t>'+390309919667</t>
  </si>
  <si>
    <t>franco.odicino@unibs.it</t>
  </si>
  <si>
    <t>Professore Ordinario</t>
  </si>
  <si>
    <t>Laurea in Medicina e Chirurgia 13/04/1983, Dottorato in Ginecologia Oncologica 1996</t>
  </si>
  <si>
    <t>9 Ottobre 2024 alle 14:01</t>
  </si>
  <si>
    <t>Olivia</t>
  </si>
  <si>
    <t>LNGLVO69H57F158D</t>
  </si>
  <si>
    <t>'+393497266124</t>
  </si>
  <si>
    <t>olivia.longo@unibs.it</t>
  </si>
  <si>
    <t>Via Giuseppe Verdi 27</t>
  </si>
  <si>
    <t>professore associato</t>
  </si>
  <si>
    <t>Dottorato di Ricerca in Progettazione architettonica</t>
  </si>
  <si>
    <t>9 Ottobre 2024 alle 13:52</t>
  </si>
  <si>
    <t>Morandi</t>
  </si>
  <si>
    <t>mrnvnt85t58b157s</t>
  </si>
  <si>
    <t>'+393494196432</t>
  </si>
  <si>
    <t>happyberry85@gmail.com</t>
  </si>
  <si>
    <t>RTD-A</t>
  </si>
  <si>
    <t>Dottorato conseguito nel 2017</t>
  </si>
  <si>
    <t>9 Ottobre 2024 alle 13:46</t>
  </si>
  <si>
    <t>Iora</t>
  </si>
  <si>
    <t>RIOPGL75M30G149N</t>
  </si>
  <si>
    <t>'+390303715570</t>
  </si>
  <si>
    <t>paolo.iora@unibs.it</t>
  </si>
  <si>
    <t>Via Branze 38</t>
  </si>
  <si>
    <t>Dottorato im Energetica conseguito presso il Politecnico di Milano nel giugno 2005</t>
  </si>
  <si>
    <t>9 Ottobre 2024 alle 13:09</t>
  </si>
  <si>
    <t>Radeghieri</t>
  </si>
  <si>
    <t>RDGNLS76H41B819R</t>
  </si>
  <si>
    <t>'+393396868927</t>
  </si>
  <si>
    <t>annalisa.radeghieri@unibs.it</t>
  </si>
  <si>
    <t>linkedin.com/in/annalisa-radeghieri-ab19777</t>
  </si>
  <si>
    <t>Professore associato in Scienze e tecniche di medicina di laboratorio</t>
  </si>
  <si>
    <t>Dottorato in Biocatalisi applicata e microbiologia industriale</t>
  </si>
  <si>
    <t>9 Ottobre 2024 alle 12:19</t>
  </si>
  <si>
    <t>motta</t>
  </si>
  <si>
    <t>mttchr71s41g149w</t>
  </si>
  <si>
    <t>chiara.motta@unibs.it</t>
  </si>
  <si>
    <t>orzinuovi</t>
  </si>
  <si>
    <t>laurea vecchio ordinamento economia e commercio</t>
  </si>
  <si>
    <t>9 Ottobre 2024 alle 12:09</t>
  </si>
  <si>
    <t>SRPMRA79A11B157Z</t>
  </si>
  <si>
    <t>'+390303715554</t>
  </si>
  <si>
    <t>mauro.serpelloni@unibs.it</t>
  </si>
  <si>
    <t>Borgosatollo (BS)</t>
  </si>
  <si>
    <t>9 Ottobre 2024 alle 12:00</t>
  </si>
  <si>
    <t>Filippi</t>
  </si>
  <si>
    <t>FLPCRL64H19C743G</t>
  </si>
  <si>
    <t>carlo.filippi@unibs.it</t>
  </si>
  <si>
    <t>https://www.linkedin.com/in/carlo-filippi-b8bb4737/</t>
  </si>
  <si>
    <t>Dipartimento di Economia e Management - Università degli Studi di Brescia</t>
  </si>
  <si>
    <t>PADOVA</t>
  </si>
  <si>
    <t>Laurea in Scienze Statistiche, Economiche e Attuariali conseguita presso l'Università degli Studi di Padova il 25/11/1988</t>
  </si>
  <si>
    <t>9 Ottobre 2024 alle 11:41</t>
  </si>
  <si>
    <t>Ritelli</t>
  </si>
  <si>
    <t>Marco Giuseppe</t>
  </si>
  <si>
    <t>RTLMCG73T29B220Q</t>
  </si>
  <si>
    <t>'+393296025334</t>
  </si>
  <si>
    <t>marco.ritelli@unibs.it</t>
  </si>
  <si>
    <t>Specializzazione in Genetica medica</t>
  </si>
  <si>
    <t>9 Ottobre 2024 alle 11:36</t>
  </si>
  <si>
    <t>Patelli</t>
  </si>
  <si>
    <t>PTLSFN00R04E333F</t>
  </si>
  <si>
    <t>'+393921324978</t>
  </si>
  <si>
    <t>stefano.patelli@luvis.it</t>
  </si>
  <si>
    <t>Laurea in scienze motorie</t>
  </si>
  <si>
    <t>9 Ottobre 2024 alle 11:22</t>
  </si>
  <si>
    <t>FNZDRA64A25G149W</t>
  </si>
  <si>
    <t>dario.finazzi@unibs.it</t>
  </si>
  <si>
    <t>Univeristà Studi Brescia</t>
  </si>
  <si>
    <t>Specializzazione in Chimica e Biochimica Clinica</t>
  </si>
  <si>
    <t>9 Ottobre 2024 alle 11:18</t>
  </si>
  <si>
    <t>PRof.</t>
  </si>
  <si>
    <t>Vaccari</t>
  </si>
  <si>
    <t>Mentore</t>
  </si>
  <si>
    <t>VCCMTR74R29F471D</t>
  </si>
  <si>
    <t>'+393284740065</t>
  </si>
  <si>
    <t>mentore.vaccari@unibs.it</t>
  </si>
  <si>
    <t>Sirmione</t>
  </si>
  <si>
    <t>Dottorato di Ricerca in Ingegneria sanitaria, 2004, Politecnico di Milano</t>
  </si>
  <si>
    <t>9 Ottobre 2024 alle 11:04</t>
  </si>
  <si>
    <t>Visioli</t>
  </si>
  <si>
    <t>VSLNTN70M21G337M</t>
  </si>
  <si>
    <t>'+393488135818</t>
  </si>
  <si>
    <t>antonio.visioli@unibs.it</t>
  </si>
  <si>
    <t>https://www.linkedin.com/in/antonio-visioli-7690ba2b/</t>
  </si>
  <si>
    <t>Dottorato di Ricerca</t>
  </si>
  <si>
    <t>9 Ottobre 2024 alle 10:58</t>
  </si>
  <si>
    <t>Motta</t>
  </si>
  <si>
    <t>Paolo Carlo</t>
  </si>
  <si>
    <t>MTTPCR64D17F205Z</t>
  </si>
  <si>
    <t>paolo.motta@unibs.it</t>
  </si>
  <si>
    <t>Laurea Magistrale in Scienze infermieristiche e ostetriche, 2006 Università degli Studi di Milano</t>
  </si>
  <si>
    <t>9 Ottobre 2024 alle 10:54</t>
  </si>
  <si>
    <t>Caliendo</t>
  </si>
  <si>
    <t>CLNMRA68A12B157F</t>
  </si>
  <si>
    <t>'+393423865200</t>
  </si>
  <si>
    <t>maurocaliendo@gmail.com</t>
  </si>
  <si>
    <t>IMPIEGATO A TEMPO INDETERMINARTO PRESSO l'UNIVERSITA' DEGLI STUDI DI BRESCIA, U.O.C. ECONOMATO E PATRIMONIO</t>
  </si>
  <si>
    <t>Università degl Studi di Brescia</t>
  </si>
  <si>
    <t>laurea in Giurisprudenza vecchio ordinamento conseguita nell'a.a. 1995/96</t>
  </si>
  <si>
    <t>9 Ottobre 2024 alle 10:53</t>
  </si>
  <si>
    <t>benazzoli</t>
  </si>
  <si>
    <t>laura</t>
  </si>
  <si>
    <t>bnzlea60l63b157g</t>
  </si>
  <si>
    <t>'+390302988778</t>
  </si>
  <si>
    <t>laura.benazzoli@unibs.it</t>
  </si>
  <si>
    <t>mobilità e promozione internazionale</t>
  </si>
  <si>
    <t>laurea in Economia e commercio 17 luglio 1990</t>
  </si>
  <si>
    <t>9 Ottobre 2024 alle 10:52</t>
  </si>
  <si>
    <t>Prof. Associato</t>
  </si>
  <si>
    <t>Cassano</t>
  </si>
  <si>
    <t>Raffaella</t>
  </si>
  <si>
    <t>CSSRFL77L62F704Q</t>
  </si>
  <si>
    <t>'+393471009537</t>
  </si>
  <si>
    <t>raffaella.cassano@unibs.it</t>
  </si>
  <si>
    <t>Dottore di ricerca in Economia delle Istituzioni e dei Sistemi Aziendali, consentiti il 16/04/2006, presto l'università cattolica del sacro Cuore di Milano</t>
  </si>
  <si>
    <t>9 Ottobre 2024 alle 10:28</t>
  </si>
  <si>
    <t>Ghidinelli</t>
  </si>
  <si>
    <t>GHDSLV95R60D940M</t>
  </si>
  <si>
    <t>silvia.ghidinelli@unibs.it</t>
  </si>
  <si>
    <t>Laurea triennale in Scienze Linguistiche, Esperto linguista per le relazioni internazionali - Università Cattolica del Sacro Cuore di Brescia - dicembre 2020</t>
  </si>
  <si>
    <t>9 Ottobre 2024 alle 10:23</t>
  </si>
  <si>
    <t>DOTT</t>
  </si>
  <si>
    <t>BONETTI</t>
  </si>
  <si>
    <t>ALESSIO</t>
  </si>
  <si>
    <t>BNTLSS71B03B157M</t>
  </si>
  <si>
    <t>'+390302988204</t>
  </si>
  <si>
    <t>alessio.bonetti@unibs.it</t>
  </si>
  <si>
    <t>PERSONALE TECNICO AMMINISTRATIVO</t>
  </si>
  <si>
    <t>UNIVERSITA' DEGLI STUDI DI BRESCIA</t>
  </si>
  <si>
    <t>LAUREA</t>
  </si>
  <si>
    <t>9 Ottobre 2024 alle 10:18</t>
  </si>
  <si>
    <t>Grossi</t>
  </si>
  <si>
    <t>GRSGNN67L63G337Z</t>
  </si>
  <si>
    <t>'+390303711294</t>
  </si>
  <si>
    <t>giovanna.grossi@unibs.it</t>
  </si>
  <si>
    <t>Dottorato in ingegneria idraulica, novembre 1996</t>
  </si>
  <si>
    <t>9 Ottobre 2024 alle 10:15</t>
  </si>
  <si>
    <t>Carini</t>
  </si>
  <si>
    <t>CRNCST80H22E526W</t>
  </si>
  <si>
    <t>'+393477886840</t>
  </si>
  <si>
    <t>cristian.carini@unibs.it</t>
  </si>
  <si>
    <t>Contrada Santa Chiara, 50</t>
  </si>
  <si>
    <t>Professore Ordinario di Economia Aziendale</t>
  </si>
  <si>
    <t>Dottorato di ricerca</t>
  </si>
  <si>
    <t>9 Ottobre 2024 alle 10:06</t>
  </si>
  <si>
    <t>Bellitti</t>
  </si>
  <si>
    <t>BLLPLA90C22B157M</t>
  </si>
  <si>
    <t>'+393335226660</t>
  </si>
  <si>
    <t>paolo.bellitti@gmail.com</t>
  </si>
  <si>
    <t>Ricercatore RTDA</t>
  </si>
  <si>
    <t>9 Ottobre 2024 alle 9:56</t>
  </si>
  <si>
    <t>Professore associato di Patologia Generale</t>
  </si>
  <si>
    <t>Giacomini</t>
  </si>
  <si>
    <t>GCMRNN82A55D284U</t>
  </si>
  <si>
    <t>'+393494628844</t>
  </si>
  <si>
    <t>arianna.giacomini@unibs.it</t>
  </si>
  <si>
    <t>Idro</t>
  </si>
  <si>
    <t>Dottorato in Biotecnologie Applicate alle Scienze Mediche conseguito il 19/12/2009 presso l'Università degli Studi di Milano</t>
  </si>
  <si>
    <t>9 Ottobre 2024 alle 9:49</t>
  </si>
  <si>
    <t>Bardellini</t>
  </si>
  <si>
    <t>BRDLNE74M70B157Z</t>
  </si>
  <si>
    <t>elena.bardellini@gmail.com</t>
  </si>
  <si>
    <t>Laurea in Odontoiatria e Protesi Dentaria</t>
  </si>
  <si>
    <t>9 Ottobre 2024 alle 9:45</t>
  </si>
  <si>
    <t>Tonini</t>
  </si>
  <si>
    <t>TNNLRD74A19C312Y</t>
  </si>
  <si>
    <t>'+393476579759</t>
  </si>
  <si>
    <t>pescidellinconscio@yahoo.it</t>
  </si>
  <si>
    <t>Lonato del Garda</t>
  </si>
  <si>
    <t>Laurea in Lettere</t>
  </si>
  <si>
    <t>9 Ottobre 2024 alle 9:44</t>
  </si>
  <si>
    <t>Pilotti</t>
  </si>
  <si>
    <t>PLTMRC63M20F205I</t>
  </si>
  <si>
    <t>'+393297436525</t>
  </si>
  <si>
    <t>marco.pilotti@unibs.it</t>
  </si>
  <si>
    <t>Professore ordinario di idraulica</t>
  </si>
  <si>
    <t>Sulzano</t>
  </si>
  <si>
    <t>Dottorato di Ricerca in Ingegneria Idraulica</t>
  </si>
  <si>
    <t>9 Ottobre 2024 alle 9:28</t>
  </si>
  <si>
    <t>ARCHITETTO</t>
  </si>
  <si>
    <t>MAGGI</t>
  </si>
  <si>
    <t>PAOLA MARIA</t>
  </si>
  <si>
    <t>MGGPMR68L65D150O</t>
  </si>
  <si>
    <t>'+393203122264</t>
  </si>
  <si>
    <t>maggi.paola@libero.it</t>
  </si>
  <si>
    <t>https://www.linkedin.com/in/paola-maria-maggi-7147152a3/</t>
  </si>
  <si>
    <t>FUNZIONARIO TECNICO UOC PROGETTAZIONE DI ATENEO E GESTIONE EDIFICI</t>
  </si>
  <si>
    <t>CREMONA</t>
  </si>
  <si>
    <t>LAUREA MAGISTRALE - ANNO 1995</t>
  </si>
  <si>
    <t>9 Ottobre 2024 alle 9:26</t>
  </si>
  <si>
    <t>dr.ssa</t>
  </si>
  <si>
    <t>Marchina</t>
  </si>
  <si>
    <t>MRCLNR63T64B157C</t>
  </si>
  <si>
    <t>'+393358372868</t>
  </si>
  <si>
    <t>eleonora.marchina@unibs.it</t>
  </si>
  <si>
    <t>RU</t>
  </si>
  <si>
    <t>LAUREA CICLO UNICO MEDICINA E CHIRURGIA 1990</t>
  </si>
  <si>
    <t>9 Ottobre 2024 alle 9:25</t>
  </si>
  <si>
    <t>Luterotti</t>
  </si>
  <si>
    <t>LTRFBA61D03B157L</t>
  </si>
  <si>
    <t>'+393299738134</t>
  </si>
  <si>
    <t>fabio.luterotti@outlook.com</t>
  </si>
  <si>
    <t>https://www.linkedin.com/in/fabioluterotti/</t>
  </si>
  <si>
    <t>Laurea V.O. in Matematica 05/07/1984</t>
  </si>
  <si>
    <t>9 Ottobre 2024 alle 9:21</t>
  </si>
  <si>
    <t>Daniela Letizia</t>
  </si>
  <si>
    <t>BRTDLL65R68B157V</t>
  </si>
  <si>
    <t>'+393666692574</t>
  </si>
  <si>
    <t>daniela.uberti@unibs.it</t>
  </si>
  <si>
    <t>www.linkedin.com/in/daniela-uberti-17951531</t>
  </si>
  <si>
    <t>Laurea in Chimica e Tecnologia Farmaceutica nel 1993, Dottorato in Neuroscienze nel 1998</t>
  </si>
  <si>
    <t>Lossi</t>
  </si>
  <si>
    <t>LSSLSN99H58B157I</t>
  </si>
  <si>
    <t>alessandra.lossi@yahoo.it</t>
  </si>
  <si>
    <t>PTA</t>
  </si>
  <si>
    <t>Caino (BS)</t>
  </si>
  <si>
    <t>Laurea (primo livello)</t>
  </si>
  <si>
    <t>9 Ottobre 2024 alle 9:18</t>
  </si>
  <si>
    <t>PUNZOLO</t>
  </si>
  <si>
    <t>PNZPLA77B64B157Q</t>
  </si>
  <si>
    <t>'+393382373200</t>
  </si>
  <si>
    <t>paola.punzolo@unibs.it</t>
  </si>
  <si>
    <t>impiegata amministrativa</t>
  </si>
  <si>
    <t>Università degli Sudi di Brescia</t>
  </si>
  <si>
    <t>Laurea Triennale in Economia Aziendale L-18</t>
  </si>
  <si>
    <t>SERINA</t>
  </si>
  <si>
    <t>Silvana</t>
  </si>
  <si>
    <t>SRNSVN67H55B157O</t>
  </si>
  <si>
    <t>'+393404610527</t>
  </si>
  <si>
    <t>silvana_serina@hotmail.it</t>
  </si>
  <si>
    <t>diploma di scuola secondaria</t>
  </si>
  <si>
    <t>9 Ottobre 2024 alle 9:13</t>
  </si>
  <si>
    <t>Mesa</t>
  </si>
  <si>
    <t>Lilia</t>
  </si>
  <si>
    <t>Mselli76e64b157i</t>
  </si>
  <si>
    <t>'+393316136119</t>
  </si>
  <si>
    <t>lilia.mesa76@gmail.com</t>
  </si>
  <si>
    <t>Elaboratore dati</t>
  </si>
  <si>
    <t>Università degli studi di brescia</t>
  </si>
  <si>
    <t>Diploma</t>
  </si>
  <si>
    <t>CIVINI</t>
  </si>
  <si>
    <t>MARA</t>
  </si>
  <si>
    <t>CVNMRA74D62B157Y</t>
  </si>
  <si>
    <t>'+393474210675</t>
  </si>
  <si>
    <t>maracivini74@gmail.com</t>
  </si>
  <si>
    <t>Impiegata tecnico amministrativa</t>
  </si>
  <si>
    <t>Laurea vecchio ordinamento</t>
  </si>
  <si>
    <t>9 Ottobre 2024 alle 9:11</t>
  </si>
  <si>
    <t>Rula</t>
  </si>
  <si>
    <t>Anisa</t>
  </si>
  <si>
    <t>Rlunsa84p45z100z</t>
  </si>
  <si>
    <t>'+393202591995</t>
  </si>
  <si>
    <t>anisa.rula@unibs.it</t>
  </si>
  <si>
    <t>LM in Informatica, Dottorato in Informatica, Informatica, 27/07/2014</t>
  </si>
  <si>
    <t>9 Ottobre 2024 alle 9:09</t>
  </si>
  <si>
    <t>Rinaldi</t>
  </si>
  <si>
    <t>RNLSFN82B17I628W</t>
  </si>
  <si>
    <t>'+390303715913</t>
  </si>
  <si>
    <t>stefano.rinaldi@unibs.it</t>
  </si>
  <si>
    <t>https://www.linkedin.com/in/stefano-rinaldi82/</t>
  </si>
  <si>
    <t>Grumello del Monte</t>
  </si>
  <si>
    <t>Professoressa</t>
  </si>
  <si>
    <t>Anita</t>
  </si>
  <si>
    <t>PSTNTA80R52B157S</t>
  </si>
  <si>
    <t>'+393383465042</t>
  </si>
  <si>
    <t>anita1980@hotmail.it</t>
  </si>
  <si>
    <t>https://www.linkedin.com/in/anita-pasotti-533024239/</t>
  </si>
  <si>
    <t>Dottorato in Matematica Pure ed Applicata, Università degli Studi di Milano-Bicocca, 2006.</t>
  </si>
  <si>
    <t>9 Ottobre 2024 alle 9:08</t>
  </si>
  <si>
    <t>VNTSFN70T66H598Z</t>
  </si>
  <si>
    <t>'+390302988368</t>
  </si>
  <si>
    <t>stefania.venturi@unibs.it</t>
  </si>
  <si>
    <t>Laurea in Economia e Commercio V.O. conseguita il 26/03/1999</t>
  </si>
  <si>
    <t>9 Ottobre 2024 alle 9:07</t>
  </si>
  <si>
    <t>Barricelli</t>
  </si>
  <si>
    <t>Barbara Rita</t>
  </si>
  <si>
    <t>BRRBBR77M71F132B</t>
  </si>
  <si>
    <t>'+39333328801</t>
  </si>
  <si>
    <t>barbararita.barricelli@gmail.com</t>
  </si>
  <si>
    <t>https://www.linkedin.com/in/barricelli/</t>
  </si>
  <si>
    <t>Pozzuolo Martesana</t>
  </si>
  <si>
    <t>9 Ottobre 2024 alle 9:06</t>
  </si>
  <si>
    <t>Laurea in ECONOMIA E COMMERCIO</t>
  </si>
  <si>
    <t>Laurea in TECNICHE  DI LABORATORIO BIOMEDICO</t>
  </si>
  <si>
    <t xml:space="preserve">Laurea in Ingegneria Meccanica  </t>
  </si>
  <si>
    <t>Scuola di specializzazione in Genetica medica</t>
  </si>
  <si>
    <t>Laurea in SCIENZE MOTORIE</t>
  </si>
  <si>
    <t>Laurea in INGEGNERIA CIVILE</t>
  </si>
  <si>
    <t>PTA Unibs</t>
  </si>
  <si>
    <t xml:space="preserve">Professore associato Unibs  </t>
  </si>
  <si>
    <t xml:space="preserve">Professore ordinario Unibs </t>
  </si>
  <si>
    <t xml:space="preserve">Professore associato Unibs </t>
  </si>
  <si>
    <t>Ricercatore Unibs</t>
  </si>
  <si>
    <t>Professore associato Unibs</t>
  </si>
  <si>
    <t>Laurea in ODONTOIATRIA E PROTESI DENTARIA</t>
  </si>
  <si>
    <t>Scuola di Specializzazione in BIOCHIMICA E CHIMICA CLINICA</t>
  </si>
  <si>
    <t xml:space="preserve">Laurea in GIURISPRUDENZA </t>
  </si>
  <si>
    <t>Laurea Specialistica in INGEGNERIA ELETTRONICA PER  L' AUTOMAZIONE</t>
  </si>
  <si>
    <t>Sorlini</t>
  </si>
  <si>
    <t>Sabrina</t>
  </si>
  <si>
    <t>SRLSRN71P62B393Y</t>
  </si>
  <si>
    <t>'+393494124310</t>
  </si>
  <si>
    <t>sabrina.sorlini@unibs.it</t>
  </si>
  <si>
    <t>VIA VALLE BRESCIANA 10</t>
  </si>
  <si>
    <t>PROFESSORE ORDINARIO</t>
  </si>
  <si>
    <t>UNIVERSITA' di BRESCIA</t>
  </si>
  <si>
    <t>Laurea in Ingegneria Civile orientamento Ambiente e Territorio (UNIBS 27/03/1997), Dottorato di Ricerca in Ingegneria Sanitaria Ambientale (POLIMI)</t>
  </si>
  <si>
    <t>10 Ottobre 2024 alle 22:10</t>
  </si>
  <si>
    <t>Laurea in INGEGNERIA ELETTRONICA</t>
  </si>
  <si>
    <t>Sofia</t>
  </si>
  <si>
    <t>BNCSFO98P51D284V</t>
  </si>
  <si>
    <t>'+393477421678</t>
  </si>
  <si>
    <t>sofia98bianchetti@gmail.com</t>
  </si>
  <si>
    <t>https://www.linkedin.com/in/sofia-bianchetti-b1021b227?utm_source=share&amp;utm_campaign=share_via&amp;utm_content=profile&amp;utm_medium=ios_app</t>
  </si>
  <si>
    <t>Laurea magistrale in Ingegneria Gestionale indirizzo Economico Organizzativo</t>
  </si>
  <si>
    <t>19 Ottobre 2024 alle 9:10</t>
  </si>
  <si>
    <t>Dott.ssa Ing.</t>
  </si>
  <si>
    <t>Mastrolembo Ventura</t>
  </si>
  <si>
    <t>MSTSLV87D55B157L</t>
  </si>
  <si>
    <t>silvia.mastrolemboventura@unibs.it</t>
  </si>
  <si>
    <t>Ricercatrice universitaria a t.d. (art. 24 c.3-b l. 240/10)</t>
  </si>
  <si>
    <t>Laurea magistrale a ciclo unico in Ingegneria Edile-Architettura, 18 febbraio 2013</t>
  </si>
  <si>
    <t>Dottorato in Architettura, ingegneria delle costruzioni e ambiente costruito conseguito presso il Politecnico di Milano a marzo 2019.</t>
  </si>
  <si>
    <t>15 Ottobre 2024 alle 10:08</t>
  </si>
  <si>
    <t>Fra</t>
  </si>
  <si>
    <t>FRANMR64D64Z133Z</t>
  </si>
  <si>
    <t>'+390303717468</t>
  </si>
  <si>
    <t>annamaria.fra@unibs.it</t>
  </si>
  <si>
    <t>Specializzazione in Applicazioni Biotecnologiche</t>
  </si>
  <si>
    <t>14 Ottobre 2024 alle 15:44</t>
  </si>
  <si>
    <t>Ricercatrice t.d. Unibs</t>
  </si>
  <si>
    <t>Laurea a ciclo unico in INGEGNERIA EDILE-ARCHITETTURA</t>
  </si>
  <si>
    <t>Coniglio</t>
  </si>
  <si>
    <t>CNGRNN57S50G273Q</t>
  </si>
  <si>
    <t>1957rabbit10@gmail.com</t>
  </si>
  <si>
    <t>Laurea, Specializzazione, Medicina e Chirurgia1982</t>
  </si>
  <si>
    <t>24 Ottobre 2024 alle 20:29</t>
  </si>
  <si>
    <t>Pccdvd88b02f471b</t>
  </si>
  <si>
    <t>'+393336964712</t>
  </si>
  <si>
    <t>davide.picchi@unibs.it</t>
  </si>
  <si>
    <t>https://www.linkedin.com/in/davide-picchi-a88a1583?utm_source=share&amp;utm_campaign=share_via&amp;utm_content=profile&amp;utm_medium=ios_app</t>
  </si>
  <si>
    <t>24 Ottobre 2024 alle 15:59</t>
  </si>
  <si>
    <t>Bonfà</t>
  </si>
  <si>
    <t>BNFLCU67H22F205B</t>
  </si>
  <si>
    <t>'+390302988268</t>
  </si>
  <si>
    <t>luca.bonfa@unibs.it</t>
  </si>
  <si>
    <t>Laurea in Filosofia</t>
  </si>
  <si>
    <t>24 Ottobre 2024 alle 14:07</t>
  </si>
  <si>
    <t>VLRLSN59D60B157U</t>
  </si>
  <si>
    <t>'+390303717504</t>
  </si>
  <si>
    <t>alessandra.valerio@unibs.it</t>
  </si>
  <si>
    <t>professoressa ordinaria di Farmacologia</t>
  </si>
  <si>
    <t>Laurea in Medicina e Chirurgia, UNIBS, 17/03/1986; Specializzazione in Neurologia, UNIVR, luglio 1990</t>
  </si>
  <si>
    <t>24 Ottobre 2024 alle 11:16</t>
  </si>
  <si>
    <t>Gianoncelli</t>
  </si>
  <si>
    <t>GNNLSN79C60B157P</t>
  </si>
  <si>
    <t>'+390303717398</t>
  </si>
  <si>
    <t>alessandra.gianoncelli@unibs.it</t>
  </si>
  <si>
    <t>Concesio</t>
  </si>
  <si>
    <t>Dottorato di Ricerca 05/03/2010</t>
  </si>
  <si>
    <t>24 Ottobre 2024 alle 10:14</t>
  </si>
  <si>
    <t>Tonelli</t>
  </si>
  <si>
    <t>TNLFBA03D01B157S</t>
  </si>
  <si>
    <t>'+393442812856</t>
  </si>
  <si>
    <t>fabiotonelli66@gmail.com</t>
  </si>
  <si>
    <t>Studente Laurea Triennale ingegneria meccanica e dei materiali</t>
  </si>
  <si>
    <t>24 Ottobre 2024 alle 10:03</t>
  </si>
  <si>
    <t>La Via</t>
  </si>
  <si>
    <t>LVALCU76M15B157K</t>
  </si>
  <si>
    <t>'+393937094969</t>
  </si>
  <si>
    <t>luca.lavia@unibs.it</t>
  </si>
  <si>
    <t>Tecnico di laboratorio</t>
  </si>
  <si>
    <t>Università di Brescia</t>
  </si>
  <si>
    <t>Laurea magistrale in Biotecnologie mediche presso Università degli Studi di Brescia in data 06/03/2015; PhD programmes - Molecular Genetics, Biotechnologies and Experimental Medicine University of Brescia- XXXV cycle A.Y, Conseguimento titolo di Dottore di Ricerca in data 19/05/2023</t>
  </si>
  <si>
    <t>24 Ottobre 2024 alle 9:28</t>
  </si>
  <si>
    <t>Abate</t>
  </si>
  <si>
    <t>BTAGLI89M68F471A</t>
  </si>
  <si>
    <t>'+393332441565</t>
  </si>
  <si>
    <t>giulia.abate@unibs.it</t>
  </si>
  <si>
    <t>Dottorato di Ricerca, Laureata in Biotecnologie Mediche</t>
  </si>
  <si>
    <t>24 Ottobre 2024 alle 9:13</t>
  </si>
  <si>
    <t>Sartore</t>
  </si>
  <si>
    <t>Luciana</t>
  </si>
  <si>
    <t>SRTLCN61A42E912Z</t>
  </si>
  <si>
    <t>'+393389964887</t>
  </si>
  <si>
    <t>luciana.sartore@unibs.it</t>
  </si>
  <si>
    <t>Marano Vicentino (VI)</t>
  </si>
  <si>
    <t>Laurea e dottorato (24/11/87)</t>
  </si>
  <si>
    <t>23 Ottobre 2024 alle 12:19</t>
  </si>
  <si>
    <t>Foccoli</t>
  </si>
  <si>
    <t>FCCDVD01R19D940T</t>
  </si>
  <si>
    <t>'+393388516524</t>
  </si>
  <si>
    <t>davidefox01@gmail.com</t>
  </si>
  <si>
    <t>https://www.linkedin.com/in/davide-foccoli-439ba2304/</t>
  </si>
  <si>
    <t>Lodrino</t>
  </si>
  <si>
    <t>22 Ottobre 2024 alle 20:05</t>
  </si>
  <si>
    <t>Martínez Herrera</t>
  </si>
  <si>
    <t>Karla Georgina</t>
  </si>
  <si>
    <t>MRTKLG83C65Z506M</t>
  </si>
  <si>
    <t>'+393894508941</t>
  </si>
  <si>
    <t>geo.m.herrera@gmail.com</t>
  </si>
  <si>
    <t>VIA PIER PAOLO PASOLINI,4</t>
  </si>
  <si>
    <t>Dottorato di Ricerca in Business and Law</t>
  </si>
  <si>
    <t>22 Ottobre 2024 alle 13:14</t>
  </si>
  <si>
    <t>Traetta</t>
  </si>
  <si>
    <t>TRTTMS82H27L049M</t>
  </si>
  <si>
    <t>'+390303715740</t>
  </si>
  <si>
    <t>tommaso.traetta@unibs.it</t>
  </si>
  <si>
    <t>www.linkedin.com/in/tommaso-traetta-a0a79549</t>
  </si>
  <si>
    <t>Dottorato, Febbraio 2010</t>
  </si>
  <si>
    <t>21 Ottobre 2024 alle 10:41</t>
  </si>
  <si>
    <t xml:space="preserve">Dottorato in TECNOLOGIE E SISTEMI ENERGETICI PER L'INDUSTRIA MECCANICA </t>
  </si>
  <si>
    <t>Non accettabile in quanto non ancora laureato</t>
  </si>
  <si>
    <t>Dottorato in SCIENZE BIOMEDICHE E MEDICINA TRASLAZIONALE</t>
  </si>
  <si>
    <t>Dottorato in BUSINESS &amp; LAW, ISTITUZIONI E IMPRESA: VALORE, REGOLE E RESPONSABILITA' SOCIALE</t>
  </si>
  <si>
    <t>El Salvador</t>
  </si>
  <si>
    <t>Ruccio</t>
  </si>
  <si>
    <t>RCCNDR81D29A479J</t>
  </si>
  <si>
    <t>'+393381664507</t>
  </si>
  <si>
    <t>andrea.ruccio@yahoo.it</t>
  </si>
  <si>
    <t>Banca d'Alba</t>
  </si>
  <si>
    <t>Sestriere</t>
  </si>
  <si>
    <t>Laurea triennale in Banca e Finanza, dipartimento di Economia e Management, 29/10/2024</t>
  </si>
  <si>
    <t>31 Ottobre 2024 alle 9:27</t>
  </si>
  <si>
    <t>SLVNCL02E18B157N</t>
  </si>
  <si>
    <t>'+393287868363</t>
  </si>
  <si>
    <t>silvestrinicola@icloud.com</t>
  </si>
  <si>
    <t>San Felice Del Benaco</t>
  </si>
  <si>
    <t>Laurea primo livello economia e gestione aziendale 29/10/2024</t>
  </si>
  <si>
    <t>30 Ottobre 2024 alle 2:47</t>
  </si>
  <si>
    <t>Venturelli</t>
  </si>
  <si>
    <t>VNTLCU61D16F205F</t>
  </si>
  <si>
    <t>'+393470049091</t>
  </si>
  <si>
    <t>luca.venturelli@unibs.it</t>
  </si>
  <si>
    <t>professore ordinario</t>
  </si>
  <si>
    <t>Laurea in Fisica</t>
  </si>
  <si>
    <t>29 Ottobre 2024 alle 13:00</t>
  </si>
  <si>
    <t>Iustoni</t>
  </si>
  <si>
    <t>STNSRA99R42D284T</t>
  </si>
  <si>
    <t>'+393480927255</t>
  </si>
  <si>
    <t>iustonisara@gmail.com</t>
  </si>
  <si>
    <t>Sirmione (BS)</t>
  </si>
  <si>
    <t>Laurea di primo livello, Corso di studio in Economia e Gestione Aziendale, conseguita il giorno 25.10.2023</t>
  </si>
  <si>
    <t>28 Ottobre 2024 alle 11:34</t>
  </si>
  <si>
    <t>ordinario</t>
  </si>
  <si>
    <t>5 + 10</t>
  </si>
  <si>
    <t>Rossini</t>
  </si>
  <si>
    <t>RSSDVD80C29D918P</t>
  </si>
  <si>
    <t>'+393288820805</t>
  </si>
  <si>
    <t>davirox@libero.it</t>
  </si>
  <si>
    <t>Quadro direttivo, Promozione e marketing culturale, Direzione Art, Culture and Historical Heritage</t>
  </si>
  <si>
    <t>Laurea Magistrale Economia e Direzione Aziendale</t>
  </si>
  <si>
    <t>10 Novembre 2024 alle 18:18</t>
  </si>
  <si>
    <t>Cabrioli</t>
  </si>
  <si>
    <t>Erica Domenica</t>
  </si>
  <si>
    <t>CBRRDM69L68B157W</t>
  </si>
  <si>
    <t>'+393336821404</t>
  </si>
  <si>
    <t>cabrioka2807@gmail.com</t>
  </si>
  <si>
    <t>Responsabile U.O. Master Formazione Permanente e Research Partnership</t>
  </si>
  <si>
    <t>Laurea- economia e commercio - 21/4/1993</t>
  </si>
  <si>
    <t>10 Novembre 2024 alle 15:25</t>
  </si>
  <si>
    <t>Brunelli</t>
  </si>
  <si>
    <t>Brngnn63b08l567e</t>
  </si>
  <si>
    <t>'+393357602932</t>
  </si>
  <si>
    <t>ilmulettosnc@gmail.com</t>
  </si>
  <si>
    <t>Amministratore</t>
  </si>
  <si>
    <t>G.m.srl</t>
  </si>
  <si>
    <t>Desenzano</t>
  </si>
  <si>
    <t>Laurea ec 1993</t>
  </si>
  <si>
    <t>9 Novembre 2024 alle 19:46</t>
  </si>
  <si>
    <t>Ansarin</t>
  </si>
  <si>
    <t>Nasim</t>
  </si>
  <si>
    <t>NSRNSM95M52H501B</t>
  </si>
  <si>
    <t>'+393497124687</t>
  </si>
  <si>
    <t>nasim.ansarin1995@gmail.com</t>
  </si>
  <si>
    <t>Specializzanda in Farmacologia e Tossicologia Clinica</t>
  </si>
  <si>
    <t>8 Novembre 2024 alle 19:33</t>
  </si>
  <si>
    <t>Dalmasso</t>
  </si>
  <si>
    <t>DLMLRT82M29B157D</t>
  </si>
  <si>
    <t>'+393289381074</t>
  </si>
  <si>
    <t>alberto.dalmasso@unibs.it</t>
  </si>
  <si>
    <t>Laurea Specialistica in Ingegneria Gestionale, Novembre 2009</t>
  </si>
  <si>
    <t>8 Novembre 2024 alle 17:46</t>
  </si>
  <si>
    <t>Laurea Specialistica in DIREZIONE AZIENDALE</t>
  </si>
  <si>
    <t xml:space="preserve">Non accettabile </t>
  </si>
  <si>
    <t>Laurea Specialistica in INGEGNERIA GESTIONALE</t>
  </si>
  <si>
    <t>TONINELLI</t>
  </si>
  <si>
    <t>TNNLNE85S56G149N</t>
  </si>
  <si>
    <t>'+393391507133</t>
  </si>
  <si>
    <t>elena.toninelli.bs@gmail.com</t>
  </si>
  <si>
    <t>Laurea magistrale in Medicina e Chirurgia (19/10/2010), specializzazione in Medicina del Lavoro (05/07/2016)</t>
  </si>
  <si>
    <t>17 Novembre 2024 alle 12:40</t>
  </si>
  <si>
    <t>Leni</t>
  </si>
  <si>
    <t>Letizia</t>
  </si>
  <si>
    <t>LNELTZ98R60D940T</t>
  </si>
  <si>
    <t>letizialeni98@gmail.com</t>
  </si>
  <si>
    <t>Laurea triennale in sistemi agricoli sostenibili. 22 ottobre 2024</t>
  </si>
  <si>
    <t>13 Novembre 2024 alle 8:10</t>
  </si>
  <si>
    <t>Arisi</t>
  </si>
  <si>
    <t>RSAMTT96M30D150A</t>
  </si>
  <si>
    <t>'+393389953076</t>
  </si>
  <si>
    <t>matteo.arisi.96@gmail.com</t>
  </si>
  <si>
    <t>Via XI Febbraio 68</t>
  </si>
  <si>
    <t>SAP Junior Consultant</t>
  </si>
  <si>
    <t>Laurea triennale, Economia, 18/07/2024</t>
  </si>
  <si>
    <t>12 Novembre 2024 alle 14:06</t>
  </si>
  <si>
    <t>SALDI</t>
  </si>
  <si>
    <t>SLDPLA71T71B157H</t>
  </si>
  <si>
    <t>'+393939780073</t>
  </si>
  <si>
    <t>p.saldi@taxcare.it</t>
  </si>
  <si>
    <t>www.linkedin.com/in/paola-saldi-5b833746</t>
  </si>
  <si>
    <t>Dottore Commercialista presso Taxcare</t>
  </si>
  <si>
    <t>Taxcare - CDS SRL</t>
  </si>
  <si>
    <t>Iseo (BS)</t>
  </si>
  <si>
    <t>12 Novembre 2024 alle 11:33</t>
  </si>
  <si>
    <t>Ferraroni</t>
  </si>
  <si>
    <t>Frrlsu73h64d150m</t>
  </si>
  <si>
    <t>'+393477251944</t>
  </si>
  <si>
    <t>l.ferraroni@studenti.unins.it</t>
  </si>
  <si>
    <t>11 Novembre 2024 alle 22:41</t>
  </si>
  <si>
    <t>panza</t>
  </si>
  <si>
    <t>Pnzvnt90h60b157l</t>
  </si>
  <si>
    <t>'+393290937185</t>
  </si>
  <si>
    <t>panzavalentina2@gmail.com</t>
  </si>
  <si>
    <t>11 Novembre 2024 alle 11:27</t>
  </si>
  <si>
    <t>PTLSFN01L05B157I</t>
  </si>
  <si>
    <t>'+393489861822</t>
  </si>
  <si>
    <t>patelli.stefanops@gmail.com</t>
  </si>
  <si>
    <t>Provaglio D’Iseo</t>
  </si>
  <si>
    <t>Laurea breve</t>
  </si>
  <si>
    <t>11 Novembre 2024 alle 11:16</t>
  </si>
  <si>
    <t>Scuola di Specializzazione in MEDICINA DEL LAVORO</t>
  </si>
  <si>
    <t>Laurea in SISTEMI AGRICOLI SOSTENIBILI</t>
  </si>
  <si>
    <t>Laurea in ECONOMIA E AZIENDA DIGITALE</t>
  </si>
  <si>
    <t>Laurea in ECONOMIA</t>
  </si>
  <si>
    <t>Forzanini</t>
  </si>
  <si>
    <t>FRZGAI90S46B157N</t>
  </si>
  <si>
    <t>'+393483206604</t>
  </si>
  <si>
    <t>gaia.forzanini@libero.it</t>
  </si>
  <si>
    <t>Ostetrica e infermiera</t>
  </si>
  <si>
    <t>Laurea in Ostetricia (21.11.2024); Laurea in Infermieristica (07.11.2013)</t>
  </si>
  <si>
    <t>24 Novembre 2024 alle 10:58</t>
  </si>
  <si>
    <t>De Ciuceis</t>
  </si>
  <si>
    <t>Dcccln74h58b157o</t>
  </si>
  <si>
    <t>'+393472209063</t>
  </si>
  <si>
    <t>carolina.deciuceis@unibs.it</t>
  </si>
  <si>
    <t>Specializzazione</t>
  </si>
  <si>
    <t>21 Novembre 2024 alle 16:09</t>
  </si>
  <si>
    <t>STABIUMI</t>
  </si>
  <si>
    <t>CLARA</t>
  </si>
  <si>
    <t>STBCLR74A64B157K</t>
  </si>
  <si>
    <t>'+393357574036</t>
  </si>
  <si>
    <t>c.stabiumi@alfaacciai.it</t>
  </si>
  <si>
    <t>https://www.linkedin.com/in/clara-s-43a3161a6/</t>
  </si>
  <si>
    <t>Membro CdA</t>
  </si>
  <si>
    <t>Alfa Acciai</t>
  </si>
  <si>
    <t>laurea di dottore in Economia e Commercio, 2 Febbraio 1998</t>
  </si>
  <si>
    <t>20 Novembre 2024 alle 13:40</t>
  </si>
  <si>
    <t>Laurea in OSTETRICIA (ABILITANTE ALLA PROFESSIONE SANITARIA DI OSTETRICA/O)</t>
  </si>
  <si>
    <t>Scuola di Specializzazione in MEDICINA INTERNA</t>
  </si>
  <si>
    <t>ZAMBONI</t>
  </si>
  <si>
    <t>DAMIANO</t>
  </si>
  <si>
    <t>ZMBDMN70E22B157V</t>
  </si>
  <si>
    <t>'+393397322312</t>
  </si>
  <si>
    <t>zamboni@camondo.net</t>
  </si>
  <si>
    <t>CONSULENTE DEL LAVORO - IMPRENDITORE</t>
  </si>
  <si>
    <t>STUDIO ZAMBONI DOTT. DAMIANO - CAMONDO SRL - CARPE DIEM SRL</t>
  </si>
  <si>
    <t>13 Dicembre 2024 alle 5:49</t>
  </si>
  <si>
    <t>Lampugnani</t>
  </si>
  <si>
    <t>LMPNDR87D27B157B</t>
  </si>
  <si>
    <t>a.lampugnani@studiofelappi.it</t>
  </si>
  <si>
    <t>Laurea magistrale in Consulenza Aziendale e Libera Professione (Scienze economico-aziendali n. LM-77) in data 22/12/2021</t>
  </si>
  <si>
    <t>9 Dicembre 2024 alle 9:48</t>
  </si>
  <si>
    <t>AVVOCATA</t>
  </si>
  <si>
    <t>GAMBA</t>
  </si>
  <si>
    <t>GMBLRA74R66B157P</t>
  </si>
  <si>
    <t>'+390305235875</t>
  </si>
  <si>
    <t>avv.lauragamba@gmail.com</t>
  </si>
  <si>
    <t>BRESCOA</t>
  </si>
  <si>
    <t>LAUREA GIURISPRUDENZA VECCHIO ORDINAMENTO INDIRIZZO FORENSE 26/10/1998</t>
  </si>
  <si>
    <t>5 Dicembre 2024 alle 12:15</t>
  </si>
  <si>
    <t>Maestro Dottore</t>
  </si>
  <si>
    <t>Gregorini</t>
  </si>
  <si>
    <t>GRGMTT98T30B157G</t>
  </si>
  <si>
    <t>'+393397776414</t>
  </si>
  <si>
    <t>matteo.gregorini98@gmail.com</t>
  </si>
  <si>
    <t>Consiglio Nazionale delle Ricerche</t>
  </si>
  <si>
    <t>Firenze</t>
  </si>
  <si>
    <t>Laura Magistrale in Applied Data Science for Banking and Finance, candidato del dottorato nazionale in Artificial Intelligence</t>
  </si>
  <si>
    <t>5 Dicembre 2024 alle 11:04</t>
  </si>
  <si>
    <t>TGNMTT02R22L400U</t>
  </si>
  <si>
    <t>'+393343545938</t>
  </si>
  <si>
    <t>mattee.togno02@gmail.com</t>
  </si>
  <si>
    <t>https://www.linkedin.com/in/matteo-tognoli-758529296/</t>
  </si>
  <si>
    <t>Laurea triennale in Fisioterapia</t>
  </si>
  <si>
    <t>4 Dicembre 2024 alle 11:46</t>
  </si>
  <si>
    <t>LOMBARDI</t>
  </si>
  <si>
    <t>AURORA</t>
  </si>
  <si>
    <t>LMBRRA64E42L483J</t>
  </si>
  <si>
    <t>'+393334321779</t>
  </si>
  <si>
    <t>auroralombardi.ar@gmail.com</t>
  </si>
  <si>
    <t>segretaria amministrativa</t>
  </si>
  <si>
    <t>LICEO DELLE SCIENZE UMANE Veronica Gambara di Brescia</t>
  </si>
  <si>
    <t>Castegnato - BRESCIA - Via P. Trebeschi n. 20</t>
  </si>
  <si>
    <t>Laurea Magistrale Vecchio Ordinamento in Economia e Commercio</t>
  </si>
  <si>
    <t>28 Novembre 2024 alle 22:32</t>
  </si>
  <si>
    <t>Fisioterapista</t>
  </si>
  <si>
    <t>Iliceto</t>
  </si>
  <si>
    <t>Elia</t>
  </si>
  <si>
    <t>LCTLEI01M17D643L</t>
  </si>
  <si>
    <t>'+393271898583</t>
  </si>
  <si>
    <t>ilicetoelia17@gmail.com</t>
  </si>
  <si>
    <t>Via San Francesco D'Assisi 44</t>
  </si>
  <si>
    <t>Soncino</t>
  </si>
  <si>
    <t>27 Novembre 2024 alle 19:46</t>
  </si>
  <si>
    <t>Shehi</t>
  </si>
  <si>
    <t>Blerina</t>
  </si>
  <si>
    <t>SHHBRN81C70Z100N</t>
  </si>
  <si>
    <t>'+393489353524</t>
  </si>
  <si>
    <t>blerinashehi@yahoo.it</t>
  </si>
  <si>
    <t>Dirigente medico</t>
  </si>
  <si>
    <t>ASST Franciacorta</t>
  </si>
  <si>
    <t>Laurea in medicina e chirurgia, specializzazione in radioterapia</t>
  </si>
  <si>
    <t>27 Novembre 2024 alle 16:10</t>
  </si>
  <si>
    <t>Laurea in FISIOTERAPIA (ABILITANTE ALLA PROFESSIONE SANITARIA DI FISIOTERAPISTA)</t>
  </si>
  <si>
    <t>Scuola di Specializzazione in RADIOTERAPIA</t>
  </si>
  <si>
    <t>albanese</t>
  </si>
  <si>
    <t>Grasselli</t>
  </si>
  <si>
    <t>Grsgnn84h12b157w</t>
  </si>
  <si>
    <t>giogras@hotmail.com</t>
  </si>
  <si>
    <t>BonelliErede studio legale</t>
  </si>
  <si>
    <t>Laurea triennale in Scienze Giuridiche (2006) e laurea specialistica in giurisprudenza (4.10.2008)</t>
  </si>
  <si>
    <t>6 Gennaio 2025 alle 14:04</t>
  </si>
  <si>
    <t>Lamanna</t>
  </si>
  <si>
    <t>LMNDNL82C71D940C</t>
  </si>
  <si>
    <t>'+393332105949</t>
  </si>
  <si>
    <t>danylamanna.82@gmail.com</t>
  </si>
  <si>
    <t>Funzionario settore amministrativo gestionale</t>
  </si>
  <si>
    <t>Laurea magistrale in Giurisprudenza 11/10/2016</t>
  </si>
  <si>
    <t>6 Gennaio 2025 alle 8:35</t>
  </si>
  <si>
    <t>FCCMTT91R10C618E</t>
  </si>
  <si>
    <t>facchetti.m@gmail.com</t>
  </si>
  <si>
    <t>https://www.linkedin.com/in/mattia-facchetti-21a0627a?utm_source=share&amp;utm_campaign=share_via&amp;utm_content=profile&amp;utm_medium=android_app</t>
  </si>
  <si>
    <t>Medico dirigente</t>
  </si>
  <si>
    <t>Laurea magistrale in medicina e chirurgia e specializzazione in anatomia patologica</t>
  </si>
  <si>
    <t>21 Dicembre 2024 alle 7:53</t>
  </si>
  <si>
    <t>Maifredi</t>
  </si>
  <si>
    <t>MFRFRC98A01B157V</t>
  </si>
  <si>
    <t>'+393492548550</t>
  </si>
  <si>
    <t>fede.mai98@gmail.com</t>
  </si>
  <si>
    <t>https://www.linkedin.com/in/federico-maifredi/</t>
  </si>
  <si>
    <t>McKinsey &amp; Company</t>
  </si>
  <si>
    <t>Laurea Magistrale in Ingegneria dell'Automazione Industriale - Settembre 2022</t>
  </si>
  <si>
    <t>18 Dicembre 2024 alle 20:01</t>
  </si>
  <si>
    <t>Edoardo Antonio</t>
  </si>
  <si>
    <t>PCNDDN02T06B157Z</t>
  </si>
  <si>
    <t>'+393334907146</t>
  </si>
  <si>
    <t>piceniedoardoantonio@gmail.com</t>
  </si>
  <si>
    <t>https://www.linkedin.com/public-profile/settings?lipi=urnlipaged_flagship3_profile_self_edit_contact-info5PwUtCfR5BwLUp3vnOag</t>
  </si>
  <si>
    <t>Studente Magistrale</t>
  </si>
  <si>
    <t>Laurea Triennale in Banca e Finanza presso UniBs, conseguita in data 29 Ottobre 2024</t>
  </si>
  <si>
    <t>14 Dicembre 2024 alle 11:04</t>
  </si>
  <si>
    <t>Laurea Specialistica in Giurisprudenza</t>
  </si>
  <si>
    <t>Scuola di Specializzazione in Anatomia Patologica</t>
  </si>
  <si>
    <t>Laurea Magistrale in INGEGNERIA DELL'AUTOMAZIONE INDUSTRIALE</t>
  </si>
  <si>
    <t>Laurea Magistrale in GIURISPRUDENZA</t>
  </si>
  <si>
    <t>DIPLOMA DI LAUREA</t>
  </si>
  <si>
    <t>TIRONI</t>
  </si>
  <si>
    <t>SIMONA</t>
  </si>
  <si>
    <t>TRNSMN82C71B157A</t>
  </si>
  <si>
    <t>'+390267653347</t>
  </si>
  <si>
    <t>simona_tironi@regione.lombardia.it</t>
  </si>
  <si>
    <t>Assessore Regionale Istruzione FORMAZIONE e LAVORO</t>
  </si>
  <si>
    <t>REGIONE LOMBARDIA</t>
  </si>
  <si>
    <t>LAUREA IN ECONOMIA E COMMERCIO Corso di Scienze dell'economia e della gestione aziendale</t>
  </si>
  <si>
    <t>30 Gennaio 2025 alle 13:38</t>
  </si>
  <si>
    <t>Lavezzari</t>
  </si>
  <si>
    <t>Kedir</t>
  </si>
  <si>
    <t>Lvzkdr94c20z315f</t>
  </si>
  <si>
    <t>kedirlavezzari@gmail.com</t>
  </si>
  <si>
    <t>Laurea magistrale, giurisprudenza 26 aprile 2023</t>
  </si>
  <si>
    <t>23 Gennaio 2025 alle 9:49</t>
  </si>
  <si>
    <t>BNMVNT95C62B157A</t>
  </si>
  <si>
    <t>'+393314632310</t>
  </si>
  <si>
    <t>valentinabonomi22@gmail.com</t>
  </si>
  <si>
    <t>www.linkedin.com/in/valentinabonomi22</t>
  </si>
  <si>
    <t>Post-Doc</t>
  </si>
  <si>
    <t>Universidade de Lisboa</t>
  </si>
  <si>
    <t>Dottorato in Ingegneria dell'Informazione</t>
  </si>
  <si>
    <t>20 Gennaio 2025 alle 12:32</t>
  </si>
  <si>
    <t>MD PhD</t>
  </si>
  <si>
    <t>Taboni</t>
  </si>
  <si>
    <t>TBNSFN90L08B149T</t>
  </si>
  <si>
    <t>'+393488155951</t>
  </si>
  <si>
    <t>stefanotaboni@gmail.com</t>
  </si>
  <si>
    <t>Medico Chirurgo, Specialista in Otorinolaringoiatria e Chirurgia Cervico-Facciale</t>
  </si>
  <si>
    <t>Azienda Ospedale Università Padova</t>
  </si>
  <si>
    <t>Laurea in Medicina e Chirurgia (UNIBS), Specializzazione in Otorinolaringoiatria (UNIBS), Research Fellowship in Head and Neck Surgery (Toronto), Dottorato in Intelligenza Artificiale in Medicina e Innovazione nella Ricerca Clinica e Metodologica (UNIBS)</t>
  </si>
  <si>
    <t>17 Gennaio 2025 alle 0:12</t>
  </si>
  <si>
    <t>Casesa</t>
  </si>
  <si>
    <t>Romeo</t>
  </si>
  <si>
    <t>CSSRMO93M02F205Y</t>
  </si>
  <si>
    <t>'+393276912564</t>
  </si>
  <si>
    <t>casesaromeo@gmail.com</t>
  </si>
  <si>
    <t>https://www.linkedin.com/in/casesaromeo/</t>
  </si>
  <si>
    <t>Program Manager</t>
  </si>
  <si>
    <t>Dottorato, Analytics for Economics and Management, 11/07/2024</t>
  </si>
  <si>
    <t>15 Gennaio 2025 alle 14:16</t>
  </si>
  <si>
    <t>Adesione Piovani Luca</t>
  </si>
  <si>
    <t>PVNLCU94S18F471C</t>
  </si>
  <si>
    <t>'+393277439521</t>
  </si>
  <si>
    <t>piovanil94@gmail.com</t>
  </si>
  <si>
    <t>Via Gambaresca 101</t>
  </si>
  <si>
    <t>Dipendente a tempo determinato</t>
  </si>
  <si>
    <t>Laurea Triennale in TIPP - Curriculum Automazione (DIMI)</t>
  </si>
  <si>
    <t>14 Gennaio 2025 alle 15:58</t>
  </si>
  <si>
    <t>Maggini</t>
  </si>
  <si>
    <t>MGGLSE96C61B157X</t>
  </si>
  <si>
    <t>'+393331982600</t>
  </si>
  <si>
    <t>elisa.maggini@hotmail.it</t>
  </si>
  <si>
    <t>Inventory planner EMEA</t>
  </si>
  <si>
    <t>Campari Group</t>
  </si>
  <si>
    <t>Laurea magistrale in Marketing Management conseguita il 17/12/2021</t>
  </si>
  <si>
    <t>14 Gennaio 2025 alle 10:51</t>
  </si>
  <si>
    <t>Agosti</t>
  </si>
  <si>
    <t>GSTNDR88L30B157M</t>
  </si>
  <si>
    <t>'+393386616582</t>
  </si>
  <si>
    <t>agostia88@gmail.com</t>
  </si>
  <si>
    <t>LIBERO PROFESSIONISTA CONSULENTE AZIENDALE</t>
  </si>
  <si>
    <t>LAUREA MAGISTRALE IN ECONOMIA E MANAGEMENT</t>
  </si>
  <si>
    <t>12 Gennaio 2025 alle 17:11</t>
  </si>
  <si>
    <t>BNRBRN79T13B157K</t>
  </si>
  <si>
    <t>'+393279744617</t>
  </si>
  <si>
    <t>bonerabruno@gmail.com</t>
  </si>
  <si>
    <t>https://www.linkedin.com/in/bruno-bonera-0b603145?utm_source=share&amp;utm_campaign=share_via&amp;utm_content=profile&amp;utm_medium=android_app</t>
  </si>
  <si>
    <t>Responsabile Stabilimento</t>
  </si>
  <si>
    <t>Alfa Ossidazione e Gaser GTC</t>
  </si>
  <si>
    <t>Diploma di Ingegneria meccanica</t>
  </si>
  <si>
    <t>Buongiorno il Diploma di Ingegneria meccanica è stato conseguito nel 2002 presso Università di Brescia .</t>
  </si>
  <si>
    <t>6 Febbraio 2025 alle 10:37</t>
  </si>
  <si>
    <t>Laurea in INGEGNERIA MECCANICA</t>
  </si>
  <si>
    <t>Dottorato in INTELLIGENZA ARTIFICIALE IN MEDICINA E INNOVAZIONE NELLA RICERCA CLINICA E METODOLOGICA</t>
  </si>
  <si>
    <t>Dottorato in MODELLI E METODI PER L'ECONOMIA E IL MANAGEMENT</t>
  </si>
  <si>
    <t>Laurea in TECNICHE INDUSTRIALI DI PRODOTTO E DI PROCESSO</t>
  </si>
  <si>
    <t>TRAININI</t>
  </si>
  <si>
    <t>ANGELO</t>
  </si>
  <si>
    <t>TRNNGL92A01B157H</t>
  </si>
  <si>
    <t>'+393932511113</t>
  </si>
  <si>
    <t>angelo.trainini@icloud.com</t>
  </si>
  <si>
    <t>linkedin.com/in/angelo-trainini-b712ba128</t>
  </si>
  <si>
    <t>IMPIEGATO BANCARIO</t>
  </si>
  <si>
    <t>CASSA PADANA BCC</t>
  </si>
  <si>
    <t>LAUREA MAGISTRALE IN ECONOMIA SOCIALE E IMPRESE COOPERATIVE, 25/10/2023</t>
  </si>
  <si>
    <t>16 Febbraio 2025 alle 10:53</t>
  </si>
  <si>
    <t>Taddeolini Marangoni</t>
  </si>
  <si>
    <t>TDDMNL86H30B157G</t>
  </si>
  <si>
    <t>'+393343369463</t>
  </si>
  <si>
    <t>avv.emanuele.taddeolinimarangoni@gmail.com</t>
  </si>
  <si>
    <t>Sorbolo Mezzani</t>
  </si>
  <si>
    <t>Studio Legale Avv Taddeolini 11/10/2011</t>
  </si>
  <si>
    <t>14 Febbraio 2025 alle 19:15</t>
  </si>
  <si>
    <t>Di Loreto</t>
  </si>
  <si>
    <t>DLRNNA99M45B157R</t>
  </si>
  <si>
    <t>'+393336496041</t>
  </si>
  <si>
    <t>diloretoannabs@gmail.com</t>
  </si>
  <si>
    <t>13 Febbraio 2025 alle 11:46</t>
  </si>
  <si>
    <t>Luciano, Andreoli - Adesione Alumni Unibs</t>
  </si>
  <si>
    <t>Andreoli</t>
  </si>
  <si>
    <t>Luciano</t>
  </si>
  <si>
    <t>NDRLCN98E06B157G</t>
  </si>
  <si>
    <t>'+393663651075</t>
  </si>
  <si>
    <t>lucianoandreoli98@libero.it</t>
  </si>
  <si>
    <t>Gargnano</t>
  </si>
  <si>
    <t>12 Febbraio 2025 alle 16:49</t>
  </si>
  <si>
    <t>Laurea magistrale in ECONOMIA SOCIALE E IMPRESE COOPERATIVE</t>
  </si>
  <si>
    <t>Scuola di Specializzazione delle professioni legali</t>
  </si>
  <si>
    <t>TSNNGL87R30B149Z</t>
  </si>
  <si>
    <t>'+393479435971</t>
  </si>
  <si>
    <t>angelotosana@gmail.com</t>
  </si>
  <si>
    <t>https://www.linkedin.com/in/angelo-tosana-a6057830?utm_source=share&amp;utm_campaign=share_via&amp;utm_content=profile&amp;utm_medium=ios_app</t>
  </si>
  <si>
    <t>Cooperativa Co.Ge.S.S.</t>
  </si>
  <si>
    <t>San Felice del Benaco</t>
  </si>
  <si>
    <t>Laurea triennale in gestione imprese</t>
  </si>
  <si>
    <t>14 Dicembre 2024 alle 6:53</t>
  </si>
  <si>
    <t>Carrara</t>
  </si>
  <si>
    <t>luisa.carrara@gmail.com</t>
  </si>
  <si>
    <t>Medico Chirurgo specialista in ginecologia e ostetricia</t>
  </si>
  <si>
    <t>Laurea medicina e chirurgia 2006 Specializzazione in ginecologia e ostetricia 2013</t>
  </si>
  <si>
    <t>11 Marzo 2025 alle 13:24</t>
  </si>
  <si>
    <t>Ghetti</t>
  </si>
  <si>
    <t>GHTPTR81R23D918H</t>
  </si>
  <si>
    <t>'+393336425410</t>
  </si>
  <si>
    <t>pietroghetti1981@gmail.com</t>
  </si>
  <si>
    <t>BANCA POPOLARE ETICA</t>
  </si>
  <si>
    <t>LAUREA VECCHIO ORDINAMENTO 13/03/2006</t>
  </si>
  <si>
    <t>11 Marzo 2025 alle 12:34</t>
  </si>
  <si>
    <t>Visini</t>
  </si>
  <si>
    <t>Katiuscia</t>
  </si>
  <si>
    <t>VSNKSC69L71B157A</t>
  </si>
  <si>
    <t>'+393397079189</t>
  </si>
  <si>
    <t>katiuscia.visini@gmail.com</t>
  </si>
  <si>
    <t>Laurea in economia e commercio 1994</t>
  </si>
  <si>
    <t>9 Marzo 2025 alle 17:19</t>
  </si>
  <si>
    <t>Sala</t>
  </si>
  <si>
    <t>SLASFN69B19B157H</t>
  </si>
  <si>
    <t>'+39335292285</t>
  </si>
  <si>
    <t>stefano.sala@studio-sala.com</t>
  </si>
  <si>
    <t>Laurea economia e commercio 1993</t>
  </si>
  <si>
    <t>9 Marzo 2025 alle 17:15</t>
  </si>
  <si>
    <t>Hangst</t>
  </si>
  <si>
    <t>Jeffrey Scott</t>
  </si>
  <si>
    <t>'-</t>
  </si>
  <si>
    <t>jeffrey.hangst@cern.ch</t>
  </si>
  <si>
    <t>Geneve</t>
  </si>
  <si>
    <t>27 Febbraio 2025 alle 17:50</t>
  </si>
  <si>
    <t>CRRLSU81B51L388N</t>
  </si>
  <si>
    <t>Scuola di Specializzazione in GINECOLOGIA ED OSTETRICIA</t>
  </si>
  <si>
    <t>Laurea Honoris causa in Ingegneria Meccanica</t>
  </si>
  <si>
    <t>Bertoli</t>
  </si>
  <si>
    <t>Fabrizio</t>
  </si>
  <si>
    <t>'+39335200909</t>
  </si>
  <si>
    <t>krof94@yahoo.com</t>
  </si>
  <si>
    <t>Insegnante scuola superiore</t>
  </si>
  <si>
    <t>Tecnico Laboratorio Biomedico</t>
  </si>
  <si>
    <t>22 Marzo 2025 alle 17:20</t>
  </si>
  <si>
    <t>LBRLRT66S19B157Z</t>
  </si>
  <si>
    <t>'+393486507594</t>
  </si>
  <si>
    <t>alberto.albertini@antaresvision.com</t>
  </si>
  <si>
    <t>Via del Ferro 16</t>
  </si>
  <si>
    <t>Strategic Marketing Director</t>
  </si>
  <si>
    <t>Antares Vision</t>
  </si>
  <si>
    <t>20 Marzo 2025 alle 17:01</t>
  </si>
  <si>
    <t>Amigoni</t>
  </si>
  <si>
    <t>MGNNCL00D25B157P</t>
  </si>
  <si>
    <t>amigo.nicola@gmail.com</t>
  </si>
  <si>
    <t>17 Marzo 2025 alle 16:35</t>
  </si>
  <si>
    <t>BRTFRZ74L23B157W</t>
  </si>
  <si>
    <t>Diploma Universitario in TECNICO DI LABORATORIO BIOMEDICO</t>
  </si>
  <si>
    <t>Albertini</t>
  </si>
  <si>
    <t>Pezzi</t>
  </si>
  <si>
    <t>Pzzngl69p46b157d</t>
  </si>
  <si>
    <t>'+393495045027</t>
  </si>
  <si>
    <t>pezziangela1@gmajl.com</t>
  </si>
  <si>
    <t>Cidneo metallurguca spa</t>
  </si>
  <si>
    <t>Laurea in economia e gestione aziendale</t>
  </si>
  <si>
    <t>8 Aprile 2025 8:26</t>
  </si>
  <si>
    <t>MRGLCU78D16B157B</t>
  </si>
  <si>
    <t>'+393427642618</t>
  </si>
  <si>
    <t>lmereghetti78@gmail.com</t>
  </si>
  <si>
    <t>Via Scoler 1e</t>
  </si>
  <si>
    <t>Laurea triennale economia</t>
  </si>
  <si>
    <t>8 Aprile 2025 7:53</t>
  </si>
  <si>
    <t>Rizzo</t>
  </si>
  <si>
    <t>RZZMHL94M02C312D</t>
  </si>
  <si>
    <t>mik3.rizzo@gmail.com</t>
  </si>
  <si>
    <t>Laurea Magistrale in Ingegneria Informatica, 19 marzo 2025</t>
  </si>
  <si>
    <t>1 Aprile 2025 13:19</t>
  </si>
  <si>
    <t>Finulli</t>
  </si>
  <si>
    <t>Fnlsfn02e11b157g</t>
  </si>
  <si>
    <t>'+393312419990</t>
  </si>
  <si>
    <t>finullistefano@gmail.com</t>
  </si>
  <si>
    <t>https://www.linkedin.com/in/sfinulli</t>
  </si>
  <si>
    <t>Intern</t>
  </si>
  <si>
    <t>Zulli tabanelli e associati</t>
  </si>
  <si>
    <t>28 Marzo 2025 20:30</t>
  </si>
  <si>
    <t>Zavaglio</t>
  </si>
  <si>
    <t>Isabella</t>
  </si>
  <si>
    <t>ZVGSLL95E65B157N</t>
  </si>
  <si>
    <t>'+393294516472</t>
  </si>
  <si>
    <t>isabella.zavaglio@gmail.com</t>
  </si>
  <si>
    <t>https://www.linkedin.com/in/isabellazavaglio/</t>
  </si>
  <si>
    <t>Agevola srl Società Benefit</t>
  </si>
  <si>
    <t>Laurea di II livello in Management - International Business (LM-77), conseguimento Doppio Titolo presso Nottingham Trent University - Data di laurea: 18.12.2019</t>
  </si>
  <si>
    <t>28 Marzo 2025 13:52</t>
  </si>
  <si>
    <t>FRRFPP02E17D150W</t>
  </si>
  <si>
    <t>'+393914682613</t>
  </si>
  <si>
    <t>fferrari1705@gmail.com</t>
  </si>
  <si>
    <t>Vescovato</t>
  </si>
  <si>
    <t>28 Marzo 2025 1:37</t>
  </si>
  <si>
    <t>Piovanelli</t>
  </si>
  <si>
    <t>PVNNDR84S28b157W</t>
  </si>
  <si>
    <t>'+393495643504</t>
  </si>
  <si>
    <t>andreapiovanelli2002@gmail.com</t>
  </si>
  <si>
    <t>azzano mella</t>
  </si>
  <si>
    <t>25 Marzo 2025 13:04</t>
  </si>
  <si>
    <t>Modulo di adesione Associazione Alumni Unibs</t>
  </si>
  <si>
    <t>Forbiti</t>
  </si>
  <si>
    <t>FRBSLV99A45E884F</t>
  </si>
  <si>
    <t>'+393491174238</t>
  </si>
  <si>
    <t>silviaforbiti@gmail.com</t>
  </si>
  <si>
    <t>https://www.linkedin.com/in/silvia-forbiti-74823a253?utm_source=share&amp;utm_campaign=share_via&amp;utm_content=profile&amp;utm_medium=android_app</t>
  </si>
  <si>
    <t>Manufacturing enginer</t>
  </si>
  <si>
    <t>Gruppo AB (AB Impianti)</t>
  </si>
  <si>
    <t>Laurea magistrale (in ingegneria gestionale)</t>
  </si>
  <si>
    <t>Ho effettuato il pagamento in data 24/03/2025, potrebbero volerci un paio di giorni prima che sia accreditato. Grazie in anticipo per il vostro tempo.</t>
  </si>
  <si>
    <t>24 Marzo 2025 23:22</t>
  </si>
  <si>
    <t>Ambrosini</t>
  </si>
  <si>
    <t>MBRFNC78C11B157E</t>
  </si>
  <si>
    <t>'+393283351656</t>
  </si>
  <si>
    <t>francescoambrosini@me.com</t>
  </si>
  <si>
    <t>Studio Notarile ABM</t>
  </si>
  <si>
    <t>22 Aprile 2025 9:48</t>
  </si>
  <si>
    <t>SVLMRC00R23B157W</t>
  </si>
  <si>
    <t>'+393296021131</t>
  </si>
  <si>
    <t>marco.savo230@gmail.com</t>
  </si>
  <si>
    <t>www.linkedin.com/in/marco-savoldi</t>
  </si>
  <si>
    <t>Supply Chain Excellence</t>
  </si>
  <si>
    <t>Laurea Magistrale in Ingegneria Gestionale curriculum logistico produttivo. Laurea Marzo 2025</t>
  </si>
  <si>
    <t>18 Aprile 2025 18:12</t>
  </si>
  <si>
    <t>Bedulli</t>
  </si>
  <si>
    <t>BDLNCL76H18B157P</t>
  </si>
  <si>
    <t>'+393889336372</t>
  </si>
  <si>
    <t>nicbed@gmail.com</t>
  </si>
  <si>
    <t>Via IV Novembre 43</t>
  </si>
  <si>
    <t>Cherubini SPA</t>
  </si>
  <si>
    <t>Laurea in Ingegneria Elettronica il 25/10/2006</t>
  </si>
  <si>
    <t>17 Aprile 2025 17:10</t>
  </si>
  <si>
    <t>DONATI</t>
  </si>
  <si>
    <t>DNTLSN85C05B157F</t>
  </si>
  <si>
    <t>'+393381090590</t>
  </si>
  <si>
    <t>alessandro.donati@studiogoriominervini.it</t>
  </si>
  <si>
    <t>Studio Legale Gorio - Minervini - Donati e Associati</t>
  </si>
  <si>
    <t>Laurea Specialistica in Giurisprudenza (05.07.2011)</t>
  </si>
  <si>
    <t>14 Aprile 2025 11:21</t>
  </si>
  <si>
    <t>Laurea Specialistica in GIURISPRUDENZA</t>
  </si>
  <si>
    <t>Brescianini</t>
  </si>
  <si>
    <t>BRSNNA70L46I437J</t>
  </si>
  <si>
    <t>'+393391555520</t>
  </si>
  <si>
    <t>123rezzato@gmail.com</t>
  </si>
  <si>
    <t>Via Santuario 15/h</t>
  </si>
  <si>
    <t>Resp ufficio Innovazione e Progetti</t>
  </si>
  <si>
    <t>Cooperativa sociale CAUTO</t>
  </si>
  <si>
    <t>Grazie per questa opportunità</t>
  </si>
  <si>
    <t>8 Maggio 2025 21:40</t>
  </si>
  <si>
    <t>DMNLSN01R10B157G</t>
  </si>
  <si>
    <t>'+393469970037</t>
  </si>
  <si>
    <t>alessandro@adamini.eu</t>
  </si>
  <si>
    <t>https://www.linkedin.com/in/alessandro-adamini</t>
  </si>
  <si>
    <t>Studente magistrale</t>
  </si>
  <si>
    <t>Laurea triennale, Economia e azienda digitale, 25 marzo 2025</t>
  </si>
  <si>
    <t>8 Maggio 2025 18:21</t>
  </si>
  <si>
    <t>Sabatino</t>
  </si>
  <si>
    <t>SBTFBN00A53E884V</t>
  </si>
  <si>
    <t>'+393889059250</t>
  </si>
  <si>
    <t>fabiana.sabatino00@gmail.com</t>
  </si>
  <si>
    <t>Leno (Bs)</t>
  </si>
  <si>
    <t>Laurea di primo livello in Assistenza Sanitaria (L/SNT-4 classe delle lauree in professioni sanitarie della prevenzione - D.M. 270/2004), data laurea 28/11/2024</t>
  </si>
  <si>
    <t>7 Maggio 2025 9:59</t>
  </si>
  <si>
    <t>Zottarelli</t>
  </si>
  <si>
    <t>ZTTLCU00P07E716U</t>
  </si>
  <si>
    <t>l.zottarelli@gmail.com</t>
  </si>
  <si>
    <t>https://www.linkedin.com/in/luca-zottarelli-108ba5318/</t>
  </si>
  <si>
    <t>Laurea triennale in ingegneria gestionale (unibs), frequentante ultimo anno laurea magistrale ingegneria gestionale corso economico-organizzativo.</t>
  </si>
  <si>
    <t>7 Maggio 2025 9:08</t>
  </si>
  <si>
    <t>Buzzone</t>
  </si>
  <si>
    <t>BZZMTT02M27B157A</t>
  </si>
  <si>
    <t>'+393240571380</t>
  </si>
  <si>
    <t>buzzone.mattia@outlook.it</t>
  </si>
  <si>
    <t>7 Maggio 2025 8:55</t>
  </si>
  <si>
    <t>Ingegnere informatico</t>
  </si>
  <si>
    <t>Lovepreet</t>
  </si>
  <si>
    <t>SNGLPR01A01Z222H</t>
  </si>
  <si>
    <t>'+393889544006</t>
  </si>
  <si>
    <t>singhlovepreet746@gmail.com</t>
  </si>
  <si>
    <t>https://www.linkedin.com/in/lovepreet-singh-b90a71283?utm_source=share&amp;utm_campaign=share_via&amp;utm_content=profile&amp;utm_medium=android_app</t>
  </si>
  <si>
    <t>2 Maggio 2025 20:00</t>
  </si>
  <si>
    <t>Micheli</t>
  </si>
  <si>
    <t>Manuela</t>
  </si>
  <si>
    <t>MCHMNL80B67B157P</t>
  </si>
  <si>
    <t>'+393342287602</t>
  </si>
  <si>
    <t>manuela.micheli@unibs.it</t>
  </si>
  <si>
    <t>Tecnico di laboratorio DIMI UniBs</t>
  </si>
  <si>
    <t>Laurea in Ingegneria della Sicurezza</t>
  </si>
  <si>
    <t>1 Maggio 2025 11:53</t>
  </si>
  <si>
    <t>Ingegnere per l’Ambiente e il Territorio</t>
  </si>
  <si>
    <t>Donatini</t>
  </si>
  <si>
    <t>Lorenzo Roberto</t>
  </si>
  <si>
    <t>DNTLNZ02D19B157P</t>
  </si>
  <si>
    <t>'+393738103773</t>
  </si>
  <si>
    <t>lorenzo.donatini02@gmail.com</t>
  </si>
  <si>
    <t>Laurea triennale in Ingegneria per l’Ambiente e il Territorio 28/04/2025</t>
  </si>
  <si>
    <t>29 Aprile 2025 14:39</t>
  </si>
  <si>
    <t>laurea in INGEGNERIA INFORMATICA</t>
  </si>
  <si>
    <t>Diploma Universitario in INFERMIERE ISTITUITO CON D.M. 24 luglio 1996,TAB. XVIII-TER</t>
  </si>
  <si>
    <t>Laurea in INGEGNERIA PER L'AMBIENTE E IL TERRITORIO</t>
  </si>
  <si>
    <t>Cossu</t>
  </si>
  <si>
    <t>CSSLRD58E23L781C</t>
  </si>
  <si>
    <t>'+390303366104</t>
  </si>
  <si>
    <t>l.cossu@studiocossu.it</t>
  </si>
  <si>
    <t>Gussago (Bs)</t>
  </si>
  <si>
    <t>Laurea in Economia e Commercio conseguita in data 27.03.1985</t>
  </si>
  <si>
    <t>30 Maggio 2025 12:11</t>
  </si>
  <si>
    <t>Togni</t>
  </si>
  <si>
    <t>TGNLCA83E43B157R</t>
  </si>
  <si>
    <t>'+393316127019</t>
  </si>
  <si>
    <t>alicetogni@yahoo.it</t>
  </si>
  <si>
    <t>https://it.linkedin.com/in/alice-togni-90575339</t>
  </si>
  <si>
    <t>People Attraction &amp; Skill-based Models</t>
  </si>
  <si>
    <t>Flero BS</t>
  </si>
  <si>
    <t>Laurea triennale in Scienze Economiche (marzo 2007); Laurea magistrale in Economia Internazionale (luglio 2009)</t>
  </si>
  <si>
    <t>30 Maggio 2025 11:35</t>
  </si>
  <si>
    <t>Deledda</t>
  </si>
  <si>
    <t>DLDGPP61D04B157A</t>
  </si>
  <si>
    <t>'+393492720851</t>
  </si>
  <si>
    <t>giuseppe.deledda.bs@gmail.com</t>
  </si>
  <si>
    <t>Via dello Stadio, 23</t>
  </si>
  <si>
    <t>Libero professionista e Legale rappresentante onlus e srl</t>
  </si>
  <si>
    <t>BS - Brescia</t>
  </si>
  <si>
    <t>Laurea Economia &amp; Commercio - 11/12/1985 ; Master in Business Administration c/o S.A.A. di Torino 28/01/1988</t>
  </si>
  <si>
    <t>Codice TRN del bonifico: 0306901571700202S91121011210IT
Per "invecchiare" un pò il Collegio dei Probiviri o il Consiglio Direttivo</t>
  </si>
  <si>
    <t>29 Maggio 2025 11:05</t>
  </si>
  <si>
    <t>BOTEZATU DOHOTARU</t>
  </si>
  <si>
    <t>RARES COSTIN</t>
  </si>
  <si>
    <t>BTZRAC96E14Z129L</t>
  </si>
  <si>
    <t>'+393889318597</t>
  </si>
  <si>
    <t>raresbotezatu1996@gmail.com</t>
  </si>
  <si>
    <t>https://www.linkedin.com/in/rares-botezatu-025014121?utm_source=share&amp;utm_campaign=share_via&amp;utm_content=profile&amp;utm_medium=android_app</t>
  </si>
  <si>
    <t>GESTORE AZIENDE RETAIL</t>
  </si>
  <si>
    <t>LAUREA 1° LIVELLO</t>
  </si>
  <si>
    <t>26 Maggio 2025 7:10</t>
  </si>
  <si>
    <t>Legal Counsel</t>
  </si>
  <si>
    <t>NDRNDR89D07B157N</t>
  </si>
  <si>
    <t>'+393334352258</t>
  </si>
  <si>
    <t>andre.a.89.gs@gmail.com</t>
  </si>
  <si>
    <t>https://www.linkedin.com/in/andrea-andreoli-20b769152/</t>
  </si>
  <si>
    <t>Cogeme S.p.a.</t>
  </si>
  <si>
    <t>Laurea Magistrale a Ciclo Unico in Giurisprudenza, conseguita il 14 ottobre 2014</t>
  </si>
  <si>
    <t>22 Maggio 2025 16:41</t>
  </si>
  <si>
    <t>Laurea Specialistica in ECONOMIA INTERNAZIONALE</t>
  </si>
  <si>
    <t>Scuola di Specializzazione in Professioni Legali</t>
  </si>
  <si>
    <t>Lococo</t>
  </si>
  <si>
    <t>Massimiliano</t>
  </si>
  <si>
    <t>LCCMSM73T03D918C</t>
  </si>
  <si>
    <t>'+393355483711</t>
  </si>
  <si>
    <t>massimiliano.lococo@gmail.com</t>
  </si>
  <si>
    <t>Fondatore e Amministratore Delegato</t>
  </si>
  <si>
    <t>REXENERGY SRL</t>
  </si>
  <si>
    <t>10 Giugno 2025 14:21</t>
  </si>
  <si>
    <t>Ravicini</t>
  </si>
  <si>
    <t>RVCLCN59A50F205L</t>
  </si>
  <si>
    <t>'+393358047357</t>
  </si>
  <si>
    <t>lucianaravicini@gmail.com</t>
  </si>
  <si>
    <t>VIA SANTELLE 32</t>
  </si>
  <si>
    <t>commercialista</t>
  </si>
  <si>
    <t>10 Giugno 2025 9:20</t>
  </si>
  <si>
    <t>Grisca</t>
  </si>
  <si>
    <t>Bruneta</t>
  </si>
  <si>
    <t>GRSBNT02E58Z140U</t>
  </si>
  <si>
    <t>'+393517228792</t>
  </si>
  <si>
    <t>griscabruneta@gmail.com</t>
  </si>
  <si>
    <t>Laurea I livello</t>
  </si>
  <si>
    <t>27 Giugno 2025 9:50</t>
  </si>
  <si>
    <t>DR</t>
  </si>
  <si>
    <t>BNCNGL58P14B157K</t>
  </si>
  <si>
    <t>'+393356940916</t>
  </si>
  <si>
    <t>angelo.bianchetti.58@gmail.com</t>
  </si>
  <si>
    <t>via 1850, 59</t>
  </si>
  <si>
    <t>Responsabile Dipartimento Neurofisiatrico</t>
  </si>
  <si>
    <t>Casa di Cura Domus Salutis Brescia</t>
  </si>
  <si>
    <t>Laurea in Medicina e Chirurgia, 1983</t>
  </si>
  <si>
    <t>23 Giugno 2025 11:56</t>
  </si>
  <si>
    <t>Dadda</t>
  </si>
  <si>
    <t>Niccolo</t>
  </si>
  <si>
    <t>DDDNCL02E19F023R</t>
  </si>
  <si>
    <t>nickdaddabiz@gmail.com</t>
  </si>
  <si>
    <t>22 Giugno 2025 11:21</t>
  </si>
  <si>
    <t>Tonsi</t>
  </si>
  <si>
    <t>TNSSFN88C59E704P</t>
  </si>
  <si>
    <t>stefaniatonsi@gmail.com</t>
  </si>
  <si>
    <t>Pisogne</t>
  </si>
  <si>
    <t>Laurea magistrale a ciclo unico in medicina e chirurgia 2023 laurea triennale in igiene dentale 2012</t>
  </si>
  <si>
    <t>21 Giugno 2025 18:17</t>
  </si>
  <si>
    <t>Dusi</t>
  </si>
  <si>
    <t>DSUMRA76A23H717G</t>
  </si>
  <si>
    <t>'+393387177634</t>
  </si>
  <si>
    <t>mauro_dusi@yahoo.it</t>
  </si>
  <si>
    <t>https://www.linkedin.com/in/maurodusi/</t>
  </si>
  <si>
    <t>PONCARALE (BS)</t>
  </si>
  <si>
    <t>Laurea in Ingegneria Elettronica 9 Luglio 2003</t>
  </si>
  <si>
    <t>20 Giugno 2025 8:32</t>
  </si>
  <si>
    <t>Garda</t>
  </si>
  <si>
    <t>GRDLRA99B52D142G</t>
  </si>
  <si>
    <t>'+393286760039</t>
  </si>
  <si>
    <t>laura.garda99@gmail.com</t>
  </si>
  <si>
    <t>17 Giugno 2025 23:06</t>
  </si>
  <si>
    <t xml:space="preserve">non ricevibile in quanto non laureato </t>
  </si>
  <si>
    <t>Laurea in MEDICINA E CHIRURGIA</t>
  </si>
  <si>
    <t>Pier Francesco</t>
  </si>
  <si>
    <t>Zari</t>
  </si>
  <si>
    <t>ZRAPFR97L21G999V</t>
  </si>
  <si>
    <t>'+393331684796</t>
  </si>
  <si>
    <t>pierfrankzari@ymail.com</t>
  </si>
  <si>
    <t>Empoli (FI) - 50053</t>
  </si>
  <si>
    <t>Dottorato in Business and Law - Istituzioni e impresa: valore, regole e responsabilità sociale</t>
  </si>
  <si>
    <t>24 Luglio 2025 10:49</t>
  </si>
  <si>
    <t>Bocchi</t>
  </si>
  <si>
    <t>BCCDRD98L29B157W</t>
  </si>
  <si>
    <t>'+393314942940</t>
  </si>
  <si>
    <t>bocchiedoardo98@gmail.com</t>
  </si>
  <si>
    <t>Sustainability Officer</t>
  </si>
  <si>
    <t>Magris Spa</t>
  </si>
  <si>
    <t>Palazzolo Sull’Oglio</t>
  </si>
  <si>
    <t>Laurea (2)</t>
  </si>
  <si>
    <t>24 Luglio 2025 10:38</t>
  </si>
  <si>
    <t>Pietrantoni</t>
  </si>
  <si>
    <t>PTRLRT94E13I775Z</t>
  </si>
  <si>
    <t>'+393403726689</t>
  </si>
  <si>
    <t>alpietra94@gmail.com</t>
  </si>
  <si>
    <t>Ospedale San Bortolo di Vicenza</t>
  </si>
  <si>
    <t>Lavagno</t>
  </si>
  <si>
    <t>Laurea Magistrale a Ciclo Unico in Medicina e Chirurgia (conseguita il 10/10/2019) e Diploma di Specializzazione in Anatomia Patologica (conseguito il 30/01/2025).</t>
  </si>
  <si>
    <t>24 Luglio 2025 10:33</t>
  </si>
  <si>
    <t>Gian Luca</t>
  </si>
  <si>
    <t>CHRGLC91R10E884A</t>
  </si>
  <si>
    <t>'+393382147667</t>
  </si>
  <si>
    <t>g.lucacherubini@gmail.com</t>
  </si>
  <si>
    <t>www.linkedin.com/in/gian-luca-cherubini-5908b7178</t>
  </si>
  <si>
    <t>Production Unit Manager</t>
  </si>
  <si>
    <t>Iveco Group S.p.A.</t>
  </si>
  <si>
    <t>Laurea Magistrale Ingegneria Gestionale</t>
  </si>
  <si>
    <t>24 Luglio 2025 10:30</t>
  </si>
  <si>
    <t>BORGHETTI</t>
  </si>
  <si>
    <t>BRGNTN85S21H612I</t>
  </si>
  <si>
    <t>'+393292086426</t>
  </si>
  <si>
    <t>ab@studioborghetti.com</t>
  </si>
  <si>
    <t>https://www.linkedin.com/in/antonioborghetti/</t>
  </si>
  <si>
    <t>DOTTORANDO DI RICERCA</t>
  </si>
  <si>
    <t>ROVERETO</t>
  </si>
  <si>
    <t>24 Luglio 2025 10:15</t>
  </si>
  <si>
    <t>Gazzani</t>
  </si>
  <si>
    <t>GZZMRA74A26L781C</t>
  </si>
  <si>
    <t>'+393286599153</t>
  </si>
  <si>
    <t>mario.gazzani@gmail.com</t>
  </si>
  <si>
    <t>https://www.linkedin.com/in/mario-gazzani/</t>
  </si>
  <si>
    <t>San Pietro in Cariano, VR</t>
  </si>
  <si>
    <t>24/03/1999, Laurea in Ingegneria Meccanica, 24/02/2023 Master Universitario II Livello "Intelligenza atificiale, Mente, Impresa"</t>
  </si>
  <si>
    <t>24 Luglio 2025 10:04</t>
  </si>
  <si>
    <t>Alessi</t>
  </si>
  <si>
    <t>Gerardo</t>
  </si>
  <si>
    <t>'+393920965007</t>
  </si>
  <si>
    <t>gerardo.alessi@gmail.com</t>
  </si>
  <si>
    <t>Via Romanelli 26</t>
  </si>
  <si>
    <t>Cyber Security Engineer</t>
  </si>
  <si>
    <t>Cavagna Group</t>
  </si>
  <si>
    <t>24 Luglio 2025 8:52</t>
  </si>
  <si>
    <t>Salvalai</t>
  </si>
  <si>
    <t>SLVLGU90S13B157N</t>
  </si>
  <si>
    <t>'+393334019845</t>
  </si>
  <si>
    <t>salvalailuigi@gmail.com</t>
  </si>
  <si>
    <t>www.linkedin.com/in/luigi-salvalai-1868775a</t>
  </si>
  <si>
    <t>Supply chain manager</t>
  </si>
  <si>
    <t>Laurea magistrale e triennale in Ingegneria gestionale e laurea magistrale in International business</t>
  </si>
  <si>
    <t>24 Luglio 2025 8:00</t>
  </si>
  <si>
    <t>Guerandi</t>
  </si>
  <si>
    <t>Clarissa</t>
  </si>
  <si>
    <t>GRNCRS98T66E884C</t>
  </si>
  <si>
    <t>'+393662751057</t>
  </si>
  <si>
    <t>clarissa.guerandi@gmail.com</t>
  </si>
  <si>
    <t>Laurea magistrale, Management (Green Economy and Sustainability), 24/03/2025</t>
  </si>
  <si>
    <t>24 Luglio 2025 7:00</t>
  </si>
  <si>
    <t>Vivenzi</t>
  </si>
  <si>
    <t>VVNLNZ98P06D940B</t>
  </si>
  <si>
    <t>'+393452198936</t>
  </si>
  <si>
    <t>loriwiwe98@gmail.com</t>
  </si>
  <si>
    <t>https://www.linkedin.com/in/lorenzo-vivenzi</t>
  </si>
  <si>
    <t>Fineco</t>
  </si>
  <si>
    <t>Manerba del garda</t>
  </si>
  <si>
    <t>Laurea triennale in economia - banca e finanza in data 25/10/22</t>
  </si>
  <si>
    <t>24 Luglio 2025 1:29</t>
  </si>
  <si>
    <t>El Sharkawy</t>
  </si>
  <si>
    <t>Younes</t>
  </si>
  <si>
    <t>LSHYNS99C03D940Q</t>
  </si>
  <si>
    <t>'+393776100390</t>
  </si>
  <si>
    <t>elsharkawyyounes@gmail.com</t>
  </si>
  <si>
    <t>Laurea Magistrale a ciclo unico in Medicina e Chirurgia, conseguita il 9-12-2024</t>
  </si>
  <si>
    <t>24 Luglio 2025 0:54</t>
  </si>
  <si>
    <t>Alessandro Giovanni</t>
  </si>
  <si>
    <t>BRNLSN98E31B157H</t>
  </si>
  <si>
    <t>'+393338977507</t>
  </si>
  <si>
    <t>alessandrobrunelli98@outlook.it</t>
  </si>
  <si>
    <t>24 Luglio 2025 0:09</t>
  </si>
  <si>
    <t>Capoferri</t>
  </si>
  <si>
    <t>CPFLCU01H29E333C</t>
  </si>
  <si>
    <t>'+393462765886</t>
  </si>
  <si>
    <t>lucacapoferri2001@gmail.com</t>
  </si>
  <si>
    <t>Via Geroldi 43</t>
  </si>
  <si>
    <t>Laurea Primo Livello 20/05/2025</t>
  </si>
  <si>
    <t>23 Luglio 2025 23:16</t>
  </si>
  <si>
    <t>Barbera</t>
  </si>
  <si>
    <t>BRBCHR85S44D150H</t>
  </si>
  <si>
    <t>'+393332424317</t>
  </si>
  <si>
    <t>barberachiara1985@gmail.com</t>
  </si>
  <si>
    <t>Bonemerse</t>
  </si>
  <si>
    <t>23 Luglio 2025 22:35</t>
  </si>
  <si>
    <t>Mobasser</t>
  </si>
  <si>
    <t>Aidin</t>
  </si>
  <si>
    <t>MBSDNA86M04Z224R</t>
  </si>
  <si>
    <t>'+393887814991</t>
  </si>
  <si>
    <t>a.mobasser1986@outlook.com</t>
  </si>
  <si>
    <t>https://www.linkedin.com/in/aidinmobasser/</t>
  </si>
  <si>
    <t>Köln</t>
  </si>
  <si>
    <t>Dottorato di Analytics for Economics and Management (AEM) - Economic Policy decipline</t>
  </si>
  <si>
    <t>23 Luglio 2025 22:15</t>
  </si>
  <si>
    <t>Meghwar</t>
  </si>
  <si>
    <t>Gian Chand</t>
  </si>
  <si>
    <t>MGHGCH00H15Z236J</t>
  </si>
  <si>
    <t>'+393518481954</t>
  </si>
  <si>
    <t>engr.gian.chand@gmail.com</t>
  </si>
  <si>
    <t>Via Senatore Diogene Valotti 3/b</t>
  </si>
  <si>
    <t>Pakistan</t>
  </si>
  <si>
    <t>23 Luglio 2025 22:09</t>
  </si>
  <si>
    <t>Iscrizione Alumni Unibs</t>
  </si>
  <si>
    <t>Gagni</t>
  </si>
  <si>
    <t>GGNDNL99R28A794N</t>
  </si>
  <si>
    <t>'+393339036521</t>
  </si>
  <si>
    <t>danielegagni@gmail.com</t>
  </si>
  <si>
    <t>Medico libero professionista</t>
  </si>
  <si>
    <t>Alzano Lombardo</t>
  </si>
  <si>
    <t>23 Luglio 2025 21:50</t>
  </si>
  <si>
    <t>SCLDVD93L10E884A</t>
  </si>
  <si>
    <t>'+393347063312</t>
  </si>
  <si>
    <t>davidescalvini.med@gmail.com</t>
  </si>
  <si>
    <t>https://www.linkedin.com/in/davide-scalvini-1993md?utm_source=share&amp;utm_campaign=share_via&amp;utm_content=profile&amp;utm_medium=ios_app</t>
  </si>
  <si>
    <t>Gastroenterologo, Dottorando</t>
  </si>
  <si>
    <t>Università degli Studi di Pavia, Policlinico San Matteo</t>
  </si>
  <si>
    <t>Pavia</t>
  </si>
  <si>
    <t>Laurea Magistrale in Medicina e Chirurgia, anno 2018, UniBs; Specializzazione in Malattie dell’apparato digerente, anno 2025, UniPv; Dottorato di ricerca in Medicina Sperimentale in corso, UniPv</t>
  </si>
  <si>
    <t>23 Luglio 2025 21:41</t>
  </si>
  <si>
    <t>Samoila</t>
  </si>
  <si>
    <t>Smlcst92m30z140g</t>
  </si>
  <si>
    <t>'+393881554435</t>
  </si>
  <si>
    <t>samoilac@libero.it</t>
  </si>
  <si>
    <t>Via Massimo D'Azeglio 21</t>
  </si>
  <si>
    <t>Patent engineer professional</t>
  </si>
  <si>
    <t>Toyota Material Handling Manufactoring Italy</t>
  </si>
  <si>
    <t>23 Luglio 2025 21:28</t>
  </si>
  <si>
    <t>Vaduva</t>
  </si>
  <si>
    <t>Daniela Maria</t>
  </si>
  <si>
    <t>VDVDLM86P61Z129U</t>
  </si>
  <si>
    <t>'+393291125002</t>
  </si>
  <si>
    <t>daniela.m.vaduva@gmail.com</t>
  </si>
  <si>
    <t>Laurea magistrale in corso</t>
  </si>
  <si>
    <t>23 Luglio 2025 21:27</t>
  </si>
  <si>
    <t>Lombardi</t>
  </si>
  <si>
    <t>LMBFPP02P07D940N</t>
  </si>
  <si>
    <t>'+393898877791</t>
  </si>
  <si>
    <t>filippo.lombardi890@gmail.com</t>
  </si>
  <si>
    <t>https://www.linkedin.com/in/filippolombardiofficial/</t>
  </si>
  <si>
    <t>23 Luglio 2025 21:17</t>
  </si>
  <si>
    <t>TRAN</t>
  </si>
  <si>
    <t>THI KIM HOAN</t>
  </si>
  <si>
    <t>TRNTKM79R60Z251E</t>
  </si>
  <si>
    <t>'+393477759118</t>
  </si>
  <si>
    <t>h.tranthikim@unibs.it</t>
  </si>
  <si>
    <t>via banze 43, Brescia italy</t>
  </si>
  <si>
    <t>Brescia, Italy</t>
  </si>
  <si>
    <t>Vietnam</t>
  </si>
  <si>
    <t>Dottorato,Data di Laurea 29/4/2025</t>
  </si>
  <si>
    <t>23 Luglio 2025 20:42</t>
  </si>
  <si>
    <t>Mendini</t>
  </si>
  <si>
    <t>Ida</t>
  </si>
  <si>
    <t>MNDDIA77R70B157T</t>
  </si>
  <si>
    <t>'+393282751092</t>
  </si>
  <si>
    <t>idamendini@gmail.com</t>
  </si>
  <si>
    <t>Ingegneria Gestionale pre riforma</t>
  </si>
  <si>
    <t>23 Luglio 2025 20:23</t>
  </si>
  <si>
    <t>fedriga</t>
  </si>
  <si>
    <t>Fdrcln94d48d434s</t>
  </si>
  <si>
    <t>'+393342766186</t>
  </si>
  <si>
    <t>fedriga.carolina@gmail.com</t>
  </si>
  <si>
    <t>via belvedere, 1, Breno, presso distributore IP</t>
  </si>
  <si>
    <t>23 Luglio 2025 20:09</t>
  </si>
  <si>
    <t>Joel</t>
  </si>
  <si>
    <t>Azzolini</t>
  </si>
  <si>
    <t>ZZLJLO97R15G489R</t>
  </si>
  <si>
    <t>'+393495393882</t>
  </si>
  <si>
    <t>dott.joel.azzolini@gmail.com</t>
  </si>
  <si>
    <t>https://www.linkedin.com/in/joel-azzolini-a13750275?utm_source=share&amp;utm_campaign=share_via&amp;utm_content=profile&amp;utm_medium=ios_app</t>
  </si>
  <si>
    <t>Laurea magistrale in medicina e chirurgia, 16/10/2023</t>
  </si>
  <si>
    <t>Il bonificato partirà il 24/7/25 quindi ci vorranno un paio di giorni lavorativi.</t>
  </si>
  <si>
    <t>23 Luglio 2025 19:54</t>
  </si>
  <si>
    <t>Zortea</t>
  </si>
  <si>
    <t>ZRTSFO03D57C794N</t>
  </si>
  <si>
    <t>'+393348794010</t>
  </si>
  <si>
    <t>sofia.zortea@gmail.com</t>
  </si>
  <si>
    <t>Laurea triennale in Ingegneria Gestionale (15/07/2025)</t>
  </si>
  <si>
    <t>23 Luglio 2025 19:23</t>
  </si>
  <si>
    <t>Ukpe</t>
  </si>
  <si>
    <t>Brian</t>
  </si>
  <si>
    <t>KPUBRN94D05B157T</t>
  </si>
  <si>
    <t>b.ukpe@libero.it</t>
  </si>
  <si>
    <t>23 Luglio 2025 19:21</t>
  </si>
  <si>
    <t>Premathilake</t>
  </si>
  <si>
    <t>Dilshan Sandaruwan</t>
  </si>
  <si>
    <t>PRMDSH88H29Z209W</t>
  </si>
  <si>
    <t>'+4915565002089</t>
  </si>
  <si>
    <t>d.premathilake@unibs.it</t>
  </si>
  <si>
    <t>www.linkedin.com/in/dilshanpremathilake</t>
  </si>
  <si>
    <t>Postdoc Researcher</t>
  </si>
  <si>
    <t>Karlsruhe Institute of Technology</t>
  </si>
  <si>
    <t>Karlsruhe</t>
  </si>
  <si>
    <t>Doctorate (Environmental Engineering-27/02/2025)</t>
  </si>
  <si>
    <t>23 Luglio 2025 19:01</t>
  </si>
  <si>
    <t>Gatti</t>
  </si>
  <si>
    <t>Pamela</t>
  </si>
  <si>
    <t>GTTPML98P45B157I</t>
  </si>
  <si>
    <t>'+32456900483</t>
  </si>
  <si>
    <t>pamela.gatti@outlook.com</t>
  </si>
  <si>
    <t>https://www.linkedin.com/in/pamela-gatti-379b08196?utm_source=share&amp;utm_campaign=share_via&amp;utm_content=profile&amp;utm_medium=ios_app</t>
  </si>
  <si>
    <t>Recycling Analyst</t>
  </si>
  <si>
    <t>Plastics Recyclers Europe</t>
  </si>
  <si>
    <t>Laurea Magistrale Ingegneria Gestionale, 2024</t>
  </si>
  <si>
    <t>23 Luglio 2025 18:29</t>
  </si>
  <si>
    <t>MNZMTT99M06B157D</t>
  </si>
  <si>
    <t>mattia.tomcat@gmail.com</t>
  </si>
  <si>
    <t>laurea magistrale a ciclo unico in Medicina e Chirurgia, conseguita in data 17/10/2024</t>
  </si>
  <si>
    <t>Ho già inviato un primo modulo di richiesta qualche settimana fa senza riscontro (bonifico 01/07/25). Grazie</t>
  </si>
  <si>
    <t>23 Luglio 2025 18:10</t>
  </si>
  <si>
    <t>Ventura</t>
  </si>
  <si>
    <t>VNTRRT94L03E884B</t>
  </si>
  <si>
    <t>roberto.ventura@unibs.it</t>
  </si>
  <si>
    <t>Ricercatore RTDa</t>
  </si>
  <si>
    <t>Dottorato di Ricerca in Ingegneria Civile, Ambientale, della Cooperazione Internazionale e di Matematica</t>
  </si>
  <si>
    <t>18 Luglio 2025 9:35</t>
  </si>
  <si>
    <t>Hanif</t>
  </si>
  <si>
    <t>Muhammad Faisal</t>
  </si>
  <si>
    <t>HNFMMM90D30Z236J</t>
  </si>
  <si>
    <t>mfaisal92@gmail.com</t>
  </si>
  <si>
    <t>www.linkedin.com/in/m-faisal-hanif</t>
  </si>
  <si>
    <t>Sahiwal</t>
  </si>
  <si>
    <t>PhD in Civil and Environmental Engineering, International Cooperation and Mathematics, July 2025, University of Brescia, Italy</t>
  </si>
  <si>
    <t>17 Luglio 2025 9:42</t>
  </si>
  <si>
    <t>FRDSRA98D63B157F</t>
  </si>
  <si>
    <t>sarettafre98@gmail.com</t>
  </si>
  <si>
    <t>Planning Specialist</t>
  </si>
  <si>
    <t>Copan Italia</t>
  </si>
  <si>
    <t>Vestone (BS)</t>
  </si>
  <si>
    <t>Laurea magistrale in Ingegneria Gestionale, corso logistico e produttivo, 17/02/2023</t>
  </si>
  <si>
    <t>16 Luglio 2025 19:36</t>
  </si>
  <si>
    <t>Spanò</t>
  </si>
  <si>
    <t>SPNLCU98A15I138B</t>
  </si>
  <si>
    <t>'+393286788696</t>
  </si>
  <si>
    <t>lucaspa98@yahoo.it</t>
  </si>
  <si>
    <t>Via Dante Alighieri 6</t>
  </si>
  <si>
    <t>Neolaureato</t>
  </si>
  <si>
    <t>Sanremo</t>
  </si>
  <si>
    <t>16 Luglio 2025 12:01</t>
  </si>
  <si>
    <t>BRBSFN81H09E884D</t>
  </si>
  <si>
    <t>'+393343946119</t>
  </si>
  <si>
    <t>s.barbieri@essebiengineering.com</t>
  </si>
  <si>
    <t>https://www.linkedin.com/in/barbieris</t>
  </si>
  <si>
    <t>Esse-Bi Engineering</t>
  </si>
  <si>
    <t>Laurea V.O. ingegneria Meccanica 22/09/2006</t>
  </si>
  <si>
    <t>16 Luglio 2025 10:38</t>
  </si>
  <si>
    <t>Mohammad</t>
  </si>
  <si>
    <t>Hiba</t>
  </si>
  <si>
    <t>MHMHBI89A42Z240B</t>
  </si>
  <si>
    <t>'+393272251054</t>
  </si>
  <si>
    <t>hibamohammad2015@gmail.com</t>
  </si>
  <si>
    <t>Via Bligny 17</t>
  </si>
  <si>
    <t>PhD in Civil Engineering, Environmental of International Cooperation and Mathematics</t>
  </si>
  <si>
    <t>14 Luglio 2025 20:27</t>
  </si>
  <si>
    <t>RVIPTR00H28A794M</t>
  </si>
  <si>
    <t>'+393391274198</t>
  </si>
  <si>
    <t>pietroriva000@gmail.com</t>
  </si>
  <si>
    <t>Laurea magistrale a ciclo unico</t>
  </si>
  <si>
    <t>14 Luglio 2025 12:10</t>
  </si>
  <si>
    <t>Zindato</t>
  </si>
  <si>
    <t>ZNDJCP96A15D434I</t>
  </si>
  <si>
    <t>'+393458287110</t>
  </si>
  <si>
    <t>jacopozindato@yahoo.it</t>
  </si>
  <si>
    <t>Laurea magistrale in medicina e chirurgia 04/07/2025</t>
  </si>
  <si>
    <t>7 Luglio 2025 23:35</t>
  </si>
  <si>
    <t>Franceschinelli</t>
  </si>
  <si>
    <t>FRNDNS00M10D434G</t>
  </si>
  <si>
    <t>'+393405105587</t>
  </si>
  <si>
    <t>alias.denisfranceschinelli@gmail.com</t>
  </si>
  <si>
    <t>www.linkedin.com/in/denis-franceschinelli</t>
  </si>
  <si>
    <t>Studenti</t>
  </si>
  <si>
    <t>Conseguimento titolo magistrale in ingegneria dell'automazione industriale previsto per settembre 2025</t>
  </si>
  <si>
    <t>7 Luglio 2025 22:15</t>
  </si>
  <si>
    <t>AZZINI</t>
  </si>
  <si>
    <t>MARTA</t>
  </si>
  <si>
    <t>ZZNMRT99M43B157H</t>
  </si>
  <si>
    <t>'+393312418943</t>
  </si>
  <si>
    <t>marta.azzini99@gmail.com</t>
  </si>
  <si>
    <t>Marta Azzini</t>
  </si>
  <si>
    <t>Laurea Magistrale Giurisprudenza</t>
  </si>
  <si>
    <t>7 Luglio 2025 17:08</t>
  </si>
  <si>
    <t>Salvagnin</t>
  </si>
  <si>
    <t>SLVCST96R13L304G</t>
  </si>
  <si>
    <t>cristiano.salvagnin@gmail.com</t>
  </si>
  <si>
    <t>https://www.linkedin.com/in/cristiano-salvagnin/</t>
  </si>
  <si>
    <t>Ricercatore</t>
  </si>
  <si>
    <t>Università degli Studi dell'Insubria</t>
  </si>
  <si>
    <t>Castelnuovo Scrivia (AL)</t>
  </si>
  <si>
    <t>Dottorato di Ricerca - 01/07/2025</t>
  </si>
  <si>
    <t>7 Luglio 2025 14:38</t>
  </si>
  <si>
    <t>sig.ra</t>
  </si>
  <si>
    <t>MAZZUCCHELLI</t>
  </si>
  <si>
    <t>MONICA</t>
  </si>
  <si>
    <t>MZZMNC64E54F532M</t>
  </si>
  <si>
    <t>'+393394229502</t>
  </si>
  <si>
    <t>monica.mazzucchelli1964@gmail.com</t>
  </si>
  <si>
    <t>Sanipur Spa</t>
  </si>
  <si>
    <t>Laura magistrale in Economia e Commercio - 17-04-1989</t>
  </si>
  <si>
    <t>30 Giugno 2025 18:30</t>
  </si>
  <si>
    <t>Pavneesh</t>
  </si>
  <si>
    <t>SNGPNS98P15Z222U</t>
  </si>
  <si>
    <t>pavneesh1998@gmail.com</t>
  </si>
  <si>
    <t>Laurea Magistrale, Ingegneria Informatica, 23/10/2024</t>
  </si>
  <si>
    <t>30 Giugno 2025 16:31</t>
  </si>
  <si>
    <t>LCTGLI99B46B157G</t>
  </si>
  <si>
    <t>giuly.locatelli@gmail.com</t>
  </si>
  <si>
    <t>Laurea a ciclo unico, 12/12/24</t>
  </si>
  <si>
    <t>30 Giugno 2025 15:55</t>
  </si>
  <si>
    <t>DOTTOR</t>
  </si>
  <si>
    <t>RABOLINI</t>
  </si>
  <si>
    <t>RBLFNC99B21E333P</t>
  </si>
  <si>
    <t>rabbiuz@gmail.com</t>
  </si>
  <si>
    <t>Sarnico</t>
  </si>
  <si>
    <t>LAUREA MAGISTRALE A CICLO UNICO IN MEDICINA E CHIRURGIA LM-41 09/12/2024</t>
  </si>
  <si>
    <t>29 Giugno 2025 18:26</t>
  </si>
  <si>
    <t>FILIPPINI</t>
  </si>
  <si>
    <t>ETTORE</t>
  </si>
  <si>
    <t>FLPTTR67D06B157O</t>
  </si>
  <si>
    <t>'+393485704881</t>
  </si>
  <si>
    <t>ettorfil@alice.it</t>
  </si>
  <si>
    <t>https://www.linkedin.com/in/ettore-filippini-a0620728?utm_source=share&amp;utm_campaign=share_via&amp;utm_content=profile&amp;utm_medium=android_app</t>
  </si>
  <si>
    <t>Responsabile esercizio reti teleriscaldamento</t>
  </si>
  <si>
    <t>A2A Calore e Servizi srl</t>
  </si>
  <si>
    <t>LAUREA INGEGNERIA MECCANICA AUTOMAZIONE VECCHIO ORDINAMENTO QUINQUENNALE CONSEGUITA IL 16/7/1991</t>
  </si>
  <si>
    <t>Ho ricevuto il titolo di Maestro del Lavoro nel 2024 per le attività di innovazione e miglioramento dei processi produttivi anche per gli aspetti di sicurezza.</t>
  </si>
  <si>
    <t>28 Giugno 2025 20:21</t>
  </si>
  <si>
    <t>Scuola di specializzazione in ANATOMIA PATOLOGICA</t>
  </si>
  <si>
    <t>Master II Livello in INTELLIGENZA ARTIFICIALE, MENTE, IMPRESA</t>
  </si>
  <si>
    <t>Dottorato in Diritti, Persona, Innovazione e Mercato</t>
  </si>
  <si>
    <t>LSSGRD89E13B157P</t>
  </si>
  <si>
    <t>Laurea in INFERMIERISTICA</t>
  </si>
  <si>
    <t>iraniana</t>
  </si>
  <si>
    <t xml:space="preserve">moldava </t>
  </si>
  <si>
    <t>Dottorato in DOTTORATO IN INGEGNERIA CIVILE, AMBIENTALE, DELLA COOPERAZIONE INTERNAZIONALE E DI MATEMATICA</t>
  </si>
  <si>
    <t>vietnamita</t>
  </si>
  <si>
    <t>Laurea MEDICINA E CHIRURGIA</t>
  </si>
  <si>
    <t>singalese</t>
  </si>
  <si>
    <t>paksitana</t>
  </si>
  <si>
    <t>Laurea in  INGEGNERIA MECCANICA</t>
  </si>
  <si>
    <t>Laurea in GIURISPRUDENZA</t>
  </si>
  <si>
    <t>IN SOSPESO, SI LAUREA AD OTTOBRE</t>
  </si>
  <si>
    <t>30+30</t>
  </si>
  <si>
    <t>Peperoni</t>
  </si>
  <si>
    <t>PPRLNE75D57E202W</t>
  </si>
  <si>
    <t>'+393281022828</t>
  </si>
  <si>
    <t>epeperoni@notariato.it</t>
  </si>
  <si>
    <t>Laurea in Giurisprudenza 02/1999</t>
  </si>
  <si>
    <t>30 Luglio 2025 8:24</t>
  </si>
  <si>
    <t>IPPOLITO</t>
  </si>
  <si>
    <t>CRISPINO</t>
  </si>
  <si>
    <t>PPLCSP70L21L049H</t>
  </si>
  <si>
    <t>'+393473852776</t>
  </si>
  <si>
    <t>crispidocippolito@msn.com</t>
  </si>
  <si>
    <t>CAZZAGO SAN MARTINO</t>
  </si>
  <si>
    <t>Specialista in Anestesia e Rianimazione dal 2014, master 2 livello in terapia del dolore nel 2015</t>
  </si>
  <si>
    <t>30 Luglio 2025 8:19</t>
  </si>
  <si>
    <t>Apostoli</t>
  </si>
  <si>
    <t>Pstpla85c52b157m</t>
  </si>
  <si>
    <t>phd.apostolipaola@gmail.com</t>
  </si>
  <si>
    <t>Docente</t>
  </si>
  <si>
    <t>Dottorato di ricerca in microbiologia e virologia</t>
  </si>
  <si>
    <t>29 Luglio 2025 22:23</t>
  </si>
  <si>
    <t>Medico Chirurgo, specializzata in Neurochirurga</t>
  </si>
  <si>
    <t>Roca</t>
  </si>
  <si>
    <t>RCOLNE88S42B157X</t>
  </si>
  <si>
    <t>'+393393667949</t>
  </si>
  <si>
    <t>rocaelena@gmail.com</t>
  </si>
  <si>
    <t>Via Guido Zadei n° 51</t>
  </si>
  <si>
    <t>Neurochirurga</t>
  </si>
  <si>
    <t>REZZATO</t>
  </si>
  <si>
    <t>Laurea in Medicina e Chirurgia nel 2013, Specializzazione in Neurochirurgia nel 2019, Dottorato di Ricerca "Technology for Health" nel 2023</t>
  </si>
  <si>
    <t>29 Luglio 2025 18:48</t>
  </si>
  <si>
    <t>MEDICO</t>
  </si>
  <si>
    <t>TIBALDI</t>
  </si>
  <si>
    <t>TBLPLA90E55A794R</t>
  </si>
  <si>
    <t>'+393479656054</t>
  </si>
  <si>
    <t>p.tibaldi1990@gmail.com</t>
  </si>
  <si>
    <t>SPECIALIZZANDO IN GERIATRIA</t>
  </si>
  <si>
    <t>VILLA DI SERIO (BG)</t>
  </si>
  <si>
    <t>LAUREA IN MEDICINA E CHIRURGIA, LAUREATA IL 27/03/2017</t>
  </si>
  <si>
    <t>29 Luglio 2025 17:22</t>
  </si>
  <si>
    <t>Arabia</t>
  </si>
  <si>
    <t>Gianmarco</t>
  </si>
  <si>
    <t>rbagmr91c19c616d</t>
  </si>
  <si>
    <t>'+393389647686</t>
  </si>
  <si>
    <t>gianmarcoarabia@gmail.com</t>
  </si>
  <si>
    <t>via Vivaldi N.12</t>
  </si>
  <si>
    <t>Laureato in medicina e chirurgia, specializzato in malattie dell'apparato cardiovascolare, PhD in scienze mediche e medicina traslazionale, Master di II livello in elettrofisiologia e cardiostimolazione, Master di II livello in Management per la direzione di strutture complesse</t>
  </si>
  <si>
    <t>29 Luglio 2025 17:12</t>
  </si>
  <si>
    <t>Moretta</t>
  </si>
  <si>
    <t>MRTMRC83E27D918J</t>
  </si>
  <si>
    <t>'+393336838988</t>
  </si>
  <si>
    <t>marco.moretta@gmail.com</t>
  </si>
  <si>
    <t>Medico Medicina Generale</t>
  </si>
  <si>
    <t>Asst Spedali Civili Brescia</t>
  </si>
  <si>
    <t>29 Luglio 2025 16:56</t>
  </si>
  <si>
    <t>Dottore in Fisioterapia</t>
  </si>
  <si>
    <t>Hicheri</t>
  </si>
  <si>
    <t>HCHMHL96M16B157E</t>
  </si>
  <si>
    <t>'+14708389506</t>
  </si>
  <si>
    <t>michele.hicheri@protonmail.com</t>
  </si>
  <si>
    <t>Portland</t>
  </si>
  <si>
    <t>Chiropractic and Functional Neurology (USA)</t>
  </si>
  <si>
    <t>29 Luglio 2025 16:38</t>
  </si>
  <si>
    <t>Scorpiniti</t>
  </si>
  <si>
    <t>Rita Giovanna</t>
  </si>
  <si>
    <t>SCRRGV71C70I628U</t>
  </si>
  <si>
    <t>'+393280222037</t>
  </si>
  <si>
    <t>rita.scorpiniti@gmail.com</t>
  </si>
  <si>
    <t>Segreteria/Completo pratica forense presso Ordine Avvocati Bergamo, devo ritentare dicembre 2025 l'esame di abilitazione alla professione di Avvocato</t>
  </si>
  <si>
    <t>Studio Medico Dott.ssa Scorpiniti Anna</t>
  </si>
  <si>
    <t>Montello (BG)</t>
  </si>
  <si>
    <t>Laurea Magistrale in Giurisprudenza 2015</t>
  </si>
  <si>
    <t>29 Luglio 2025 15:46</t>
  </si>
  <si>
    <t>AMADORI</t>
  </si>
  <si>
    <t>MDRNLS71A62B157N</t>
  </si>
  <si>
    <t>annalisa.a22@gmail.com</t>
  </si>
  <si>
    <t>Medico pediatra convenzionato</t>
  </si>
  <si>
    <t>Laurea in Medicina e Chirurgia a Bs nel 1996, specializzazione in Pediatria a Parma nel 2002, Master in Endocrinologia nel 2004, master in dermatologia pediatrica nel 2018</t>
  </si>
  <si>
    <t>29 Luglio 2025 15:02</t>
  </si>
  <si>
    <t>Vecchi</t>
  </si>
  <si>
    <t>VCCNRC00T15D918J</t>
  </si>
  <si>
    <t>'+393457601430</t>
  </si>
  <si>
    <t>vecchirunner@gmail.com</t>
  </si>
  <si>
    <t>Laurea Magistrale in attività fisica per la salute e il benessere, 106/110 conseguita il 17/07/25</t>
  </si>
  <si>
    <t>29 Luglio 2025 14:49</t>
  </si>
  <si>
    <t>Posio</t>
  </si>
  <si>
    <t>PSOGNN79T19B157A</t>
  </si>
  <si>
    <t>'+393478267679</t>
  </si>
  <si>
    <t>giovanniposio@gmail.com</t>
  </si>
  <si>
    <t>https://www.linkedin.com/in/giovanni-posio-3b802096?utm_source=share&amp;utm_campaign=share_via&amp;utm_content=profile&amp;utm_medium=android_app</t>
  </si>
  <si>
    <t>Studio Notarile Associato CPV</t>
  </si>
  <si>
    <t>29 Luglio 2025 14:47</t>
  </si>
  <si>
    <t>BLLGLI97M50E884V</t>
  </si>
  <si>
    <t>belloni.giuliaa@gmail.com</t>
  </si>
  <si>
    <t>Castiglione delle stiviere</t>
  </si>
  <si>
    <t>Laurea magistrale giurisprudenza, 26 aprile 2023</t>
  </si>
  <si>
    <t>29 Luglio 2025 14:17</t>
  </si>
  <si>
    <t>sig.</t>
  </si>
  <si>
    <t>MARTINI</t>
  </si>
  <si>
    <t>OTTAVIO</t>
  </si>
  <si>
    <t>MRTTTV63E26D969Q</t>
  </si>
  <si>
    <t>'+390302428901</t>
  </si>
  <si>
    <t>ottaviomartini@gmail.com</t>
  </si>
  <si>
    <t>https://www.linkedin.com/in/ottavio-martini-3a28a4201/</t>
  </si>
  <si>
    <t>Senior Counsel</t>
  </si>
  <si>
    <t>WTS R&amp;A Studio Tributario</t>
  </si>
  <si>
    <t>Laurea magistrale, Economia aziendale, 27/04/1988</t>
  </si>
  <si>
    <t>29 Luglio 2025 14:11</t>
  </si>
  <si>
    <t>Sr. Innovation Manager</t>
  </si>
  <si>
    <t>Navarria</t>
  </si>
  <si>
    <t>NVRFPP89B14B157D</t>
  </si>
  <si>
    <t>'+393495057671</t>
  </si>
  <si>
    <t>filippo.navarria@gmail.com</t>
  </si>
  <si>
    <t>https://www.linkedin.com/in/filippo-navarria-pmp-16234843/</t>
  </si>
  <si>
    <t>Ingegneria dell'Automazione</t>
  </si>
  <si>
    <t>29 Luglio 2025 13:58</t>
  </si>
  <si>
    <t>ABENI</t>
  </si>
  <si>
    <t>BARBARA</t>
  </si>
  <si>
    <t>BNABBR69S69B157O</t>
  </si>
  <si>
    <t>'+393483234384</t>
  </si>
  <si>
    <t>barbara@barbaraabeni.com</t>
  </si>
  <si>
    <t>ceo</t>
  </si>
  <si>
    <t>Blue Eagle Technology srl</t>
  </si>
  <si>
    <t>laurea economia e commercio vecchio ordinamento indirizzo aziendale conseguita il 26.03.1996</t>
  </si>
  <si>
    <t>29 Luglio 2025 13:47</t>
  </si>
  <si>
    <t>DR.</t>
  </si>
  <si>
    <t>MARIANI</t>
  </si>
  <si>
    <t>MRNCRL55A22I625K</t>
  </si>
  <si>
    <t>'+393339474293</t>
  </si>
  <si>
    <t>docmariani@gmail.com</t>
  </si>
  <si>
    <t>VIA C. COLOMBO, 12</t>
  </si>
  <si>
    <t>SEREGNO</t>
  </si>
  <si>
    <t>Master II Livello in Osteoporosi e Malattie del Metabolismo Osseo 2013-2014</t>
  </si>
  <si>
    <t>29 Luglio 2025 13:28</t>
  </si>
  <si>
    <t>Ischia</t>
  </si>
  <si>
    <t>SCHNDR89R24L781V</t>
  </si>
  <si>
    <t>'+393406084438</t>
  </si>
  <si>
    <t>andrea.ischia@gmail.com</t>
  </si>
  <si>
    <t>https://www.linkedin.com/in/andreaischia/</t>
  </si>
  <si>
    <t>Principal</t>
  </si>
  <si>
    <t>Flower&amp;Klein</t>
  </si>
  <si>
    <t>Varese</t>
  </si>
  <si>
    <t>Laurea 2° livello, Economica - Consulenza Aziendale e Libera Professione, Aprile 2016</t>
  </si>
  <si>
    <t>Complimenti per l'iniziativa</t>
  </si>
  <si>
    <t>29 Luglio 2025 12:11</t>
  </si>
  <si>
    <t>CNTMRZ89H12B157V</t>
  </si>
  <si>
    <t>meuri.conti@gmail.com</t>
  </si>
  <si>
    <t>Responsabile Area Paghe e Contributi</t>
  </si>
  <si>
    <t>Master primo livello AMMINS FINANZA CONTROLLO DI GESTIONE. LAUREA TRIENNALE BANCA E FINANZA</t>
  </si>
  <si>
    <t>29 Luglio 2025 12:10</t>
  </si>
  <si>
    <t>VENTURINI</t>
  </si>
  <si>
    <t>REMO</t>
  </si>
  <si>
    <t>VNTRME62T01G170R</t>
  </si>
  <si>
    <t>'+393388310340</t>
  </si>
  <si>
    <t>removenturini@libero.it</t>
  </si>
  <si>
    <t>CONTRADA DEL CARMINE 3</t>
  </si>
  <si>
    <t>IN PROPRIO</t>
  </si>
  <si>
    <t>Brescia (BS)</t>
  </si>
  <si>
    <t>SONO DOTTORE COMMERCIALISTA</t>
  </si>
  <si>
    <t>29 Luglio 2025 11:48</t>
  </si>
  <si>
    <t>Amidani</t>
  </si>
  <si>
    <t>MDNMTT99P08B157F</t>
  </si>
  <si>
    <t>'+393345895728</t>
  </si>
  <si>
    <t>matteoamidani@gmail.com</t>
  </si>
  <si>
    <t>https://www.linkedin.com/in/matteo-amidani-a62699187?utm_source=share&amp;utm_campaign=share_via&amp;utm_content=profile&amp;utm_medium=ios_app</t>
  </si>
  <si>
    <t>Testing engineer</t>
  </si>
  <si>
    <t>Industrie Saleri Italo s.p.a</t>
  </si>
  <si>
    <t>Laurea magistrale in ingegneria meccanica il 10/09/2024</t>
  </si>
  <si>
    <t>29 Luglio 2025 11:04</t>
  </si>
  <si>
    <t>signora</t>
  </si>
  <si>
    <t>landi</t>
  </si>
  <si>
    <t>jessica</t>
  </si>
  <si>
    <t>lndjsc88p59b157w</t>
  </si>
  <si>
    <t>'+393929423523</t>
  </si>
  <si>
    <t>jekyl88@gmail.com</t>
  </si>
  <si>
    <t>sviluppatore senior</t>
  </si>
  <si>
    <t>Botticino</t>
  </si>
  <si>
    <t>Laurea Magistrale in Ingegnerie Informatica 03/2012</t>
  </si>
  <si>
    <t>29 Luglio 2025 10:52</t>
  </si>
  <si>
    <t>RSSMTT91T23D284X</t>
  </si>
  <si>
    <t>mattiarossi.m@gmail.com</t>
  </si>
  <si>
    <t>Senior Analyst Structured Finance</t>
  </si>
  <si>
    <t>29 Luglio 2025 9:58</t>
  </si>
  <si>
    <t>Eugenio</t>
  </si>
  <si>
    <t>CLLGNE79L30B157D</t>
  </si>
  <si>
    <t>'+393488302132</t>
  </si>
  <si>
    <t>eugeniocolla@gmail.com</t>
  </si>
  <si>
    <t>www.linkedin.com/in/eugeniocolla</t>
  </si>
  <si>
    <t>City Green Light Srl</t>
  </si>
  <si>
    <t>San Giovanni Lupatoto</t>
  </si>
  <si>
    <t>Laurea triennale in economia e gestione aziendale</t>
  </si>
  <si>
    <t>29 Luglio 2025 9:38</t>
  </si>
  <si>
    <t>PERONA</t>
  </si>
  <si>
    <t>PRNFPP77T01C618I</t>
  </si>
  <si>
    <t>'+393355347846</t>
  </si>
  <si>
    <t>peronaegozio.filippo@gmail.com</t>
  </si>
  <si>
    <t>INTERMEDIARIO ASSICURATIVO</t>
  </si>
  <si>
    <t>PEROAN&amp;GOZIO SRL, ZANARDINI ASSICURAZIONI SRL</t>
  </si>
  <si>
    <t>LOGRATO</t>
  </si>
  <si>
    <t>LAUREA E.C. (vecchio ordinamento) Indirizzo Aziendale</t>
  </si>
  <si>
    <t>29 Luglio 2025 9:27</t>
  </si>
  <si>
    <t>Laureato in Sistemi Agricoli Sostenibili</t>
  </si>
  <si>
    <t>Marella</t>
  </si>
  <si>
    <t>MRLLCU01A17B157P</t>
  </si>
  <si>
    <t>'+393274630489</t>
  </si>
  <si>
    <t>marellafive@gmail.com</t>
  </si>
  <si>
    <t>luca-marella-17aba5299</t>
  </si>
  <si>
    <t>Lavoratore autonomo/studente</t>
  </si>
  <si>
    <t>Laurea triennale in Sistemi Agricoli Sostenibili, Università degli Studi di Brescia 15 luglio 2025</t>
  </si>
  <si>
    <t>29 Luglio 2025 9:26</t>
  </si>
  <si>
    <t>'+393492255264</t>
  </si>
  <si>
    <t>federicacrosato3@gmail.com</t>
  </si>
  <si>
    <t>https://www.linkedin.com/in/federica-crosato-232419197/</t>
  </si>
  <si>
    <t>Dottoranda con borsa PNRR 117 Impresa</t>
  </si>
  <si>
    <t>Not-Architetcure stp srl</t>
  </si>
  <si>
    <t>Treviso</t>
  </si>
  <si>
    <t>Laurea magistrale a ciclo unico (2020), Master di II Livello (2023), Dottoranda di ricerca (in corso)</t>
  </si>
  <si>
    <t>29 Luglio 2025 8:29</t>
  </si>
  <si>
    <t>BNCMRT97B52B157O</t>
  </si>
  <si>
    <t>'+393467330316</t>
  </si>
  <si>
    <t>marta.bianchi997@gmail.com</t>
  </si>
  <si>
    <t>https://it.linkedin.com/in/marta-bianchi-0b3095207</t>
  </si>
  <si>
    <t>28 Luglio 2025 13:55</t>
  </si>
  <si>
    <t>Caravaggi</t>
  </si>
  <si>
    <t>CRVPTR99A26B157T</t>
  </si>
  <si>
    <t>pietro.caravaggi@gmail.com</t>
  </si>
  <si>
    <t>Laurea Magistrale a ciclo unico in Medicina e Chirurgia, 03.07.2025</t>
  </si>
  <si>
    <t>27 Luglio 2025 18:36</t>
  </si>
  <si>
    <t>ING</t>
  </si>
  <si>
    <t>PERUZZI</t>
  </si>
  <si>
    <t>PRZSFN73P29F861H</t>
  </si>
  <si>
    <t>'+393287234710</t>
  </si>
  <si>
    <t>peruzzi.s73@gmail.com</t>
  </si>
  <si>
    <t>linkedin.com/in/stefano-peruzzi-3512bb5</t>
  </si>
  <si>
    <t>VERONA</t>
  </si>
  <si>
    <t>26 Luglio 2025 14:47</t>
  </si>
  <si>
    <t>ANNA</t>
  </si>
  <si>
    <t>SLANNA99B57D434D</t>
  </si>
  <si>
    <t>'+393349998412</t>
  </si>
  <si>
    <t>salaanna17@gmail.com</t>
  </si>
  <si>
    <t>consulente ambientale</t>
  </si>
  <si>
    <t>Green Evolution S.r.l. SB</t>
  </si>
  <si>
    <t>Master I livello</t>
  </si>
  <si>
    <t>26 Luglio 2025 10:59</t>
  </si>
  <si>
    <t>ROSSINI</t>
  </si>
  <si>
    <t>SILVIA</t>
  </si>
  <si>
    <t>'+393478429841</t>
  </si>
  <si>
    <t>silvia.rossini@unibs.it</t>
  </si>
  <si>
    <t>VILLA CARCINA</t>
  </si>
  <si>
    <t>Dottorato di ricerca in scienza Infermieristiche</t>
  </si>
  <si>
    <t>25 Luglio 2025 15:54</t>
  </si>
  <si>
    <t>Braghini</t>
  </si>
  <si>
    <t>BRGNCL00C12A246T</t>
  </si>
  <si>
    <t>'+393425303710</t>
  </si>
  <si>
    <t>nicolo.braghini@gmail.com</t>
  </si>
  <si>
    <t>https://www.linkedin.com/in/nicol-braghini-98b43619a?utm_source=share&amp;utm_campaign=share_via&amp;utm_content=profile&amp;utm_medium=android_app</t>
  </si>
  <si>
    <t>Mont.El</t>
  </si>
  <si>
    <t>25 Luglio 2025 11:44</t>
  </si>
  <si>
    <t>Saresini</t>
  </si>
  <si>
    <t>SRSMNL99T30B157Z</t>
  </si>
  <si>
    <t>'+393664582299</t>
  </si>
  <si>
    <t>emanuelesaresini@icloud.com</t>
  </si>
  <si>
    <t>Laurea magistrale in giurisprudenza in data 17.10.2023</t>
  </si>
  <si>
    <t>24 Luglio 2025 16:35</t>
  </si>
  <si>
    <t>Terlizzi</t>
  </si>
  <si>
    <t>TRLSFO95R64B157W</t>
  </si>
  <si>
    <t>sofia.terlizzi1995@gmail.com</t>
  </si>
  <si>
    <t>24 Luglio 2025 15:16</t>
  </si>
  <si>
    <t>Nolli</t>
  </si>
  <si>
    <t>Nllvlr87d53b157p</t>
  </si>
  <si>
    <t>valeria.nolli@libero.it</t>
  </si>
  <si>
    <t>Vobarno</t>
  </si>
  <si>
    <t>Laurea specialistica in ingegneria edile architettura</t>
  </si>
  <si>
    <t>24 Luglio 2025 13:08</t>
  </si>
  <si>
    <t>BAGINI</t>
  </si>
  <si>
    <t>BGNLSN74L01B157G</t>
  </si>
  <si>
    <t>alessbag4@gmail.com</t>
  </si>
  <si>
    <t>https://www.linkedin.com/in/alessandro-b-36612914/</t>
  </si>
  <si>
    <t>Quality Team Leader</t>
  </si>
  <si>
    <t>Brembo</t>
  </si>
  <si>
    <t>24 Luglio 2025 12:54</t>
  </si>
  <si>
    <t>Scuola di specializzazione in ANESTESIA RIANIMAZIONE E TERAPIA INTENSIVA</t>
  </si>
  <si>
    <t>Dottorato in MICROBIOLOGIA</t>
  </si>
  <si>
    <t>Laurea Magistrale in Scienza del movimento per la salute ed il benessere</t>
  </si>
  <si>
    <t>Master II livello in OSTEOPOROSI E MALATTIE METAB. ISTITUITO AI SENSI DEL D.M. 270/04</t>
  </si>
  <si>
    <t>CRSFRC95D45L407G</t>
  </si>
  <si>
    <t>Laurea in INGEGNERIA EDILE-ARCHITETTURA</t>
  </si>
  <si>
    <t>Laurea in EDUCAZIONE PROFESSIONALE (ABILITANTE ALLA PROFESSIONE SANITARIA DI EDUCATORE PROFESSIONALE)</t>
  </si>
  <si>
    <t>RSSSLV74H54B157A</t>
  </si>
  <si>
    <t>Laurea Specialistica in SCIENZE INFERMIERISTICHE E OSTETRICHE</t>
  </si>
  <si>
    <t>federico.manenti@verlingue.it</t>
  </si>
  <si>
    <t>Tognazzi</t>
  </si>
  <si>
    <t>TGNNDR91H20B157M</t>
  </si>
  <si>
    <t>'+393338914574</t>
  </si>
  <si>
    <t>andrea.tognazzi@icloud.com</t>
  </si>
  <si>
    <t>RSPP</t>
  </si>
  <si>
    <t>Cavagna Group Spa</t>
  </si>
  <si>
    <t>Laura di secondo livello in ingegneria</t>
  </si>
  <si>
    <t>5 Agosto 2025 11:00</t>
  </si>
  <si>
    <t>Lorenzini</t>
  </si>
  <si>
    <t>LRNPLA89H69E884Q</t>
  </si>
  <si>
    <t>'+393479214550</t>
  </si>
  <si>
    <t>paola.lorenzini89@gmail.com</t>
  </si>
  <si>
    <t>Gambara (BS)</t>
  </si>
  <si>
    <t>Laurea specialistica a ciclo unico in Ingegneria Edile-Architettura, 16/07/2018; Master in Matematica (MasterMath) per l’accesso nei ruoli di docente della scuola secondaria classe A26, 28/02/2022; Percorso di formazione iniziale dei docenti (30 cfu), classe di concorso A-26, 14/07/2025</t>
  </si>
  <si>
    <t>4 Agosto 2025 12:16</t>
  </si>
  <si>
    <t>MSTNDR78S14B157B</t>
  </si>
  <si>
    <t>'+393293375767</t>
  </si>
  <si>
    <t>andreangers@gmail.com</t>
  </si>
  <si>
    <t>Ufficio Tecnico</t>
  </si>
  <si>
    <t>Di Natale Bertelli</t>
  </si>
  <si>
    <t>Manerba del Garda</t>
  </si>
  <si>
    <t>Laurea triennale Ingegneria meccanica e dei materiali</t>
  </si>
  <si>
    <t>3 Agosto 2025 23:02</t>
  </si>
  <si>
    <t>Castellano</t>
  </si>
  <si>
    <t>Alessandro Federico</t>
  </si>
  <si>
    <t>CSTLSN99B08E333N</t>
  </si>
  <si>
    <t>'+393408831836</t>
  </si>
  <si>
    <t>alecs991@icloud.com</t>
  </si>
  <si>
    <t>Laurea di primo livello 30/10/2025</t>
  </si>
  <si>
    <t>3 Agosto 2025 18:58</t>
  </si>
  <si>
    <t>ZNABBR81T50B157O</t>
  </si>
  <si>
    <t>'+393397309304</t>
  </si>
  <si>
    <t>b.zani1981@gmail.com</t>
  </si>
  <si>
    <t>https://www.linkedin.com/in/barbara-zani-7b4886177/</t>
  </si>
  <si>
    <t>Assistente amministrativo</t>
  </si>
  <si>
    <t>Ufficio d'Ambito di Brescia</t>
  </si>
  <si>
    <t>Laurea Magistrale in Giurisprudenza conseguita il 20/03/2006</t>
  </si>
  <si>
    <t>2 Agosto 2025 19:32</t>
  </si>
  <si>
    <t>Magri</t>
  </si>
  <si>
    <t>MGRLSN90P27E884V</t>
  </si>
  <si>
    <t>'+393389546037</t>
  </si>
  <si>
    <t>alessandromagri@outlook.com</t>
  </si>
  <si>
    <t>https://www.linkedin.com/in/alessandro-magri-67765335/</t>
  </si>
  <si>
    <t>Project Manager &amp; Senior web developer</t>
  </si>
  <si>
    <t>Monitoro srl</t>
  </si>
  <si>
    <t>Laurea magistrale in Ingegneria Informatica, conseguita il 18/03/2020</t>
  </si>
  <si>
    <t>2 Agosto 2025 7:46</t>
  </si>
  <si>
    <t>Signorina</t>
  </si>
  <si>
    <t>TNNSRA95P44B157I</t>
  </si>
  <si>
    <t>'+393388954213</t>
  </si>
  <si>
    <t>saratononi04@gmail.com</t>
  </si>
  <si>
    <t>Sara Tononi</t>
  </si>
  <si>
    <t>Imprenditrice</t>
  </si>
  <si>
    <t>Publiscrit di Tononi Sara</t>
  </si>
  <si>
    <t>Laurea triennale, Economia, Business, 12/07/2023</t>
  </si>
  <si>
    <t>1 Agosto 2025 17:27</t>
  </si>
  <si>
    <t>Baresani</t>
  </si>
  <si>
    <t>Gian Matteo</t>
  </si>
  <si>
    <t>BRSGMT74S05E884C</t>
  </si>
  <si>
    <t>'+393381207686</t>
  </si>
  <si>
    <t>matteobaresani@gmail.com</t>
  </si>
  <si>
    <t>https://www.linkedin.com/in/matteo-baresani-051174/</t>
  </si>
  <si>
    <t>Pavone del Mella</t>
  </si>
  <si>
    <t>Diploma di Laurea in Fisioterapia, 25/10/2001</t>
  </si>
  <si>
    <t>1 Agosto 2025 16:54</t>
  </si>
  <si>
    <t>Maifrini</t>
  </si>
  <si>
    <t>MFRNCL92B19D284A</t>
  </si>
  <si>
    <t>'+393338274074</t>
  </si>
  <si>
    <t>n.maifrini@gmail.com</t>
  </si>
  <si>
    <t>Laurea magistrale in ingegneria meccanica indirizzo energetico</t>
  </si>
  <si>
    <t>1 Agosto 2025 14:39</t>
  </si>
  <si>
    <t>MANNI</t>
  </si>
  <si>
    <t>ROBERTO</t>
  </si>
  <si>
    <t>MNNRRT58M16I201H</t>
  </si>
  <si>
    <t>'+39337441344</t>
  </si>
  <si>
    <t>robertomanni@studiomanni.eu</t>
  </si>
  <si>
    <t>LAUREA IN ECONOMIA E COMMERCIO conseguita nel1985</t>
  </si>
  <si>
    <t>1 Agosto 2025 12:56</t>
  </si>
  <si>
    <t>MD, PhD</t>
  </si>
  <si>
    <t>Tiziana</t>
  </si>
  <si>
    <t>LRNTZN87C43E884W</t>
  </si>
  <si>
    <t>'+41798305820</t>
  </si>
  <si>
    <t>tizi87@libero.it</t>
  </si>
  <si>
    <t>https://ch.linkedin.com/in/tiziana-lorenzini-5684a978</t>
  </si>
  <si>
    <t>Zürich</t>
  </si>
  <si>
    <t>Corso di laurea magistrale in Medicina e Chirurgia, 10 ottobre 2012; Specializzazione in Pediatria, 8 agosto 2018.</t>
  </si>
  <si>
    <t>Doctor of Philosophy - PhD Medical Immunology, ETH Zürich</t>
  </si>
  <si>
    <t>1 Agosto 2025 12:17</t>
  </si>
  <si>
    <t>Della Giustina</t>
  </si>
  <si>
    <t>DLLTMS93E14M089G</t>
  </si>
  <si>
    <t>dgtommaso@gmail.com</t>
  </si>
  <si>
    <t>Vittorio Veneto</t>
  </si>
  <si>
    <t>Laurea in Medicina e Chirurgia, Specializzazione in Anestesia, Rianimazione, Terapia intensiva e del Dolore</t>
  </si>
  <si>
    <t>31 Luglio 2025 21:29</t>
  </si>
  <si>
    <t>Odontoiatra</t>
  </si>
  <si>
    <t>Petrica</t>
  </si>
  <si>
    <t>PTRDNL67P53Z129T</t>
  </si>
  <si>
    <t>'+393490764140</t>
  </si>
  <si>
    <t>dpetrica@libero.it</t>
  </si>
  <si>
    <t>Albano Sant’Alessandro</t>
  </si>
  <si>
    <t>Laurea Odontoiatria e Protesi Dentaria 2006, Master Odontoiatria Pediatrica 2010</t>
  </si>
  <si>
    <t>31 Luglio 2025 18:25</t>
  </si>
  <si>
    <t>GRSLSS83D42C618E</t>
  </si>
  <si>
    <t>axl_15@hotmail.com</t>
  </si>
  <si>
    <t>https://www.linkedin.com/in/alessia-grassi-ph-d-4b60b33a/</t>
  </si>
  <si>
    <t>Senior Lecturer in Fashion Marketing</t>
  </si>
  <si>
    <t>University of Leeds (UK)</t>
  </si>
  <si>
    <t>York</t>
  </si>
  <si>
    <t>Laurea Triennale in Economia e Gestione dell'Informazione e della Comunicazione 03/2007 (UniBS). Laurea Magistrale in Consulenza Aziendale e Libera Professione 03/2011 (UniBS). Master in International Fashion Management 09/2015 (University of Huddersfield - UK). PhD in Fashion Marketing and Branding 09/2018 (University of Huddersfield - UK)</t>
  </si>
  <si>
    <t>31 Luglio 2025 12:12</t>
  </si>
  <si>
    <t>Francescon</t>
  </si>
  <si>
    <t>FRNCHR03R68D284S</t>
  </si>
  <si>
    <t>'+393332376919</t>
  </si>
  <si>
    <t>chiarafrancescon03@gmail.com</t>
  </si>
  <si>
    <t>Bedizzole (BS)</t>
  </si>
  <si>
    <t>31 Luglio 2025 7:14</t>
  </si>
  <si>
    <t>Zecchina</t>
  </si>
  <si>
    <t>ZCCLNE93R59A470K</t>
  </si>
  <si>
    <t>'+393318534200</t>
  </si>
  <si>
    <t>elezecchina@gmail.com</t>
  </si>
  <si>
    <t>Responsabile ambiente e sostenibilità</t>
  </si>
  <si>
    <t>Busi group</t>
  </si>
  <si>
    <t>Master degree in civil and environmental engineering 21/03/2021</t>
  </si>
  <si>
    <t>30 Luglio 2025 23:15</t>
  </si>
  <si>
    <t>Adesione</t>
  </si>
  <si>
    <t>CNSMRC87T16B157B</t>
  </si>
  <si>
    <t>'+393334931229</t>
  </si>
  <si>
    <t>marco.consolati87@gmail.com</t>
  </si>
  <si>
    <t>https://www.linkedin.com/in/marco-consolati-614b857a/</t>
  </si>
  <si>
    <t>Laurea (1° livello), Ingegneria Elettronica e delle Telecomunicazioni, 21/05/2025</t>
  </si>
  <si>
    <t>30 Luglio 2025 16:44</t>
  </si>
  <si>
    <t>MICHELETTI</t>
  </si>
  <si>
    <t>CLAUDIO</t>
  </si>
  <si>
    <t>MCHCLD92M24B157R</t>
  </si>
  <si>
    <t>clamitch24@gmail.com</t>
  </si>
  <si>
    <t>LAUREA MAGISTRALE, INGEGNERIA PER L'INNOVAZIONE DEI MATERIALI E DEL PRODOTTO, LM-33, 23/5/2023</t>
  </si>
  <si>
    <t>SITO PERSONALE https://cmicheletti004.wixsite.com/website</t>
  </si>
  <si>
    <t>30 Luglio 2025 16:42</t>
  </si>
  <si>
    <t>Vallati</t>
  </si>
  <si>
    <t>VLLMRA84P28B157L</t>
  </si>
  <si>
    <t>'+447505736877</t>
  </si>
  <si>
    <t>mauro.vallati@gmail.com</t>
  </si>
  <si>
    <t>University of Huddersfield</t>
  </si>
  <si>
    <t>Dottorato in Ingegneria Informatica ed Automatica, 29/03/2012. Laurea Specialistica in Ingegneria Informatica, 18/11/2008. Laurea Triennale in Ingegneria Informatica, Settembre 2006.</t>
  </si>
  <si>
    <t>30 Luglio 2025 15:51</t>
  </si>
  <si>
    <t>RCAGRG90L23A470E</t>
  </si>
  <si>
    <t>grgarici@gmail.com</t>
  </si>
  <si>
    <t>www.linkedin.com/in/giorgio-arici-4573a7143</t>
  </si>
  <si>
    <t>European and Italian Patent Attorney</t>
  </si>
  <si>
    <t>PGA S.p.A. - Intellectual Property - Patents, Trademarks &amp; Designs</t>
  </si>
  <si>
    <t>Dottorando di Ricerca in Ingegneria dell'Informazione</t>
  </si>
  <si>
    <t>30 Luglio 2025 9:54</t>
  </si>
  <si>
    <t>Master I livello in MATEMATICA (MASTERMATH) PER L'ACCESSO NEI RUOLI DI DOCENTE DELLA SCUOLA SECONDARIA CLASSE A26</t>
  </si>
  <si>
    <t xml:space="preserve">italiana </t>
  </si>
  <si>
    <t>Diploma Universitario per FISIOTERAPISTA</t>
  </si>
  <si>
    <t>Scuola di Specializzazione in PEDIATRIA</t>
  </si>
  <si>
    <t>Scuola di Specializzazione in ANESTESIA RIANIMAZIONE, TERAPIA INTENSIVA E DEL DOLORE</t>
  </si>
  <si>
    <t>Laurea in BIOTECNOLOGIE</t>
  </si>
  <si>
    <t>Laurea in INGEGNERIA ELETTRONICA E DELLE TELECOMUNICAZIONI</t>
  </si>
  <si>
    <t xml:space="preserve">Laurea Magistrale in INGEGNERIA PER L'INNOVAZIONE DEI MATERIALI E DEL PRODOTTO </t>
  </si>
  <si>
    <t xml:space="preserve">Dottorato in INGEGNERIA INFORMATICA ED AUTOMATICA </t>
  </si>
  <si>
    <t>sara.nar98@gmail.com</t>
  </si>
  <si>
    <t>5+10</t>
  </si>
  <si>
    <t>Turati</t>
  </si>
  <si>
    <t>TRTMHL81A23B157I</t>
  </si>
  <si>
    <t>'+447874985253</t>
  </si>
  <si>
    <t>mick.turati@gmail.com</t>
  </si>
  <si>
    <t>https://www.linkedin.com/in/mick-turati/</t>
  </si>
  <si>
    <t>Senior operational risk analyst</t>
  </si>
  <si>
    <t>Eni</t>
  </si>
  <si>
    <t>BSc in Economia, 2006</t>
  </si>
  <si>
    <t>20 Agosto 2025 11:06</t>
  </si>
  <si>
    <t>Casiraghi</t>
  </si>
  <si>
    <t>CSRFBA95M02C618S</t>
  </si>
  <si>
    <t>fabio.casiraghi.ef@gmail.com</t>
  </si>
  <si>
    <t>19 Agosto 2025 12:20</t>
  </si>
  <si>
    <t>Ingegnere dell'automazione industriale</t>
  </si>
  <si>
    <t>Piubeni</t>
  </si>
  <si>
    <t>Giordano</t>
  </si>
  <si>
    <t>PBNGDN00S25E884O</t>
  </si>
  <si>
    <t>'+393425567261</t>
  </si>
  <si>
    <t>piubenigiordano@gmail.com</t>
  </si>
  <si>
    <t>www.linkedin.com/in/giordano-piubeni</t>
  </si>
  <si>
    <t>Ditta individuale - Attività di ricerca</t>
  </si>
  <si>
    <t>Gambara</t>
  </si>
  <si>
    <t>19 Agosto 2025 9:20</t>
  </si>
  <si>
    <t>CRNGLI91R46B157C</t>
  </si>
  <si>
    <t>carini.giulia@libero.it</t>
  </si>
  <si>
    <t>Dottorato di ricerca in genetica molecolare, biotecnologie e medicina sperimentale, XXXI ciclo, 12/02/2019</t>
  </si>
  <si>
    <t>18 Agosto 2025 11:48</t>
  </si>
  <si>
    <t>Mezzani</t>
  </si>
  <si>
    <t>MZZRNI87A41L781W</t>
  </si>
  <si>
    <t>'+393275451705</t>
  </si>
  <si>
    <t>irinamezzani@yahoo.it</t>
  </si>
  <si>
    <t>https://www.linkedin.com/in/irina-mezzani</t>
  </si>
  <si>
    <t>UniCredit</t>
  </si>
  <si>
    <t>Laurea magistrale in Moneta, Finanza e Risk Management conseguita il 27/03/2013</t>
  </si>
  <si>
    <t>17 Agosto 2025 20:20</t>
  </si>
  <si>
    <t>DEL PRETE</t>
  </si>
  <si>
    <t>VANESSA</t>
  </si>
  <si>
    <t>DLPVSS97C58D284Y</t>
  </si>
  <si>
    <t>'+393927714828</t>
  </si>
  <si>
    <t>delpretevanessa7@gmail.com</t>
  </si>
  <si>
    <t>www.linkedin.com/in/vanessa-del-prete-74732110b</t>
  </si>
  <si>
    <t>Praticante avvocato penalista e commessa part-time presso Apple</t>
  </si>
  <si>
    <t>Desenzano del Garda (Brescia)</t>
  </si>
  <si>
    <t>Laurea Magistrale in Giurisprudenza (LMG/01) conseguita il 23/04/2024</t>
  </si>
  <si>
    <t>11 Agosto 2025 12:08</t>
  </si>
  <si>
    <t>VSNPRI96C02B157J</t>
  </si>
  <si>
    <t>'+393293490887</t>
  </si>
  <si>
    <t>piero.visini@gmail.com</t>
  </si>
  <si>
    <t>www.linkedin.com/in/pierovisini</t>
  </si>
  <si>
    <t>Export Area Manager</t>
  </si>
  <si>
    <t>Scab Giardino SpA</t>
  </si>
  <si>
    <t>Laurea Magistrale in Management, conseguita il giorno 24/03/2025</t>
  </si>
  <si>
    <t>11 Agosto 2025 1:55</t>
  </si>
  <si>
    <t>Sadhwani</t>
  </si>
  <si>
    <t>Ranjeeta</t>
  </si>
  <si>
    <t>RNJRJT89M47Z236G</t>
  </si>
  <si>
    <t>'+447350173886</t>
  </si>
  <si>
    <t>ranjeeta_sadhwani@yahoo.com</t>
  </si>
  <si>
    <t>Nottingham</t>
  </si>
  <si>
    <t>Doctorate February 2025</t>
  </si>
  <si>
    <t>10 Agosto 2025 20:35</t>
  </si>
  <si>
    <t>TSTMNL92S17B157J</t>
  </si>
  <si>
    <t>emanuele.testa.1992@gmail.com</t>
  </si>
  <si>
    <t>http://www.linkedin.com/in/emanuele-testa</t>
  </si>
  <si>
    <t>Industrial IoT Engineering Lead</t>
  </si>
  <si>
    <t>Philip Morris International</t>
  </si>
  <si>
    <t>Laurea magistrale in Ingegneria dell'automazione, 2017</t>
  </si>
  <si>
    <t>10 Agosto 2025 14:24</t>
  </si>
  <si>
    <t>Gavazzi</t>
  </si>
  <si>
    <t>GVZLCA84P61B157A</t>
  </si>
  <si>
    <t>'+393398689212</t>
  </si>
  <si>
    <t>alice.gavazzi@gmail.com</t>
  </si>
  <si>
    <t>TRAVAGLIATO</t>
  </si>
  <si>
    <t>Laura in Medicina e Chirurgia, Specializzazione in Medicina Interna</t>
  </si>
  <si>
    <t>10 Agosto 2025 12:30</t>
  </si>
  <si>
    <t>Monchieri</t>
  </si>
  <si>
    <t>MNCFRC97H22B157W</t>
  </si>
  <si>
    <t>'+393661529692</t>
  </si>
  <si>
    <t>monchieri.federico@gmail.com</t>
  </si>
  <si>
    <t>https://www.linkedin.com/in/federico-monchieri-6505ba232?utm_source=share&amp;utm_campaign=share_via&amp;utm_content=profile&amp;utm_medium=ios_app</t>
  </si>
  <si>
    <t>Bdm Technology</t>
  </si>
  <si>
    <t>9 Agosto 2025 9:00</t>
  </si>
  <si>
    <t>Haoura</t>
  </si>
  <si>
    <t>Boulkhrachef</t>
  </si>
  <si>
    <t>BLKHRA05L51B157O</t>
  </si>
  <si>
    <t>'+393516050714</t>
  </si>
  <si>
    <t>aura.ghittoni.80@gmail.com</t>
  </si>
  <si>
    <t>8 Agosto 2025 17:22</t>
  </si>
  <si>
    <t>Leanza</t>
  </si>
  <si>
    <t>LNZPML87P49A841F</t>
  </si>
  <si>
    <t>'+393888917731</t>
  </si>
  <si>
    <t>pamela.leanza@hotmail.it</t>
  </si>
  <si>
    <t>Laurea 1ºlivello</t>
  </si>
  <si>
    <t>8 Agosto 2025 14:36</t>
  </si>
  <si>
    <t>Ferretti</t>
  </si>
  <si>
    <t>FRRNDR90A03B157X</t>
  </si>
  <si>
    <t>'+393335067581</t>
  </si>
  <si>
    <t>ferrettiandrea90@gmail.com</t>
  </si>
  <si>
    <t>https://www.linkedin.com/in/andrea-ferretti-b96b4a144?utm_source=share&amp;utm_campaign=share_via&amp;utm_content=profile&amp;utm_medium=ios_app</t>
  </si>
  <si>
    <t>8 Agosto 2025 12:06</t>
  </si>
  <si>
    <t>Laureando in Consulente del lavoro e giurista d'impresa</t>
  </si>
  <si>
    <t>Vaccarella</t>
  </si>
  <si>
    <t>VCCLEI01R10D434D</t>
  </si>
  <si>
    <t>'+393315032566</t>
  </si>
  <si>
    <t>eliavaccarella@gmail.com</t>
  </si>
  <si>
    <t>via Niccolò Machiavelli 10</t>
  </si>
  <si>
    <t>Studio Amorini</t>
  </si>
  <si>
    <t>DARFO BOARIO TERME</t>
  </si>
  <si>
    <t>Laurea triennale in Consulente del lavoro e giurista d'impresa, data di laurea prevista: 21/10/2025</t>
  </si>
  <si>
    <t>7 Agosto 2025 20:48</t>
  </si>
  <si>
    <t>PELIZZOLA</t>
  </si>
  <si>
    <t>PLZLRT98A14E897I</t>
  </si>
  <si>
    <t>'+393333715015</t>
  </si>
  <si>
    <t>pelizzola.alberto@gmail.com</t>
  </si>
  <si>
    <t>GUIDIZZOLO</t>
  </si>
  <si>
    <t>LAUREA MAGISTRALE A CICLO UNICO</t>
  </si>
  <si>
    <t>6 Agosto 2025 14:27</t>
  </si>
  <si>
    <t>Dottorato in GENETICA MOLECOLARE, BIOTECNOLOGIE E MEDICINA SPERIMENTALE</t>
  </si>
  <si>
    <t xml:space="preserve">pakistana </t>
  </si>
  <si>
    <t>Lurea Magistrale in INGEGNERIA MECCANICA</t>
  </si>
  <si>
    <t>annullata</t>
  </si>
  <si>
    <t>Alessandra Rossetti versato 50€ di contributo</t>
  </si>
  <si>
    <t>IN SOSPESO IN ATTESA DI INDICAZIONI</t>
  </si>
  <si>
    <t>IN SOSPESO IN ATTESA DI LAUREA</t>
  </si>
  <si>
    <t>in sospeso</t>
  </si>
  <si>
    <t>27/03/2023 - 03/07/2023 - 15/03/2024 - 30/08/2025</t>
  </si>
  <si>
    <t>03/07/2023 - 15/03/2024 30/08/025</t>
  </si>
  <si>
    <t>15/03/2024 - 30/08/2025</t>
  </si>
  <si>
    <t>Gorizia</t>
  </si>
  <si>
    <t>GRZMHL03A05B157G</t>
  </si>
  <si>
    <t>'+393318412255</t>
  </si>
  <si>
    <t>mgorizia03@gmail.com</t>
  </si>
  <si>
    <t>16 Settembre 2025 19:40</t>
  </si>
  <si>
    <t>Adesione associazione Alumni UNIBS</t>
  </si>
  <si>
    <t>Zanoni</t>
  </si>
  <si>
    <t>ZNNGLI01P58D150I</t>
  </si>
  <si>
    <t>'+393278581711</t>
  </si>
  <si>
    <t>giulia.zanoni2001@gmail.com</t>
  </si>
  <si>
    <t>https://www.linkedin.com/in/giulia-zanoni-501863279?utm_source=share&amp;utm_campaign=share_via&amp;utm_content=profile&amp;utm_medium=ios_app</t>
  </si>
  <si>
    <t>Borgo San Giacomo</t>
  </si>
  <si>
    <t>16 Settembre 2025 10:54</t>
  </si>
  <si>
    <t>Saldi</t>
  </si>
  <si>
    <t>SLDLNZ02R25B157F</t>
  </si>
  <si>
    <t>'+393246011256</t>
  </si>
  <si>
    <t>lorenzo.saldi@gmail.com</t>
  </si>
  <si>
    <t>https://www.linkedin.com/in/lorenzo-saldi-49b57b292/</t>
  </si>
  <si>
    <t>Laurea triennale in Economia e gestione aziendale conseguita a ottobre 2024, studente magistrale di Management</t>
  </si>
  <si>
    <t>14 Settembre 2025 15:17</t>
  </si>
  <si>
    <t>Straolzini</t>
  </si>
  <si>
    <t>STRGPP03C12D940D</t>
  </si>
  <si>
    <t>'+393387070149</t>
  </si>
  <si>
    <t>giuseppe.08.straolzini@gmail.com</t>
  </si>
  <si>
    <t>www.linkedin.com/in/giuseppe-straolzini</t>
  </si>
  <si>
    <t>Laureato triennale</t>
  </si>
  <si>
    <t>13 Settembre 2025 17:39</t>
  </si>
  <si>
    <t>Alexandra</t>
  </si>
  <si>
    <t>TSYLND04D57A091E</t>
  </si>
  <si>
    <t>alexandratsymokh@gmail.com</t>
  </si>
  <si>
    <t>www.linkedin.com/in/alexandra-tsymokh-a1135b24b</t>
  </si>
  <si>
    <t>Laurea Triennale in Ingegneria Gestionale. 11 Settembre 2025</t>
  </si>
  <si>
    <t>12 Settembre 2025 16:53</t>
  </si>
  <si>
    <t>Yared</t>
  </si>
  <si>
    <t>GBRYDH96H26Z315N</t>
  </si>
  <si>
    <t>'+393246950952</t>
  </si>
  <si>
    <t>yaredj19@gmail.com</t>
  </si>
  <si>
    <t>Via Senatore Diogene Valotti, 3 b</t>
  </si>
  <si>
    <t>Laurea magistrale, dottorato, management-International Business, july 2025</t>
  </si>
  <si>
    <t>12 Settembre 2025 16:45</t>
  </si>
  <si>
    <t>BLSGRG03C04B157G</t>
  </si>
  <si>
    <t>'+393913043020</t>
  </si>
  <si>
    <t>giorg.belu@gmail.com</t>
  </si>
  <si>
    <t>laurea triennale 09/09/2025</t>
  </si>
  <si>
    <t>12 Settembre 2025 15:31</t>
  </si>
  <si>
    <t>Engr</t>
  </si>
  <si>
    <t>Shuja</t>
  </si>
  <si>
    <t>Ahmad</t>
  </si>
  <si>
    <t>SHJHMD01C21Z236V</t>
  </si>
  <si>
    <t>'+393899356831</t>
  </si>
  <si>
    <t>ahmadshuja66@gmail.com</t>
  </si>
  <si>
    <t>http://linkedin.com/in/ahmadshuja66</t>
  </si>
  <si>
    <t>Laurea migistrale in ingeneria civile e ambientle</t>
  </si>
  <si>
    <t>12 Settembre 2025 10:30</t>
  </si>
  <si>
    <t>Stefini</t>
  </si>
  <si>
    <t>Luca Antonio</t>
  </si>
  <si>
    <t>STFLNT03C20B157Z</t>
  </si>
  <si>
    <t>la.stefini@esaedro.eu</t>
  </si>
  <si>
    <t>Laurea Triennale in Ingegneria Informatica, 10-09-2025</t>
  </si>
  <si>
    <t>11 Settembre 2025 15:45</t>
  </si>
  <si>
    <t>Ingegnere Elettronico</t>
  </si>
  <si>
    <t>ONDEI</t>
  </si>
  <si>
    <t>EMANUELE</t>
  </si>
  <si>
    <t>NDOMNL98M18B393M</t>
  </si>
  <si>
    <t>'+393331719596</t>
  </si>
  <si>
    <t>ondei.emanuele@gmail.com</t>
  </si>
  <si>
    <t>Mornico al Serio</t>
  </si>
  <si>
    <t>11 Settembre 2025 11:07</t>
  </si>
  <si>
    <t>Fornari</t>
  </si>
  <si>
    <t>FRNJSC03D50B157J</t>
  </si>
  <si>
    <t>'+393208039343</t>
  </si>
  <si>
    <t>jessi.fornari@gmail.com</t>
  </si>
  <si>
    <t>https://it.linkedin.com/in/jessica-fornari-337400302</t>
  </si>
  <si>
    <t>Alfianello</t>
  </si>
  <si>
    <t>Laurea triennale, Ingegneria delle tecnologie per l’impresa digitale, Laureata il 10/09/2025</t>
  </si>
  <si>
    <t>11 Settembre 2025 10:49</t>
  </si>
  <si>
    <t>Tartaglia</t>
  </si>
  <si>
    <t>TRTDNL85C19D150J</t>
  </si>
  <si>
    <t>'+393406749227</t>
  </si>
  <si>
    <t>daniele.tartaglia@gmail.com</t>
  </si>
  <si>
    <t>Laurea I livello - Master I livello</t>
  </si>
  <si>
    <t>11 Settembre 2025 9:12</t>
  </si>
  <si>
    <t>Moscatelli</t>
  </si>
  <si>
    <t>MSCSMN02T19B157W</t>
  </si>
  <si>
    <t>'+393923634532</t>
  </si>
  <si>
    <t>simone.moscatelli.2002@gmail.com</t>
  </si>
  <si>
    <t>https://www.linkedin.com/in/simone-moscatelli/</t>
  </si>
  <si>
    <t>Studente Magistrale in Moneta, Finanza e Risk Management</t>
  </si>
  <si>
    <t>Laurea triennale in Banca e Finanza (Economia e Management) conseguita il 31/10/2024</t>
  </si>
  <si>
    <t>10 Settembre 2025 14:47</t>
  </si>
  <si>
    <t>Gavi</t>
  </si>
  <si>
    <t>GVALRA02A55B157X</t>
  </si>
  <si>
    <t>gavi.laura.2002@gmail.com</t>
  </si>
  <si>
    <t>Laurea Triennale in Economia e Gestione Aziendale, 17/07/2025</t>
  </si>
  <si>
    <t>9 Settembre 2025 18:45</t>
  </si>
  <si>
    <t>Merigo</t>
  </si>
  <si>
    <t>Nicolas</t>
  </si>
  <si>
    <t>MRGNLS93T13B157Y</t>
  </si>
  <si>
    <t>nicolas.merigo.it@gmail.com</t>
  </si>
  <si>
    <t>Laurea in Economia e Management</t>
  </si>
  <si>
    <t>6 Settembre 2025 13:02</t>
  </si>
  <si>
    <t>Cremaschini</t>
  </si>
  <si>
    <t>CRMLGU03R20E884L</t>
  </si>
  <si>
    <t>'+393426115863</t>
  </si>
  <si>
    <t>luigicremaschini2003@gmail.com</t>
  </si>
  <si>
    <t>https://www.linkedin.com/in/luigi-cremaschini-5234a7329/</t>
  </si>
  <si>
    <t>5 Settembre 2025 10:47</t>
  </si>
  <si>
    <t>faustini</t>
  </si>
  <si>
    <t>fabio</t>
  </si>
  <si>
    <t>FSTFBA81H12E333K</t>
  </si>
  <si>
    <t>'+393802244259</t>
  </si>
  <si>
    <t>dr.faustini@dentalfaustini.it</t>
  </si>
  <si>
    <t>passirano</t>
  </si>
  <si>
    <t>Laurea magistrale in Odontoiatria e Protesi Dentaria conseguita nel 2005</t>
  </si>
  <si>
    <t>5 Settembre 2025 0:19</t>
  </si>
  <si>
    <t>Facchin</t>
  </si>
  <si>
    <t>FCCSFN98B07B157D</t>
  </si>
  <si>
    <t>'+393664221001</t>
  </si>
  <si>
    <t>smith98f@gmail.com</t>
  </si>
  <si>
    <t>https://www.linkedin.com/in/stefano-facchin-240231256?utm_source=share&amp;utm_campaign=share_via&amp;utm_content=profile&amp;utm_medium=android_app</t>
  </si>
  <si>
    <t>Mechanical design engineer</t>
  </si>
  <si>
    <t>Steele s.r.l.</t>
  </si>
  <si>
    <t>Laura Magistrale in Ingegneria Meccanica curriculum Costruzioni, conseguita il 23/03/2023</t>
  </si>
  <si>
    <t>4 Settembre 2025 22:03</t>
  </si>
  <si>
    <t>Alessandro Raoul</t>
  </si>
  <si>
    <t>Bntlsn64b08b157u</t>
  </si>
  <si>
    <t>'+393488724046</t>
  </si>
  <si>
    <t>raoul.bontempi@vibo.com</t>
  </si>
  <si>
    <t>Bontempi Vibo spa</t>
  </si>
  <si>
    <t>Laurea conseguita nel 1988</t>
  </si>
  <si>
    <t>4 Settembre 2025 15:55</t>
  </si>
  <si>
    <t>Vianelli</t>
  </si>
  <si>
    <t>VNLNCL01E07B157D</t>
  </si>
  <si>
    <t>'+393888311458</t>
  </si>
  <si>
    <t>nicolavianelli01@gmail.com</t>
  </si>
  <si>
    <t>https://www.linkedin.com/in/nicola-vianelli-57930529a/</t>
  </si>
  <si>
    <t>Università degli Studi di Modena e Reggio Emilia</t>
  </si>
  <si>
    <t>Laurea triennale in Ingegneria Meccanica e dei Materiali, UNIBS in data 13/02/2024. In corso, Laurea magistrale in Ingegneria del Veicolo presso UNIMORE</t>
  </si>
  <si>
    <t>3 Settembre 2025 22:15</t>
  </si>
  <si>
    <t>Zampedri</t>
  </si>
  <si>
    <t>ZMPSRA01A61B157S</t>
  </si>
  <si>
    <t>'+393701018593</t>
  </si>
  <si>
    <t>sara.zampedri2001@gmail.com</t>
  </si>
  <si>
    <t>30 Agosto 2025 15:19</t>
  </si>
  <si>
    <t>cossu</t>
  </si>
  <si>
    <t>beatrice</t>
  </si>
  <si>
    <t>cssbrc72t53f952x</t>
  </si>
  <si>
    <t>'+393393422783</t>
  </si>
  <si>
    <t>drbeta@libero.it</t>
  </si>
  <si>
    <t>dirigente medico I livello medicina asst frnciacorta</t>
  </si>
  <si>
    <t>rovato</t>
  </si>
  <si>
    <t>specializzazione in geriatria</t>
  </si>
  <si>
    <t>29 Agosto 2025 15:46</t>
  </si>
  <si>
    <t xml:space="preserve">A causa del numero limitato di caratteri da poter scrivere nel beneficiario, ho inserito:
ALUMNI UNIBS ASSOCIAZIONE ALUMNI UNIBS
e non quanto richiesto nelle istruzioni.
Il bonifico è stato effettuato in data 11/09 e dovrebbe essere disposto in data 12/09.
</t>
  </si>
  <si>
    <t>Laurea Magistrale in INGEGNERIA ELETTRONICA</t>
  </si>
  <si>
    <t>Scuola di Specializzazione in GERIATRIA</t>
  </si>
  <si>
    <t>Pecori</t>
  </si>
  <si>
    <t>PCRLRA91B61C312X</t>
  </si>
  <si>
    <t>laurapecori@gmail.com</t>
  </si>
  <si>
    <t>www.linkedin.com/in/laura-pecori</t>
  </si>
  <si>
    <t>Laurea triennale in Sistemi Agricoli Sostenibili conseguita il 09/09/2025</t>
  </si>
  <si>
    <t>29 Settembre 2025 19:44</t>
  </si>
  <si>
    <t>Sharra</t>
  </si>
  <si>
    <t>Gerald</t>
  </si>
  <si>
    <t>SHRGLD93S29Z100V</t>
  </si>
  <si>
    <t>'+393294966699</t>
  </si>
  <si>
    <t>geri.sharra@gmail.com</t>
  </si>
  <si>
    <t>Commercial Excellence</t>
  </si>
  <si>
    <t>F.I.S. - Fabbrica Italiana Sintetici</t>
  </si>
  <si>
    <t>Laura in economia e gestione aziendale, luglio 2025</t>
  </si>
  <si>
    <t>28 Settembre 2025 23:15</t>
  </si>
  <si>
    <t>Colossi</t>
  </si>
  <si>
    <t>CLSSFN97P06B157L</t>
  </si>
  <si>
    <t>'+393663940317</t>
  </si>
  <si>
    <t>stefanocolossi@gmail.com</t>
  </si>
  <si>
    <t>Dello</t>
  </si>
  <si>
    <t>laurea di II livello in consulenza aziendale e libera professione - libera professione. 05 aprile 2023 95/110</t>
  </si>
  <si>
    <t>28 Settembre 2025 17:14</t>
  </si>
  <si>
    <t>'+393898786999</t>
  </si>
  <si>
    <t>edo.dioni@gmail.com</t>
  </si>
  <si>
    <t>http://linkedin.com/in/edo-d</t>
  </si>
  <si>
    <t>CNH Industrial</t>
  </si>
  <si>
    <t>25 Settembre 2025 19:29</t>
  </si>
  <si>
    <t>Fiandra</t>
  </si>
  <si>
    <t>FNDGRG89L19A794M</t>
  </si>
  <si>
    <t>gfiandra@live.it</t>
  </si>
  <si>
    <t>Sales &amp; Marketing - Go to person for the sales Director</t>
  </si>
  <si>
    <t>Armi Perazzi</t>
  </si>
  <si>
    <t>24 Settembre 2025 22:53</t>
  </si>
  <si>
    <t>Picinelli</t>
  </si>
  <si>
    <t>'+393317617093</t>
  </si>
  <si>
    <t>lucapicinelli9@gmail.com</t>
  </si>
  <si>
    <t>24 Settembre 2025 10:28</t>
  </si>
  <si>
    <t>Lecci</t>
  </si>
  <si>
    <t>LCCLNE99E64B157T</t>
  </si>
  <si>
    <t>elena.lecci@outlook.it</t>
  </si>
  <si>
    <t>https://www.linkedin.com/in/elena-lecci-45a410385?trk=contact-info</t>
  </si>
  <si>
    <t>Roncadelle (BS)</t>
  </si>
  <si>
    <t>19 Settembre 2025 13:28</t>
  </si>
  <si>
    <t>MEKONEN</t>
  </si>
  <si>
    <t>Tsedalu Fentaw</t>
  </si>
  <si>
    <t>MKNTDL96D14Z315T</t>
  </si>
  <si>
    <t>'+13519544198</t>
  </si>
  <si>
    <t>t.mekonen@studenti.unibs.it</t>
  </si>
  <si>
    <t>Via Senatore Diogene Valotti</t>
  </si>
  <si>
    <t>graduated with honors in communication technology and multimedia</t>
  </si>
  <si>
    <t>18 Settembre 2025 20:56</t>
  </si>
  <si>
    <t>DNIDRD93B24B157H</t>
  </si>
  <si>
    <t>PCNLCU93T08E704S</t>
  </si>
  <si>
    <t>I am excited to apply for the opportunity with your company. I recently graduated with 110 e lode (graduating with honors) in Communication Technologies &amp; Multimedia from the University of Brescia, where I specialized in high-precision optical measurements, laser systems, and communication technologies. Throughout my academic journey, I demonstrated a strong commitment to excellence, leading to top grades and awards such as the Outstanding Project Award for my engineering work. I am confident that my technical skills, hands-on experience, and passion for optical technologies will allow me to contribute effectively to your team. I would be honored to bring my skills and dedication to your company and contribute to its continued success.</t>
  </si>
  <si>
    <t>Laurea Magistrale in COMMUNICATION TECHNOLOGIES AND MULTIMEDIA - TECNOLOGIE DELLE COMUNICAZIONI E MULTIMEDIA</t>
  </si>
  <si>
    <t>esentato?</t>
  </si>
  <si>
    <t>giuliocontiphd@gmail.com</t>
  </si>
  <si>
    <t>fabio.martinelli@coroma.it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</si>
</sst>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[$-410]d\ mmmm\ yyyy;@"/>
  </numFmts>
  <fonts count="9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name val="Arial"/>
      <family val="2"/>
      <charset val="1"/>
    </font>
    <font>
      <sz val="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7" fillId="0" borderId="0"/>
  </cellStyleXfs>
  <cellXfs count="61">
    <xf numFmtId="0" fontId="0" fillId="0" borderId="0" xfId="0"/>
    <xf numFmtId="49" fontId="0" fillId="0" borderId="0" xfId="0" applyNumberFormat="1" applyAlignment="1">
      <alignment wrapText="1"/>
    </xf>
    <xf numFmtId="49" fontId="6" fillId="0" borderId="0" xfId="1" applyNumberFormat="1" applyAlignment="1">
      <alignment wrapText="1"/>
    </xf>
    <xf numFmtId="49" fontId="0" fillId="0" borderId="0" xfId="0" applyNumberFormat="1" applyFont="1" applyFill="1" applyAlignment="1">
      <alignment wrapText="1"/>
    </xf>
    <xf numFmtId="49" fontId="0" fillId="0" borderId="0" xfId="0" applyNumberFormat="1" applyFill="1" applyAlignment="1">
      <alignment wrapText="1"/>
    </xf>
    <xf numFmtId="49" fontId="5" fillId="0" borderId="0" xfId="0" applyNumberFormat="1" applyFont="1" applyFill="1" applyAlignment="1">
      <alignment wrapText="1"/>
    </xf>
    <xf numFmtId="49" fontId="5" fillId="0" borderId="0" xfId="0" applyNumberFormat="1" applyFont="1" applyAlignment="1">
      <alignment wrapText="1"/>
    </xf>
    <xf numFmtId="49" fontId="0" fillId="6" borderId="0" xfId="0" applyNumberFormat="1" applyFill="1" applyAlignment="1">
      <alignment wrapText="1"/>
    </xf>
    <xf numFmtId="0" fontId="2" fillId="3" borderId="0" xfId="0" applyNumberFormat="1" applyFont="1" applyFill="1" applyAlignment="1">
      <alignment horizontal="center" vertical="top" wrapText="1"/>
    </xf>
    <xf numFmtId="0" fontId="2" fillId="5" borderId="0" xfId="0" applyNumberFormat="1" applyFont="1" applyFill="1" applyAlignment="1">
      <alignment horizontal="center" vertical="top" wrapText="1"/>
    </xf>
    <xf numFmtId="0" fontId="2" fillId="2" borderId="0" xfId="0" applyNumberFormat="1" applyFont="1" applyFill="1" applyAlignment="1">
      <alignment horizontal="center" vertical="top" wrapText="1"/>
    </xf>
    <xf numFmtId="0" fontId="2" fillId="4" borderId="0" xfId="0" applyNumberFormat="1" applyFont="1" applyFill="1" applyAlignment="1">
      <alignment horizontal="center" vertical="top" wrapText="1"/>
    </xf>
    <xf numFmtId="0" fontId="0" fillId="0" borderId="0" xfId="0" applyAlignment="1">
      <alignment wrapText="1"/>
    </xf>
    <xf numFmtId="49" fontId="0" fillId="0" borderId="0" xfId="0" applyNumberFormat="1" applyFont="1" applyAlignment="1">
      <alignment vertical="top" wrapText="1"/>
    </xf>
    <xf numFmtId="0" fontId="0" fillId="0" borderId="0" xfId="0" applyFill="1" applyAlignment="1">
      <alignment wrapText="1"/>
    </xf>
    <xf numFmtId="0" fontId="0" fillId="0" borderId="0" xfId="0" applyAlignment="1">
      <alignment horizontal="center" wrapText="1"/>
    </xf>
    <xf numFmtId="14" fontId="0" fillId="0" borderId="0" xfId="0" applyNumberFormat="1" applyFill="1" applyAlignment="1">
      <alignment wrapText="1"/>
    </xf>
    <xf numFmtId="14" fontId="0" fillId="0" borderId="0" xfId="0" applyNumberFormat="1" applyFont="1" applyAlignment="1">
      <alignment vertical="top" wrapText="1"/>
    </xf>
    <xf numFmtId="1" fontId="0" fillId="0" borderId="0" xfId="0" applyNumberFormat="1" applyFont="1" applyAlignment="1">
      <alignment horizontal="center" vertical="center" wrapText="1"/>
    </xf>
    <xf numFmtId="49" fontId="6" fillId="0" borderId="0" xfId="1" applyNumberForma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0" fontId="5" fillId="0" borderId="0" xfId="0" applyFont="1" applyAlignment="1">
      <alignment wrapText="1"/>
    </xf>
    <xf numFmtId="49" fontId="5" fillId="0" borderId="0" xfId="0" applyNumberFormat="1" applyFont="1" applyAlignment="1">
      <alignment vertical="top" wrapText="1"/>
    </xf>
    <xf numFmtId="0" fontId="5" fillId="0" borderId="0" xfId="0" applyFont="1" applyFill="1" applyAlignment="1">
      <alignment wrapText="1"/>
    </xf>
    <xf numFmtId="14" fontId="5" fillId="0" borderId="0" xfId="0" applyNumberFormat="1" applyFont="1" applyAlignment="1">
      <alignment vertical="top" wrapText="1"/>
    </xf>
    <xf numFmtId="0" fontId="4" fillId="0" borderId="0" xfId="0" applyFont="1" applyAlignment="1">
      <alignment wrapText="1"/>
    </xf>
    <xf numFmtId="49" fontId="0" fillId="0" borderId="0" xfId="0" applyNumberFormat="1" applyFont="1" applyFill="1" applyAlignment="1">
      <alignment vertical="top" wrapText="1"/>
    </xf>
    <xf numFmtId="49" fontId="6" fillId="0" borderId="0" xfId="1" applyNumberFormat="1" applyFill="1" applyAlignment="1">
      <alignment vertical="top" wrapText="1"/>
    </xf>
    <xf numFmtId="14" fontId="0" fillId="0" borderId="0" xfId="0" applyNumberFormat="1" applyFont="1" applyFill="1" applyAlignment="1">
      <alignment vertical="top" wrapText="1"/>
    </xf>
    <xf numFmtId="1" fontId="0" fillId="0" borderId="0" xfId="0" applyNumberFormat="1" applyFont="1" applyFill="1" applyAlignment="1">
      <alignment horizontal="center" vertical="center" wrapText="1"/>
    </xf>
    <xf numFmtId="0" fontId="0" fillId="2" borderId="0" xfId="0" applyFill="1" applyAlignment="1">
      <alignment wrapText="1"/>
    </xf>
    <xf numFmtId="0" fontId="4" fillId="0" borderId="0" xfId="0" applyFont="1" applyFill="1" applyAlignment="1">
      <alignment wrapText="1"/>
    </xf>
    <xf numFmtId="49" fontId="4" fillId="0" borderId="0" xfId="0" applyNumberFormat="1" applyFont="1" applyAlignment="1">
      <alignment vertical="top" wrapText="1"/>
    </xf>
    <xf numFmtId="0" fontId="5" fillId="0" borderId="0" xfId="0" applyFont="1" applyAlignment="1">
      <alignment horizontal="center" wrapText="1"/>
    </xf>
    <xf numFmtId="0" fontId="6" fillId="0" borderId="0" xfId="1" applyAlignment="1">
      <alignment wrapText="1"/>
    </xf>
    <xf numFmtId="165" fontId="0" fillId="0" borderId="0" xfId="0" applyNumberFormat="1" applyFont="1" applyAlignment="1">
      <alignment vertical="top" wrapText="1"/>
    </xf>
    <xf numFmtId="0" fontId="0" fillId="0" borderId="0" xfId="0" applyFill="1" applyAlignment="1">
      <alignment horizontal="center" wrapText="1"/>
    </xf>
    <xf numFmtId="49" fontId="6" fillId="0" borderId="0" xfId="1" applyNumberFormat="1" applyFill="1" applyAlignment="1">
      <alignment wrapText="1"/>
    </xf>
    <xf numFmtId="49" fontId="0" fillId="0" borderId="0" xfId="0" applyNumberFormat="1" applyAlignment="1">
      <alignment horizontal="center" wrapText="1"/>
    </xf>
    <xf numFmtId="1" fontId="0" fillId="0" borderId="0" xfId="0" applyNumberFormat="1" applyAlignment="1">
      <alignment horizontal="center" wrapText="1"/>
    </xf>
    <xf numFmtId="49" fontId="7" fillId="0" borderId="0" xfId="2" applyNumberFormat="1" applyFont="1" applyAlignment="1">
      <alignment wrapText="1"/>
    </xf>
    <xf numFmtId="164" fontId="0" fillId="0" borderId="0" xfId="0" applyNumberFormat="1" applyAlignment="1">
      <alignment wrapText="1"/>
    </xf>
    <xf numFmtId="49" fontId="7" fillId="0" borderId="0" xfId="2" applyNumberFormat="1" applyFont="1" applyFill="1" applyAlignment="1">
      <alignment wrapText="1"/>
    </xf>
    <xf numFmtId="0" fontId="0" fillId="0" borderId="0" xfId="0" applyFont="1" applyFill="1" applyAlignment="1">
      <alignment wrapText="1"/>
    </xf>
    <xf numFmtId="14" fontId="0" fillId="0" borderId="0" xfId="0" applyNumberFormat="1" applyAlignment="1">
      <alignment wrapText="1"/>
    </xf>
    <xf numFmtId="49" fontId="0" fillId="0" borderId="0" xfId="0" applyNumberFormat="1" applyFont="1" applyFill="1" applyAlignment="1">
      <alignment vertical="center" wrapText="1"/>
    </xf>
    <xf numFmtId="49" fontId="0" fillId="7" borderId="0" xfId="0" applyNumberFormat="1" applyFill="1" applyAlignment="1">
      <alignment wrapText="1"/>
    </xf>
    <xf numFmtId="49" fontId="0" fillId="0" borderId="0" xfId="0" applyNumberFormat="1"/>
    <xf numFmtId="49" fontId="0" fillId="0" borderId="0" xfId="0" quotePrefix="1" applyNumberFormat="1"/>
    <xf numFmtId="49" fontId="0" fillId="0" borderId="0" xfId="0" applyNumberFormat="1" applyFill="1"/>
    <xf numFmtId="49" fontId="6" fillId="0" borderId="0" xfId="1" applyNumberFormat="1"/>
    <xf numFmtId="49" fontId="0" fillId="0" borderId="0" xfId="0" applyNumberFormat="1" applyAlignment="1"/>
    <xf numFmtId="0" fontId="0" fillId="0" borderId="0" xfId="0" applyAlignment="1">
      <alignment horizontal="center"/>
    </xf>
    <xf numFmtId="49" fontId="0" fillId="0" borderId="0" xfId="0" applyNumberFormat="1" applyFont="1" applyFill="1" applyAlignment="1">
      <alignment vertical="center"/>
    </xf>
    <xf numFmtId="0" fontId="0" fillId="0" borderId="0" xfId="0" applyAlignment="1"/>
    <xf numFmtId="0" fontId="0" fillId="0" borderId="0" xfId="0" applyFill="1" applyAlignment="1"/>
    <xf numFmtId="49" fontId="0" fillId="0" borderId="0" xfId="0" applyNumberFormat="1" applyFont="1" applyAlignment="1">
      <alignment wrapText="1"/>
    </xf>
    <xf numFmtId="49" fontId="0" fillId="8" borderId="0" xfId="0" applyNumberFormat="1" applyFill="1" applyAlignment="1">
      <alignment wrapText="1"/>
    </xf>
    <xf numFmtId="49" fontId="0" fillId="9" borderId="0" xfId="0" applyNumberFormat="1" applyFill="1" applyAlignment="1">
      <alignment wrapText="1"/>
    </xf>
    <xf numFmtId="49" fontId="5" fillId="9" borderId="0" xfId="0" applyNumberFormat="1" applyFont="1" applyFill="1" applyAlignment="1">
      <alignment wrapText="1"/>
    </xf>
    <xf numFmtId="49" fontId="8" fillId="0" borderId="0" xfId="0" applyNumberFormat="1" applyFont="1" applyAlignment="1">
      <alignment wrapText="1"/>
    </xf>
  </cellXfs>
  <cellStyles count="3">
    <cellStyle name="Collegamento ipertestuale" xfId="1" builtinId="8"/>
    <cellStyle name="Normale" xfId="0" builtinId="0"/>
    <cellStyle name="Normale 2" xfId="2" xr:uid="{2C057F2F-2993-4F6B-AFF9-443293703260}"/>
  </cellStyles>
  <dxfs count="20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f.baiguera@lostudiotelematico.it" TargetMode="External"/><Relationship Id="rId21" Type="http://schemas.openxmlformats.org/officeDocument/2006/relationships/hyperlink" Target="mailto:nicola.lorenzetti098@libero.it" TargetMode="External"/><Relationship Id="rId34" Type="http://schemas.openxmlformats.org/officeDocument/2006/relationships/hyperlink" Target="mailto:stefanoamadei996@gmail.com" TargetMode="External"/><Relationship Id="rId42" Type="http://schemas.openxmlformats.org/officeDocument/2006/relationships/hyperlink" Target="mailto:jeffrey.hangst@cern.ch" TargetMode="External"/><Relationship Id="rId47" Type="http://schemas.openxmlformats.org/officeDocument/2006/relationships/hyperlink" Target="mailto:giulia.zanoni2001@gmail.com" TargetMode="External"/><Relationship Id="rId50" Type="http://schemas.openxmlformats.org/officeDocument/2006/relationships/hyperlink" Target="mailto:alexandratsymokh@gmail.com" TargetMode="External"/><Relationship Id="rId55" Type="http://schemas.openxmlformats.org/officeDocument/2006/relationships/hyperlink" Target="mailto:ondei.emanuele@gmail.com" TargetMode="External"/><Relationship Id="rId63" Type="http://schemas.openxmlformats.org/officeDocument/2006/relationships/hyperlink" Target="mailto:giuliocontiphd@gmail.com" TargetMode="External"/><Relationship Id="rId7" Type="http://schemas.openxmlformats.org/officeDocument/2006/relationships/hyperlink" Target="mailto:sarapancera94@gmail.com" TargetMode="External"/><Relationship Id="rId2" Type="http://schemas.openxmlformats.org/officeDocument/2006/relationships/hyperlink" Target="mailto:manueldusina@hotmail.it" TargetMode="External"/><Relationship Id="rId16" Type="http://schemas.openxmlformats.org/officeDocument/2006/relationships/hyperlink" Target="mailto:dav.bertolini@gmail.com" TargetMode="External"/><Relationship Id="rId29" Type="http://schemas.openxmlformats.org/officeDocument/2006/relationships/hyperlink" Target="mailto:laura.depero@unibs.it" TargetMode="External"/><Relationship Id="rId11" Type="http://schemas.openxmlformats.org/officeDocument/2006/relationships/hyperlink" Target="mailto:a.montuoro91@gmail.com" TargetMode="External"/><Relationship Id="rId24" Type="http://schemas.openxmlformats.org/officeDocument/2006/relationships/hyperlink" Target="mailto:n.buizza94@gmail.com" TargetMode="External"/><Relationship Id="rId32" Type="http://schemas.openxmlformats.org/officeDocument/2006/relationships/hyperlink" Target="mailto:pinzufede@hotmail.it" TargetMode="External"/><Relationship Id="rId37" Type="http://schemas.openxmlformats.org/officeDocument/2006/relationships/hyperlink" Target="https://www.linkedin.com/in/debora-tononi-64005520a/" TargetMode="External"/><Relationship Id="rId40" Type="http://schemas.openxmlformats.org/officeDocument/2006/relationships/hyperlink" Target="mailto:chiarapasini3@gmail.com" TargetMode="External"/><Relationship Id="rId45" Type="http://schemas.openxmlformats.org/officeDocument/2006/relationships/hyperlink" Target="mailto:federico.manenti@verlingue.it" TargetMode="External"/><Relationship Id="rId53" Type="http://schemas.openxmlformats.org/officeDocument/2006/relationships/hyperlink" Target="mailto:ahmadshuja66@gmail.com" TargetMode="External"/><Relationship Id="rId58" Type="http://schemas.openxmlformats.org/officeDocument/2006/relationships/hyperlink" Target="mailto:dr.faustini@dentalfaustini.it" TargetMode="External"/><Relationship Id="rId5" Type="http://schemas.openxmlformats.org/officeDocument/2006/relationships/hyperlink" Target="mailto:matteo.ferrari@univ-st-etienne.fr" TargetMode="External"/><Relationship Id="rId61" Type="http://schemas.openxmlformats.org/officeDocument/2006/relationships/hyperlink" Target="mailto:nicolavianelli01@gmail.com" TargetMode="External"/><Relationship Id="rId19" Type="http://schemas.openxmlformats.org/officeDocument/2006/relationships/hyperlink" Target="mailto:remo.dedonno@gmail.com" TargetMode="External"/><Relationship Id="rId14" Type="http://schemas.openxmlformats.org/officeDocument/2006/relationships/hyperlink" Target="mailto:masha.navoni@live.it" TargetMode="External"/><Relationship Id="rId22" Type="http://schemas.openxmlformats.org/officeDocument/2006/relationships/hyperlink" Target="mailto:tewehag.geb@gmail.com" TargetMode="External"/><Relationship Id="rId27" Type="http://schemas.openxmlformats.org/officeDocument/2006/relationships/hyperlink" Target="mailto:giulia.caligari@gmail.com" TargetMode="External"/><Relationship Id="rId30" Type="http://schemas.openxmlformats.org/officeDocument/2006/relationships/hyperlink" Target="mailto:sebastiano@legeorgiche.it" TargetMode="External"/><Relationship Id="rId35" Type="http://schemas.openxmlformats.org/officeDocument/2006/relationships/hyperlink" Target="mailto:stefanoamadei996@gmail.com" TargetMode="External"/><Relationship Id="rId43" Type="http://schemas.openxmlformats.org/officeDocument/2006/relationships/hyperlink" Target="mailto:silviaforbiti@gmail.com" TargetMode="External"/><Relationship Id="rId48" Type="http://schemas.openxmlformats.org/officeDocument/2006/relationships/hyperlink" Target="mailto:lorenzo.saldi@gmail.com" TargetMode="External"/><Relationship Id="rId56" Type="http://schemas.openxmlformats.org/officeDocument/2006/relationships/hyperlink" Target="mailto:nicolas.merigo.it@gmail.com" TargetMode="External"/><Relationship Id="rId64" Type="http://schemas.openxmlformats.org/officeDocument/2006/relationships/hyperlink" Target="mailto:laurapecori@gmail.com" TargetMode="External"/><Relationship Id="rId8" Type="http://schemas.openxmlformats.org/officeDocument/2006/relationships/hyperlink" Target="mailto:edoardo.savoia.due@gmail.com" TargetMode="External"/><Relationship Id="rId51" Type="http://schemas.openxmlformats.org/officeDocument/2006/relationships/hyperlink" Target="mailto:yaredj19@gmail.com" TargetMode="External"/><Relationship Id="rId3" Type="http://schemas.openxmlformats.org/officeDocument/2006/relationships/hyperlink" Target="mailto:jeanpierrelouisetienne.faye@gmail.com" TargetMode="External"/><Relationship Id="rId12" Type="http://schemas.openxmlformats.org/officeDocument/2006/relationships/hyperlink" Target="mailto:giovannineboli@gmail.com" TargetMode="External"/><Relationship Id="rId17" Type="http://schemas.openxmlformats.org/officeDocument/2006/relationships/hyperlink" Target="mailto:fabio.belussi@gmail.com" TargetMode="External"/><Relationship Id="rId25" Type="http://schemas.openxmlformats.org/officeDocument/2006/relationships/hyperlink" Target="mailto:marcello.gelfi@unibs.it" TargetMode="External"/><Relationship Id="rId33" Type="http://schemas.openxmlformats.org/officeDocument/2006/relationships/hyperlink" Target="mailto:gr.consulenzaziendale@gmail.com" TargetMode="External"/><Relationship Id="rId38" Type="http://schemas.openxmlformats.org/officeDocument/2006/relationships/hyperlink" Target="mailto:singhlovepreet1973@icloud.com" TargetMode="External"/><Relationship Id="rId46" Type="http://schemas.openxmlformats.org/officeDocument/2006/relationships/hyperlink" Target="mailto:pelizzola.alberto@gmail.com" TargetMode="External"/><Relationship Id="rId59" Type="http://schemas.openxmlformats.org/officeDocument/2006/relationships/hyperlink" Target="mailto:smith98f@gmail.com" TargetMode="External"/><Relationship Id="rId20" Type="http://schemas.openxmlformats.org/officeDocument/2006/relationships/hyperlink" Target="mailto:d.felappi@studiofelappi.it" TargetMode="External"/><Relationship Id="rId41" Type="http://schemas.openxmlformats.org/officeDocument/2006/relationships/hyperlink" Target="mailto:angelo.trainini@icloud.com" TargetMode="External"/><Relationship Id="rId54" Type="http://schemas.openxmlformats.org/officeDocument/2006/relationships/hyperlink" Target="mailto:la.stefini@esaedro.eu" TargetMode="External"/><Relationship Id="rId62" Type="http://schemas.openxmlformats.org/officeDocument/2006/relationships/hyperlink" Target="mailto:sara.zampedri2001@gmail.com" TargetMode="External"/><Relationship Id="rId1" Type="http://schemas.openxmlformats.org/officeDocument/2006/relationships/hyperlink" Target="mailto:fausto.cassetti@libero.it" TargetMode="External"/><Relationship Id="rId6" Type="http://schemas.openxmlformats.org/officeDocument/2006/relationships/hyperlink" Target="mailto:paparusso.mic@gmail.com" TargetMode="External"/><Relationship Id="rId15" Type="http://schemas.openxmlformats.org/officeDocument/2006/relationships/hyperlink" Target="mailto:sara93beschi@gmail.com" TargetMode="External"/><Relationship Id="rId23" Type="http://schemas.openxmlformats.org/officeDocument/2006/relationships/hyperlink" Target="mailto:maczott@inwind.it" TargetMode="External"/><Relationship Id="rId28" Type="http://schemas.openxmlformats.org/officeDocument/2006/relationships/hyperlink" Target="mailto:andreadigregorio96@gmail.com" TargetMode="External"/><Relationship Id="rId36" Type="http://schemas.openxmlformats.org/officeDocument/2006/relationships/hyperlink" Target="mailto:r.passi@studenti.unibs.it" TargetMode="External"/><Relationship Id="rId49" Type="http://schemas.openxmlformats.org/officeDocument/2006/relationships/hyperlink" Target="mailto:giuseppe.08.straolzini@gmail.com" TargetMode="External"/><Relationship Id="rId57" Type="http://schemas.openxmlformats.org/officeDocument/2006/relationships/hyperlink" Target="mailto:luigicremaschini2003@gmail.com" TargetMode="External"/><Relationship Id="rId10" Type="http://schemas.openxmlformats.org/officeDocument/2006/relationships/hyperlink" Target="mailto:valeriafrusca@hotmail.it" TargetMode="External"/><Relationship Id="rId31" Type="http://schemas.openxmlformats.org/officeDocument/2006/relationships/hyperlink" Target="mailto:marzia.bolpagni@polimi.it" TargetMode="External"/><Relationship Id="rId44" Type="http://schemas.openxmlformats.org/officeDocument/2006/relationships/hyperlink" Target="mailto:nickdaddabiz@gmail.com" TargetMode="External"/><Relationship Id="rId52" Type="http://schemas.openxmlformats.org/officeDocument/2006/relationships/hyperlink" Target="mailto:giorg.belu@gmail.com" TargetMode="External"/><Relationship Id="rId60" Type="http://schemas.openxmlformats.org/officeDocument/2006/relationships/hyperlink" Target="mailto:raoul.bontempi@vibo.com" TargetMode="External"/><Relationship Id="rId65" Type="http://schemas.openxmlformats.org/officeDocument/2006/relationships/printerSettings" Target="../printerSettings/printerSettings1.bin"/><Relationship Id="rId4" Type="http://schemas.openxmlformats.org/officeDocument/2006/relationships/hyperlink" Target="mailto:ziniandrea86@alice.it" TargetMode="External"/><Relationship Id="rId9" Type="http://schemas.openxmlformats.org/officeDocument/2006/relationships/hyperlink" Target="mailto:im.ilamarini@gmail.com" TargetMode="External"/><Relationship Id="rId13" Type="http://schemas.openxmlformats.org/officeDocument/2006/relationships/hyperlink" Target="mailto:m.messora@studenti.unibs.it" TargetMode="External"/><Relationship Id="rId18" Type="http://schemas.openxmlformats.org/officeDocument/2006/relationships/hyperlink" Target="mailto:rachideddaha199.ra@gmail.com" TargetMode="External"/><Relationship Id="rId39" Type="http://schemas.openxmlformats.org/officeDocument/2006/relationships/hyperlink" Target="mailto:mariachiaratis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1287"/>
  <sheetViews>
    <sheetView tabSelected="1" zoomScale="120" zoomScaleNormal="120" workbookViewId="0">
      <pane xSplit="3" ySplit="1" topLeftCell="T619" activePane="bottomRight" state="frozen"/>
      <selection pane="topRight" activeCell="D1" sqref="D1"/>
      <selection pane="bottomLeft" activeCell="A2" sqref="A2"/>
      <selection pane="bottomRight" activeCell="T636" sqref="T636"/>
    </sheetView>
  </sheetViews>
  <sheetFormatPr defaultColWidth="102.44140625" defaultRowHeight="13.8" x14ac:dyDescent="0.3"/>
  <cols>
    <col min="1" max="1" width="17.6640625" style="12" customWidth="1"/>
    <col min="2" max="2" width="18.88671875" style="12" bestFit="1" customWidth="1"/>
    <col min="3" max="3" width="21.21875" style="12" customWidth="1"/>
    <col min="4" max="4" width="19.109375" style="12" customWidth="1"/>
    <col min="5" max="5" width="15.5546875" style="12" customWidth="1"/>
    <col min="6" max="6" width="29.109375" style="12" customWidth="1"/>
    <col min="7" max="7" width="52.109375" style="12" customWidth="1"/>
    <col min="8" max="8" width="78.44140625" style="12" customWidth="1"/>
    <col min="9" max="9" width="61.44140625" style="12" customWidth="1"/>
    <col min="10" max="10" width="28.109375" style="12" customWidth="1"/>
    <col min="11" max="11" width="14.5546875" style="12" customWidth="1"/>
    <col min="12" max="12" width="79" style="12" customWidth="1"/>
    <col min="13" max="13" width="34.88671875" style="14" customWidth="1"/>
    <col min="14" max="14" width="54.33203125" style="12" customWidth="1"/>
    <col min="15" max="15" width="163.109375" style="12" bestFit="1" customWidth="1"/>
    <col min="16" max="16" width="34.5546875" style="12" bestFit="1" customWidth="1"/>
    <col min="17" max="17" width="27.33203125" style="12" customWidth="1"/>
    <col min="18" max="18" width="35.44140625" style="12" customWidth="1"/>
    <col min="19" max="19" width="24.44140625" style="12" bestFit="1" customWidth="1"/>
    <col min="20" max="20" width="11.33203125" style="12" customWidth="1"/>
    <col min="21" max="21" width="20.109375" style="12" customWidth="1"/>
    <col min="22" max="22" width="12.88671875" style="12" customWidth="1"/>
    <col min="23" max="23" width="31.33203125" style="12" customWidth="1"/>
    <col min="24" max="24" width="14.33203125" style="12" customWidth="1"/>
    <col min="25" max="25" width="21.109375" style="12" customWidth="1"/>
    <col min="26" max="26" width="14.5546875" style="12" customWidth="1"/>
    <col min="27" max="27" width="59.44140625" style="12" customWidth="1"/>
    <col min="28" max="28" width="71.33203125" style="12" bestFit="1" customWidth="1"/>
    <col min="29" max="29" width="14.88671875" style="12" customWidth="1"/>
    <col min="30" max="30" width="13" style="12" bestFit="1" customWidth="1"/>
    <col min="31" max="16384" width="102.44140625" style="12"/>
  </cols>
  <sheetData>
    <row r="1" spans="1:30" ht="27.6" x14ac:dyDescent="0.3">
      <c r="A1" s="8" t="s">
        <v>7368</v>
      </c>
      <c r="B1" s="8" t="s">
        <v>1</v>
      </c>
      <c r="C1" s="8" t="s">
        <v>2</v>
      </c>
      <c r="D1" s="8" t="s">
        <v>0</v>
      </c>
      <c r="E1" s="8" t="s">
        <v>10</v>
      </c>
      <c r="F1" s="8" t="s">
        <v>9</v>
      </c>
      <c r="G1" s="8" t="s">
        <v>12</v>
      </c>
      <c r="H1" s="8" t="s">
        <v>3</v>
      </c>
      <c r="I1" s="8" t="s">
        <v>4</v>
      </c>
      <c r="J1" s="8" t="s">
        <v>5</v>
      </c>
      <c r="K1" s="8" t="s">
        <v>6</v>
      </c>
      <c r="L1" s="8" t="s">
        <v>17</v>
      </c>
      <c r="M1" s="8" t="s">
        <v>11</v>
      </c>
      <c r="N1" s="8" t="s">
        <v>3946</v>
      </c>
      <c r="O1" s="8" t="s">
        <v>18</v>
      </c>
      <c r="P1" s="8" t="s">
        <v>7650</v>
      </c>
      <c r="Q1" s="8" t="s">
        <v>7651</v>
      </c>
      <c r="R1" s="8" t="s">
        <v>5436</v>
      </c>
      <c r="S1" s="8" t="s">
        <v>13</v>
      </c>
      <c r="T1" s="9" t="s">
        <v>5018</v>
      </c>
      <c r="U1" s="10" t="s">
        <v>14</v>
      </c>
      <c r="V1" s="10" t="s">
        <v>15</v>
      </c>
      <c r="W1" s="10" t="s">
        <v>16</v>
      </c>
      <c r="X1" s="11" t="s">
        <v>3894</v>
      </c>
      <c r="Y1" s="11" t="s">
        <v>5282</v>
      </c>
      <c r="Z1" s="11" t="s">
        <v>3895</v>
      </c>
      <c r="AA1" s="11" t="s">
        <v>3897</v>
      </c>
      <c r="AB1" s="11" t="s">
        <v>3896</v>
      </c>
      <c r="AC1" s="11" t="s">
        <v>8</v>
      </c>
      <c r="AD1" s="11" t="s">
        <v>7</v>
      </c>
    </row>
    <row r="2" spans="1:30" ht="55.2" x14ac:dyDescent="0.3">
      <c r="A2" s="13" t="s">
        <v>254</v>
      </c>
      <c r="B2" s="13" t="s">
        <v>1898</v>
      </c>
      <c r="C2" s="13" t="s">
        <v>1899</v>
      </c>
      <c r="D2" s="13" t="s">
        <v>1897</v>
      </c>
      <c r="F2" s="13" t="s">
        <v>1901</v>
      </c>
      <c r="J2" s="13" t="s">
        <v>1900</v>
      </c>
      <c r="K2" s="13" t="s">
        <v>39</v>
      </c>
      <c r="L2" s="13" t="s">
        <v>1902</v>
      </c>
      <c r="M2" s="14" t="s">
        <v>152</v>
      </c>
      <c r="O2" s="13" t="s">
        <v>31</v>
      </c>
      <c r="P2" s="13"/>
      <c r="Q2" s="13"/>
      <c r="R2" s="13"/>
      <c r="S2" s="12">
        <v>2022</v>
      </c>
      <c r="T2" s="15">
        <v>2022</v>
      </c>
      <c r="U2" s="13" t="s">
        <v>45</v>
      </c>
      <c r="V2" s="13" t="s">
        <v>29</v>
      </c>
      <c r="X2" s="14"/>
      <c r="Y2" s="16" t="s">
        <v>10081</v>
      </c>
      <c r="Z2" s="14" t="s">
        <v>3828</v>
      </c>
      <c r="AA2" s="14" t="s">
        <v>3871</v>
      </c>
      <c r="AB2" s="14" t="s">
        <v>3888</v>
      </c>
    </row>
    <row r="3" spans="1:30" hidden="1" x14ac:dyDescent="0.3">
      <c r="A3" s="13" t="s">
        <v>1379</v>
      </c>
      <c r="B3" s="13" t="s">
        <v>1377</v>
      </c>
      <c r="C3" s="13" t="s">
        <v>1378</v>
      </c>
      <c r="D3" s="13" t="s">
        <v>1376</v>
      </c>
      <c r="E3" s="13" t="s">
        <v>1383</v>
      </c>
      <c r="F3" s="13" t="s">
        <v>1382</v>
      </c>
      <c r="H3" s="13" t="s">
        <v>1380</v>
      </c>
      <c r="I3" s="13" t="s">
        <v>1381</v>
      </c>
      <c r="J3" s="13" t="s">
        <v>72</v>
      </c>
      <c r="K3" s="13" t="s">
        <v>39</v>
      </c>
      <c r="L3" s="13" t="s">
        <v>1384</v>
      </c>
      <c r="M3" s="14" t="s">
        <v>141</v>
      </c>
      <c r="O3" s="13" t="s">
        <v>31</v>
      </c>
      <c r="P3" s="13"/>
      <c r="Q3" s="13"/>
      <c r="R3" s="13"/>
      <c r="S3" s="12">
        <v>2022</v>
      </c>
      <c r="T3" s="15">
        <v>2022</v>
      </c>
      <c r="U3" s="13" t="s">
        <v>45</v>
      </c>
      <c r="V3" s="13" t="s">
        <v>29</v>
      </c>
      <c r="X3" s="14">
        <v>5</v>
      </c>
      <c r="Y3" s="14"/>
      <c r="Z3" s="14" t="s">
        <v>3828</v>
      </c>
      <c r="AA3" s="14" t="s">
        <v>3821</v>
      </c>
      <c r="AB3" s="14" t="s">
        <v>3885</v>
      </c>
    </row>
    <row r="4" spans="1:30" hidden="1" x14ac:dyDescent="0.3">
      <c r="B4" s="13" t="s">
        <v>556</v>
      </c>
      <c r="C4" s="13" t="s">
        <v>557</v>
      </c>
      <c r="D4" s="13" t="s">
        <v>555</v>
      </c>
      <c r="E4" s="13" t="s">
        <v>562</v>
      </c>
      <c r="F4" s="13" t="s">
        <v>561</v>
      </c>
      <c r="H4" s="13" t="s">
        <v>558</v>
      </c>
      <c r="I4" s="13" t="s">
        <v>559</v>
      </c>
      <c r="J4" s="13" t="s">
        <v>560</v>
      </c>
      <c r="K4" s="13" t="s">
        <v>39</v>
      </c>
      <c r="L4" s="13" t="s">
        <v>563</v>
      </c>
      <c r="M4" s="14" t="s">
        <v>141</v>
      </c>
      <c r="O4" s="13" t="s">
        <v>31</v>
      </c>
      <c r="P4" s="13"/>
      <c r="Q4" s="13"/>
      <c r="R4" s="13"/>
      <c r="S4" s="12">
        <v>2022</v>
      </c>
      <c r="T4" s="15">
        <v>2022</v>
      </c>
      <c r="U4" s="13" t="s">
        <v>45</v>
      </c>
      <c r="V4" s="13" t="s">
        <v>29</v>
      </c>
      <c r="X4" s="14">
        <v>5</v>
      </c>
      <c r="Y4" s="14"/>
      <c r="Z4" s="14" t="s">
        <v>3835</v>
      </c>
      <c r="AA4" s="14" t="s">
        <v>3814</v>
      </c>
      <c r="AB4" s="14" t="s">
        <v>3884</v>
      </c>
    </row>
    <row r="5" spans="1:30" ht="55.2" x14ac:dyDescent="0.3">
      <c r="B5" s="13" t="s">
        <v>1110</v>
      </c>
      <c r="C5" s="13" t="s">
        <v>1111</v>
      </c>
      <c r="D5" s="13" t="s">
        <v>1109</v>
      </c>
      <c r="E5" s="13" t="s">
        <v>1116</v>
      </c>
      <c r="F5" s="13" t="s">
        <v>1115</v>
      </c>
      <c r="G5" s="13" t="s">
        <v>1117</v>
      </c>
      <c r="H5" s="13" t="s">
        <v>1112</v>
      </c>
      <c r="I5" s="13" t="s">
        <v>1113</v>
      </c>
      <c r="J5" s="13" t="s">
        <v>1114</v>
      </c>
      <c r="K5" s="13" t="s">
        <v>39</v>
      </c>
      <c r="L5" s="13" t="s">
        <v>3840</v>
      </c>
      <c r="M5" s="14" t="s">
        <v>3804</v>
      </c>
      <c r="O5" s="13" t="s">
        <v>31</v>
      </c>
      <c r="P5" s="13"/>
      <c r="Q5" s="13"/>
      <c r="R5" s="13"/>
      <c r="S5" s="12">
        <v>2022</v>
      </c>
      <c r="T5" s="15">
        <v>2022</v>
      </c>
      <c r="U5" s="13" t="s">
        <v>45</v>
      </c>
      <c r="V5" s="13" t="s">
        <v>29</v>
      </c>
      <c r="X5" s="14"/>
      <c r="Y5" s="16" t="s">
        <v>10081</v>
      </c>
      <c r="Z5" s="14" t="s">
        <v>3828</v>
      </c>
      <c r="AA5" s="14" t="s">
        <v>3807</v>
      </c>
      <c r="AB5" s="14" t="s">
        <v>3888</v>
      </c>
    </row>
    <row r="6" spans="1:30" ht="55.2" x14ac:dyDescent="0.3">
      <c r="B6" s="13" t="s">
        <v>1815</v>
      </c>
      <c r="C6" s="13" t="s">
        <v>447</v>
      </c>
      <c r="D6" s="13" t="s">
        <v>1814</v>
      </c>
      <c r="E6" s="13" t="s">
        <v>1817</v>
      </c>
      <c r="F6" s="13" t="s">
        <v>1816</v>
      </c>
      <c r="K6" s="13" t="s">
        <v>25</v>
      </c>
      <c r="L6" s="13" t="s">
        <v>1818</v>
      </c>
      <c r="M6" s="14" t="s">
        <v>3804</v>
      </c>
      <c r="O6" s="13" t="s">
        <v>31</v>
      </c>
      <c r="P6" s="13"/>
      <c r="Q6" s="13"/>
      <c r="R6" s="13"/>
      <c r="S6" s="12">
        <v>2022</v>
      </c>
      <c r="T6" s="15">
        <v>2022</v>
      </c>
      <c r="V6" s="13" t="s">
        <v>29</v>
      </c>
      <c r="X6" s="14"/>
      <c r="Y6" s="16" t="s">
        <v>10081</v>
      </c>
      <c r="Z6" s="14" t="s">
        <v>3828</v>
      </c>
      <c r="AA6" s="14" t="s">
        <v>3822</v>
      </c>
      <c r="AB6" s="14" t="s">
        <v>3887</v>
      </c>
    </row>
    <row r="7" spans="1:30" ht="55.2" x14ac:dyDescent="0.3">
      <c r="B7" s="13" t="s">
        <v>3109</v>
      </c>
      <c r="C7" s="13" t="s">
        <v>1678</v>
      </c>
      <c r="D7" s="13" t="s">
        <v>3108</v>
      </c>
      <c r="E7" s="13" t="s">
        <v>3113</v>
      </c>
      <c r="F7" s="13" t="s">
        <v>3112</v>
      </c>
      <c r="H7" s="13" t="s">
        <v>3110</v>
      </c>
      <c r="I7" s="13" t="s">
        <v>3111</v>
      </c>
      <c r="K7" s="13" t="s">
        <v>25</v>
      </c>
      <c r="L7" s="13" t="s">
        <v>3114</v>
      </c>
      <c r="M7" s="14" t="s">
        <v>3804</v>
      </c>
      <c r="O7" s="13" t="s">
        <v>31</v>
      </c>
      <c r="P7" s="13"/>
      <c r="Q7" s="13"/>
      <c r="R7" s="13"/>
      <c r="S7" s="12">
        <v>2022</v>
      </c>
      <c r="T7" s="15">
        <v>2022</v>
      </c>
      <c r="V7" s="13" t="s">
        <v>29</v>
      </c>
      <c r="X7" s="14"/>
      <c r="Y7" s="16" t="s">
        <v>10081</v>
      </c>
      <c r="Z7" s="14" t="s">
        <v>3828</v>
      </c>
      <c r="AA7" s="14" t="s">
        <v>3807</v>
      </c>
      <c r="AB7" s="14" t="s">
        <v>3888</v>
      </c>
    </row>
    <row r="8" spans="1:30" hidden="1" x14ac:dyDescent="0.3">
      <c r="B8" s="13" t="s">
        <v>3528</v>
      </c>
      <c r="C8" s="13" t="s">
        <v>938</v>
      </c>
      <c r="D8" s="13" t="s">
        <v>3527</v>
      </c>
      <c r="E8" s="13" t="s">
        <v>3531</v>
      </c>
      <c r="F8" s="13" t="s">
        <v>3530</v>
      </c>
      <c r="G8" s="13" t="s">
        <v>3532</v>
      </c>
      <c r="J8" s="13" t="s">
        <v>3529</v>
      </c>
      <c r="K8" s="13" t="s">
        <v>39</v>
      </c>
      <c r="L8" s="13" t="s">
        <v>3534</v>
      </c>
      <c r="M8" s="14" t="s">
        <v>141</v>
      </c>
      <c r="O8" s="13" t="s">
        <v>31</v>
      </c>
      <c r="P8" s="13"/>
      <c r="Q8" s="13"/>
      <c r="R8" s="13"/>
      <c r="S8" s="12">
        <v>2022</v>
      </c>
      <c r="T8" s="15">
        <v>2022</v>
      </c>
      <c r="U8" s="13" t="s">
        <v>3533</v>
      </c>
      <c r="V8" s="13" t="s">
        <v>708</v>
      </c>
      <c r="X8" s="14">
        <v>10</v>
      </c>
      <c r="Y8" s="14"/>
      <c r="Z8" s="14" t="s">
        <v>3835</v>
      </c>
      <c r="AA8" s="14"/>
      <c r="AB8" s="14"/>
    </row>
    <row r="9" spans="1:30" hidden="1" x14ac:dyDescent="0.3">
      <c r="A9" s="13" t="s">
        <v>22</v>
      </c>
      <c r="B9" s="13" t="s">
        <v>670</v>
      </c>
      <c r="C9" s="13" t="s">
        <v>671</v>
      </c>
      <c r="D9" s="13" t="s">
        <v>669</v>
      </c>
      <c r="E9" s="13" t="s">
        <v>675</v>
      </c>
      <c r="F9" s="13" t="s">
        <v>674</v>
      </c>
      <c r="G9" s="13" t="s">
        <v>676</v>
      </c>
      <c r="H9" s="13" t="s">
        <v>672</v>
      </c>
      <c r="I9" s="13" t="s">
        <v>191</v>
      </c>
      <c r="J9" s="13" t="s">
        <v>52</v>
      </c>
      <c r="K9" s="13" t="s">
        <v>25</v>
      </c>
      <c r="N9" s="13"/>
      <c r="S9" s="17">
        <v>44286</v>
      </c>
      <c r="T9" s="18">
        <v>2021</v>
      </c>
      <c r="V9" s="13" t="s">
        <v>29</v>
      </c>
      <c r="X9" s="14">
        <v>10</v>
      </c>
      <c r="Y9" s="14"/>
      <c r="Z9" s="14" t="s">
        <v>3835</v>
      </c>
      <c r="AA9" s="14" t="s">
        <v>3817</v>
      </c>
      <c r="AB9" s="14" t="s">
        <v>3884</v>
      </c>
      <c r="AC9" s="13" t="s">
        <v>673</v>
      </c>
      <c r="AD9" s="13" t="s">
        <v>53</v>
      </c>
    </row>
    <row r="10" spans="1:30" hidden="1" x14ac:dyDescent="0.3">
      <c r="A10" s="13" t="s">
        <v>49</v>
      </c>
      <c r="B10" s="13" t="s">
        <v>3560</v>
      </c>
      <c r="C10" s="13" t="s">
        <v>265</v>
      </c>
      <c r="D10" s="13" t="s">
        <v>3571</v>
      </c>
      <c r="E10" s="13" t="s">
        <v>3575</v>
      </c>
      <c r="F10" s="13" t="s">
        <v>3574</v>
      </c>
      <c r="G10" s="13" t="s">
        <v>3576</v>
      </c>
      <c r="H10" s="13" t="s">
        <v>3572</v>
      </c>
      <c r="I10" s="13" t="s">
        <v>191</v>
      </c>
      <c r="J10" s="13" t="s">
        <v>3573</v>
      </c>
      <c r="K10" s="13" t="s">
        <v>25</v>
      </c>
      <c r="N10" s="13"/>
      <c r="S10" s="17">
        <v>44286</v>
      </c>
      <c r="T10" s="18">
        <v>2021</v>
      </c>
      <c r="V10" s="13" t="s">
        <v>708</v>
      </c>
      <c r="X10" s="14">
        <v>5</v>
      </c>
      <c r="Y10" s="14"/>
      <c r="Z10" s="14" t="s">
        <v>3828</v>
      </c>
      <c r="AA10" s="14"/>
      <c r="AB10" s="14"/>
      <c r="AD10" s="13" t="s">
        <v>53</v>
      </c>
    </row>
    <row r="11" spans="1:30" ht="27.6" hidden="1" x14ac:dyDescent="0.3">
      <c r="A11" s="13" t="s">
        <v>22</v>
      </c>
      <c r="B11" s="13" t="s">
        <v>1034</v>
      </c>
      <c r="C11" s="13" t="s">
        <v>1035</v>
      </c>
      <c r="D11" s="13" t="s">
        <v>1033</v>
      </c>
      <c r="E11" s="13" t="s">
        <v>1039</v>
      </c>
      <c r="F11" s="13" t="s">
        <v>1038</v>
      </c>
      <c r="G11" s="13" t="s">
        <v>1040</v>
      </c>
      <c r="H11" s="13" t="s">
        <v>1036</v>
      </c>
      <c r="I11" s="13" t="s">
        <v>1037</v>
      </c>
      <c r="J11" s="13" t="s">
        <v>52</v>
      </c>
      <c r="K11" s="13" t="s">
        <v>25</v>
      </c>
      <c r="N11" s="13"/>
      <c r="S11" s="17">
        <v>44287</v>
      </c>
      <c r="T11" s="18">
        <v>2021</v>
      </c>
      <c r="V11" s="13" t="s">
        <v>29</v>
      </c>
      <c r="X11" s="14">
        <v>5</v>
      </c>
      <c r="Y11" s="14"/>
      <c r="Z11" s="14" t="s">
        <v>2148</v>
      </c>
      <c r="AA11" s="14" t="s">
        <v>3818</v>
      </c>
      <c r="AB11" s="14" t="s">
        <v>3890</v>
      </c>
      <c r="AD11" s="13" t="s">
        <v>53</v>
      </c>
    </row>
    <row r="12" spans="1:30" hidden="1" x14ac:dyDescent="0.3">
      <c r="A12" s="13" t="s">
        <v>22</v>
      </c>
      <c r="B12" s="13" t="s">
        <v>1771</v>
      </c>
      <c r="C12" s="13" t="s">
        <v>1772</v>
      </c>
      <c r="D12" s="13" t="s">
        <v>1770</v>
      </c>
      <c r="E12" s="13" t="s">
        <v>1775</v>
      </c>
      <c r="F12" s="13" t="s">
        <v>1774</v>
      </c>
      <c r="G12" s="13" t="s">
        <v>1776</v>
      </c>
      <c r="H12" s="13" t="s">
        <v>1773</v>
      </c>
      <c r="I12" s="13" t="s">
        <v>191</v>
      </c>
      <c r="J12" s="13" t="s">
        <v>52</v>
      </c>
      <c r="K12" s="13" t="s">
        <v>25</v>
      </c>
      <c r="N12" s="13"/>
      <c r="S12" s="17">
        <v>44287</v>
      </c>
      <c r="T12" s="18">
        <v>2021</v>
      </c>
      <c r="V12" s="13" t="s">
        <v>29</v>
      </c>
      <c r="X12" s="14">
        <v>5</v>
      </c>
      <c r="Y12" s="14"/>
      <c r="Z12" s="14" t="s">
        <v>3835</v>
      </c>
      <c r="AA12" s="14" t="s">
        <v>3814</v>
      </c>
      <c r="AB12" s="14" t="s">
        <v>3884</v>
      </c>
      <c r="AD12" s="13" t="s">
        <v>53</v>
      </c>
    </row>
    <row r="13" spans="1:30" hidden="1" x14ac:dyDescent="0.3">
      <c r="A13" s="13" t="s">
        <v>100</v>
      </c>
      <c r="B13" s="13" t="s">
        <v>3775</v>
      </c>
      <c r="C13" s="13" t="s">
        <v>3776</v>
      </c>
      <c r="D13" s="13" t="s">
        <v>3774</v>
      </c>
      <c r="E13" s="13" t="s">
        <v>3779</v>
      </c>
      <c r="F13" s="13" t="s">
        <v>3778</v>
      </c>
      <c r="G13" s="13" t="s">
        <v>3780</v>
      </c>
      <c r="H13" s="13" t="s">
        <v>3777</v>
      </c>
      <c r="I13" s="13" t="s">
        <v>191</v>
      </c>
      <c r="J13" s="13" t="s">
        <v>52</v>
      </c>
      <c r="K13" s="13" t="s">
        <v>25</v>
      </c>
      <c r="N13" s="13"/>
      <c r="S13" s="17">
        <v>44287</v>
      </c>
      <c r="T13" s="18">
        <v>2021</v>
      </c>
      <c r="V13" s="13" t="s">
        <v>29</v>
      </c>
      <c r="X13" s="14">
        <v>5</v>
      </c>
      <c r="Y13" s="14"/>
      <c r="Z13" s="14" t="s">
        <v>3828</v>
      </c>
      <c r="AA13" s="14" t="s">
        <v>3809</v>
      </c>
      <c r="AB13" s="14" t="s">
        <v>3888</v>
      </c>
      <c r="AD13" s="13" t="s">
        <v>53</v>
      </c>
    </row>
    <row r="14" spans="1:30" hidden="1" x14ac:dyDescent="0.3">
      <c r="A14" s="13" t="s">
        <v>22</v>
      </c>
      <c r="B14" s="13" t="s">
        <v>446</v>
      </c>
      <c r="C14" s="13" t="s">
        <v>447</v>
      </c>
      <c r="D14" s="13" t="s">
        <v>445</v>
      </c>
      <c r="E14" s="13" t="s">
        <v>451</v>
      </c>
      <c r="F14" s="13" t="s">
        <v>450</v>
      </c>
      <c r="G14" s="13" t="s">
        <v>452</v>
      </c>
      <c r="H14" s="13" t="s">
        <v>448</v>
      </c>
      <c r="I14" s="13" t="s">
        <v>449</v>
      </c>
      <c r="J14" s="13" t="s">
        <v>52</v>
      </c>
      <c r="K14" s="13" t="s">
        <v>25</v>
      </c>
      <c r="N14" s="13"/>
      <c r="S14" s="17">
        <v>44288</v>
      </c>
      <c r="T14" s="18">
        <v>2021</v>
      </c>
      <c r="V14" s="13" t="s">
        <v>29</v>
      </c>
      <c r="X14" s="14">
        <v>5</v>
      </c>
      <c r="Y14" s="14"/>
      <c r="Z14" s="14" t="s">
        <v>3870</v>
      </c>
      <c r="AA14" s="14" t="s">
        <v>3806</v>
      </c>
      <c r="AB14" s="14" t="s">
        <v>3886</v>
      </c>
      <c r="AD14" s="13" t="s">
        <v>53</v>
      </c>
    </row>
    <row r="15" spans="1:30" ht="27.6" hidden="1" x14ac:dyDescent="0.3">
      <c r="A15" s="13" t="s">
        <v>22</v>
      </c>
      <c r="B15" s="13" t="s">
        <v>603</v>
      </c>
      <c r="C15" s="13" t="s">
        <v>604</v>
      </c>
      <c r="D15" s="13" t="s">
        <v>602</v>
      </c>
      <c r="E15" s="13" t="s">
        <v>609</v>
      </c>
      <c r="F15" s="13" t="s">
        <v>608</v>
      </c>
      <c r="G15" s="13" t="s">
        <v>610</v>
      </c>
      <c r="H15" s="13" t="s">
        <v>605</v>
      </c>
      <c r="I15" s="13" t="s">
        <v>606</v>
      </c>
      <c r="J15" s="13" t="s">
        <v>52</v>
      </c>
      <c r="K15" s="13" t="s">
        <v>25</v>
      </c>
      <c r="N15" s="13"/>
      <c r="S15" s="17">
        <v>44288</v>
      </c>
      <c r="T15" s="18">
        <v>2021</v>
      </c>
      <c r="V15" s="13" t="s">
        <v>29</v>
      </c>
      <c r="X15" s="14">
        <v>20</v>
      </c>
      <c r="Y15" s="14"/>
      <c r="Z15" s="14" t="s">
        <v>3870</v>
      </c>
      <c r="AA15" s="14" t="s">
        <v>3806</v>
      </c>
      <c r="AB15" s="14" t="s">
        <v>3886</v>
      </c>
      <c r="AC15" s="13" t="s">
        <v>607</v>
      </c>
      <c r="AD15" s="13" t="s">
        <v>53</v>
      </c>
    </row>
    <row r="16" spans="1:30" hidden="1" x14ac:dyDescent="0.3">
      <c r="A16" s="13" t="s">
        <v>22</v>
      </c>
      <c r="B16" s="13" t="s">
        <v>741</v>
      </c>
      <c r="C16" s="13" t="s">
        <v>68</v>
      </c>
      <c r="D16" s="13" t="s">
        <v>740</v>
      </c>
      <c r="E16" s="13" t="s">
        <v>745</v>
      </c>
      <c r="F16" s="13" t="s">
        <v>744</v>
      </c>
      <c r="G16" s="13" t="s">
        <v>746</v>
      </c>
      <c r="H16" s="13" t="s">
        <v>742</v>
      </c>
      <c r="I16" s="13" t="s">
        <v>743</v>
      </c>
      <c r="J16" s="13" t="s">
        <v>330</v>
      </c>
      <c r="K16" s="13" t="s">
        <v>25</v>
      </c>
      <c r="N16" s="13"/>
      <c r="S16" s="17">
        <v>44288</v>
      </c>
      <c r="T16" s="18">
        <v>2021</v>
      </c>
      <c r="V16" s="13" t="s">
        <v>29</v>
      </c>
      <c r="X16" s="14">
        <v>5</v>
      </c>
      <c r="Y16" s="14"/>
      <c r="Z16" s="14" t="s">
        <v>3870</v>
      </c>
      <c r="AA16" s="14" t="s">
        <v>3806</v>
      </c>
      <c r="AB16" s="14" t="s">
        <v>3886</v>
      </c>
      <c r="AD16" s="13" t="s">
        <v>53</v>
      </c>
    </row>
    <row r="17" spans="1:30" hidden="1" x14ac:dyDescent="0.3">
      <c r="A17" s="13" t="s">
        <v>22</v>
      </c>
      <c r="B17" s="13" t="s">
        <v>1146</v>
      </c>
      <c r="C17" s="13" t="s">
        <v>124</v>
      </c>
      <c r="D17" s="13" t="s">
        <v>1145</v>
      </c>
      <c r="E17" s="13" t="s">
        <v>1150</v>
      </c>
      <c r="F17" s="13" t="s">
        <v>1149</v>
      </c>
      <c r="G17" s="13" t="s">
        <v>1151</v>
      </c>
      <c r="H17" s="13" t="s">
        <v>1147</v>
      </c>
      <c r="I17" s="13" t="s">
        <v>1148</v>
      </c>
      <c r="J17" s="13" t="s">
        <v>52</v>
      </c>
      <c r="K17" s="13" t="s">
        <v>25</v>
      </c>
      <c r="N17" s="13"/>
      <c r="S17" s="17">
        <v>44288</v>
      </c>
      <c r="T17" s="18">
        <v>2021</v>
      </c>
      <c r="V17" s="13" t="s">
        <v>29</v>
      </c>
      <c r="X17" s="14">
        <v>50</v>
      </c>
      <c r="Y17" s="14"/>
      <c r="Z17" s="14" t="s">
        <v>3869</v>
      </c>
      <c r="AA17" s="14" t="s">
        <v>3808</v>
      </c>
      <c r="AB17" s="14" t="s">
        <v>3884</v>
      </c>
      <c r="AD17" s="13" t="s">
        <v>53</v>
      </c>
    </row>
    <row r="18" spans="1:30" ht="27.6" hidden="1" x14ac:dyDescent="0.3">
      <c r="A18" s="13" t="s">
        <v>22</v>
      </c>
      <c r="B18" s="13" t="s">
        <v>1191</v>
      </c>
      <c r="C18" s="13" t="s">
        <v>1192</v>
      </c>
      <c r="D18" s="13" t="s">
        <v>1190</v>
      </c>
      <c r="E18" s="13" t="s">
        <v>1196</v>
      </c>
      <c r="F18" s="13" t="s">
        <v>1195</v>
      </c>
      <c r="G18" s="13" t="s">
        <v>1198</v>
      </c>
      <c r="H18" s="13" t="s">
        <v>1193</v>
      </c>
      <c r="I18" s="13" t="s">
        <v>1194</v>
      </c>
      <c r="J18" s="13" t="s">
        <v>330</v>
      </c>
      <c r="K18" s="13" t="s">
        <v>25</v>
      </c>
      <c r="L18" s="13" t="s">
        <v>1200</v>
      </c>
      <c r="M18" s="14" t="s">
        <v>141</v>
      </c>
      <c r="N18" s="13"/>
      <c r="O18" s="13" t="s">
        <v>31</v>
      </c>
      <c r="P18" s="13"/>
      <c r="Q18" s="13"/>
      <c r="R18" s="13"/>
      <c r="S18" s="17">
        <v>44288</v>
      </c>
      <c r="T18" s="18">
        <v>2021</v>
      </c>
      <c r="V18" s="13" t="s">
        <v>29</v>
      </c>
      <c r="W18" s="13" t="s">
        <v>1199</v>
      </c>
      <c r="X18" s="14" t="s">
        <v>1197</v>
      </c>
      <c r="Y18" s="14"/>
      <c r="Z18" s="14" t="s">
        <v>3835</v>
      </c>
      <c r="AA18" s="14" t="s">
        <v>3817</v>
      </c>
      <c r="AB18" s="14" t="s">
        <v>3884</v>
      </c>
      <c r="AD18" s="13" t="s">
        <v>53</v>
      </c>
    </row>
    <row r="19" spans="1:30" hidden="1" x14ac:dyDescent="0.3">
      <c r="A19" s="13" t="s">
        <v>22</v>
      </c>
      <c r="B19" s="13" t="s">
        <v>1332</v>
      </c>
      <c r="C19" s="13" t="s">
        <v>1000</v>
      </c>
      <c r="D19" s="13" t="s">
        <v>1331</v>
      </c>
      <c r="E19" s="13" t="s">
        <v>1334</v>
      </c>
      <c r="F19" s="19" t="s">
        <v>1333</v>
      </c>
      <c r="G19" s="13" t="s">
        <v>1335</v>
      </c>
      <c r="H19" s="1" t="s">
        <v>5524</v>
      </c>
      <c r="I19" s="1" t="s">
        <v>5525</v>
      </c>
      <c r="J19" s="13" t="s">
        <v>330</v>
      </c>
      <c r="K19" s="13" t="s">
        <v>25</v>
      </c>
      <c r="N19" s="13"/>
      <c r="S19" s="17">
        <v>44288</v>
      </c>
      <c r="T19" s="18">
        <v>2021</v>
      </c>
      <c r="V19" s="13" t="s">
        <v>29</v>
      </c>
      <c r="X19" s="14">
        <v>5</v>
      </c>
      <c r="Y19" s="14"/>
      <c r="Z19" s="14" t="s">
        <v>3870</v>
      </c>
      <c r="AA19" s="14" t="s">
        <v>3806</v>
      </c>
      <c r="AB19" s="14" t="s">
        <v>3886</v>
      </c>
      <c r="AD19" s="13" t="s">
        <v>53</v>
      </c>
    </row>
    <row r="20" spans="1:30" hidden="1" x14ac:dyDescent="0.3">
      <c r="A20" s="13" t="s">
        <v>22</v>
      </c>
      <c r="B20" s="13" t="s">
        <v>1998</v>
      </c>
      <c r="C20" s="13" t="s">
        <v>557</v>
      </c>
      <c r="D20" s="13" t="s">
        <v>1997</v>
      </c>
      <c r="E20" s="13" t="s">
        <v>2002</v>
      </c>
      <c r="F20" s="13" t="s">
        <v>2001</v>
      </c>
      <c r="G20" s="13" t="s">
        <v>2003</v>
      </c>
      <c r="H20" s="13" t="s">
        <v>1999</v>
      </c>
      <c r="I20" s="13" t="s">
        <v>2000</v>
      </c>
      <c r="J20" s="13" t="s">
        <v>330</v>
      </c>
      <c r="K20" s="13" t="s">
        <v>25</v>
      </c>
      <c r="N20" s="13"/>
      <c r="S20" s="17">
        <v>44288</v>
      </c>
      <c r="T20" s="18">
        <v>2021</v>
      </c>
      <c r="V20" s="13" t="s">
        <v>29</v>
      </c>
      <c r="X20" s="14">
        <v>5</v>
      </c>
      <c r="Y20" s="14"/>
      <c r="Z20" s="14" t="s">
        <v>3835</v>
      </c>
      <c r="AA20" s="14" t="s">
        <v>3814</v>
      </c>
      <c r="AB20" s="14" t="s">
        <v>3884</v>
      </c>
      <c r="AD20" s="13" t="s">
        <v>53</v>
      </c>
    </row>
    <row r="21" spans="1:30" hidden="1" x14ac:dyDescent="0.3">
      <c r="A21" s="13" t="s">
        <v>22</v>
      </c>
      <c r="B21" s="13" t="s">
        <v>2128</v>
      </c>
      <c r="C21" s="13" t="s">
        <v>447</v>
      </c>
      <c r="D21" s="13" t="s">
        <v>2127</v>
      </c>
      <c r="E21" s="13" t="s">
        <v>2133</v>
      </c>
      <c r="F21" s="13" t="s">
        <v>2132</v>
      </c>
      <c r="G21" s="13" t="s">
        <v>2134</v>
      </c>
      <c r="H21" s="13" t="s">
        <v>2129</v>
      </c>
      <c r="I21" s="13" t="s">
        <v>2130</v>
      </c>
      <c r="J21" s="13" t="s">
        <v>2131</v>
      </c>
      <c r="K21" s="13" t="s">
        <v>25</v>
      </c>
      <c r="N21" s="13"/>
      <c r="S21" s="17">
        <v>44288</v>
      </c>
      <c r="T21" s="18">
        <v>2021</v>
      </c>
      <c r="V21" s="13" t="s">
        <v>29</v>
      </c>
      <c r="X21" s="14">
        <v>100</v>
      </c>
      <c r="Y21" s="14"/>
      <c r="Z21" s="14" t="s">
        <v>3835</v>
      </c>
      <c r="AA21" s="14" t="s">
        <v>3813</v>
      </c>
      <c r="AB21" s="14" t="s">
        <v>3884</v>
      </c>
      <c r="AD21" s="13" t="s">
        <v>53</v>
      </c>
    </row>
    <row r="22" spans="1:30" hidden="1" x14ac:dyDescent="0.3">
      <c r="A22" s="13" t="s">
        <v>22</v>
      </c>
      <c r="B22" s="13" t="s">
        <v>3757</v>
      </c>
      <c r="C22" s="13" t="s">
        <v>229</v>
      </c>
      <c r="D22" s="13" t="s">
        <v>3756</v>
      </c>
      <c r="E22" s="13" t="s">
        <v>3759</v>
      </c>
      <c r="F22" s="13" t="s">
        <v>3760</v>
      </c>
      <c r="G22" s="13" t="s">
        <v>3761</v>
      </c>
      <c r="H22" s="13" t="s">
        <v>3758</v>
      </c>
      <c r="I22" s="13" t="s">
        <v>191</v>
      </c>
      <c r="J22" s="13" t="s">
        <v>52</v>
      </c>
      <c r="K22" s="13" t="s">
        <v>25</v>
      </c>
      <c r="N22" s="13"/>
      <c r="S22" s="17">
        <v>44288</v>
      </c>
      <c r="T22" s="18">
        <v>2021</v>
      </c>
      <c r="V22" s="13" t="s">
        <v>29</v>
      </c>
      <c r="X22" s="14">
        <v>5</v>
      </c>
      <c r="Y22" s="14"/>
      <c r="Z22" s="14" t="s">
        <v>3835</v>
      </c>
      <c r="AA22" s="14" t="s">
        <v>3813</v>
      </c>
      <c r="AB22" s="14" t="s">
        <v>3884</v>
      </c>
      <c r="AC22" s="13"/>
      <c r="AD22" s="13" t="s">
        <v>53</v>
      </c>
    </row>
    <row r="23" spans="1:30" hidden="1" x14ac:dyDescent="0.3">
      <c r="A23" s="13" t="s">
        <v>100</v>
      </c>
      <c r="B23" s="13" t="s">
        <v>1252</v>
      </c>
      <c r="C23" s="13" t="s">
        <v>1253</v>
      </c>
      <c r="D23" s="13" t="s">
        <v>1251</v>
      </c>
      <c r="E23" s="13" t="s">
        <v>1258</v>
      </c>
      <c r="F23" s="13" t="s">
        <v>1257</v>
      </c>
      <c r="G23" s="13" t="s">
        <v>1259</v>
      </c>
      <c r="H23" s="13" t="s">
        <v>1254</v>
      </c>
      <c r="I23" s="13" t="s">
        <v>1255</v>
      </c>
      <c r="J23" s="13" t="s">
        <v>1256</v>
      </c>
      <c r="K23" s="13" t="s">
        <v>25</v>
      </c>
      <c r="N23" s="13"/>
      <c r="S23" s="17">
        <v>44288</v>
      </c>
      <c r="T23" s="18">
        <v>2021</v>
      </c>
      <c r="V23" s="13" t="s">
        <v>29</v>
      </c>
      <c r="X23" s="14">
        <v>5</v>
      </c>
      <c r="Y23" s="14"/>
      <c r="Z23" s="14" t="s">
        <v>3828</v>
      </c>
      <c r="AA23" s="14" t="s">
        <v>3816</v>
      </c>
      <c r="AB23" s="14" t="s">
        <v>3885</v>
      </c>
      <c r="AD23" s="13" t="s">
        <v>53</v>
      </c>
    </row>
    <row r="24" spans="1:30" hidden="1" x14ac:dyDescent="0.3">
      <c r="A24" s="13" t="s">
        <v>100</v>
      </c>
      <c r="B24" s="13" t="s">
        <v>2302</v>
      </c>
      <c r="C24" s="13" t="s">
        <v>2303</v>
      </c>
      <c r="D24" s="13" t="s">
        <v>2301</v>
      </c>
      <c r="E24" s="13" t="s">
        <v>2306</v>
      </c>
      <c r="F24" s="13" t="s">
        <v>2305</v>
      </c>
      <c r="G24" s="13" t="s">
        <v>2307</v>
      </c>
      <c r="H24" s="13" t="s">
        <v>2304</v>
      </c>
      <c r="J24" s="13" t="s">
        <v>330</v>
      </c>
      <c r="K24" s="13" t="s">
        <v>25</v>
      </c>
      <c r="N24" s="13"/>
      <c r="S24" s="17">
        <v>44288</v>
      </c>
      <c r="T24" s="18">
        <v>2021</v>
      </c>
      <c r="V24" s="13" t="s">
        <v>29</v>
      </c>
      <c r="X24" s="14">
        <v>15</v>
      </c>
      <c r="Y24" s="14"/>
      <c r="Z24" s="14" t="s">
        <v>3828</v>
      </c>
      <c r="AA24" s="14" t="s">
        <v>3807</v>
      </c>
      <c r="AB24" s="14" t="s">
        <v>3888</v>
      </c>
      <c r="AD24" s="13" t="s">
        <v>53</v>
      </c>
    </row>
    <row r="25" spans="1:30" hidden="1" x14ac:dyDescent="0.3">
      <c r="A25" s="13" t="s">
        <v>100</v>
      </c>
      <c r="B25" s="13" t="s">
        <v>3203</v>
      </c>
      <c r="C25" s="13" t="s">
        <v>3204</v>
      </c>
      <c r="D25" s="13" t="s">
        <v>3202</v>
      </c>
      <c r="E25" s="13" t="s">
        <v>3208</v>
      </c>
      <c r="F25" s="13" t="s">
        <v>3207</v>
      </c>
      <c r="G25" s="13" t="s">
        <v>3209</v>
      </c>
      <c r="H25" s="13" t="s">
        <v>3205</v>
      </c>
      <c r="I25" s="13" t="s">
        <v>3206</v>
      </c>
      <c r="J25" s="13" t="s">
        <v>330</v>
      </c>
      <c r="K25" s="13" t="s">
        <v>25</v>
      </c>
      <c r="N25" s="13"/>
      <c r="S25" s="17">
        <v>44288</v>
      </c>
      <c r="T25" s="18">
        <v>2021</v>
      </c>
      <c r="V25" s="13" t="s">
        <v>29</v>
      </c>
      <c r="X25" s="14">
        <v>5</v>
      </c>
      <c r="Y25" s="14"/>
      <c r="Z25" s="14" t="s">
        <v>3828</v>
      </c>
      <c r="AA25" s="14" t="s">
        <v>3830</v>
      </c>
      <c r="AB25" s="14" t="s">
        <v>3887</v>
      </c>
      <c r="AD25" s="13" t="s">
        <v>53</v>
      </c>
    </row>
    <row r="26" spans="1:30" hidden="1" x14ac:dyDescent="0.3">
      <c r="A26" s="13" t="s">
        <v>100</v>
      </c>
      <c r="B26" s="13" t="s">
        <v>3377</v>
      </c>
      <c r="C26" s="13" t="s">
        <v>229</v>
      </c>
      <c r="D26" s="13" t="s">
        <v>3376</v>
      </c>
      <c r="E26" s="13" t="s">
        <v>3381</v>
      </c>
      <c r="F26" s="13" t="s">
        <v>3380</v>
      </c>
      <c r="G26" s="13" t="s">
        <v>3382</v>
      </c>
      <c r="H26" s="13" t="s">
        <v>3378</v>
      </c>
      <c r="I26" s="13" t="s">
        <v>3379</v>
      </c>
      <c r="J26" s="13" t="s">
        <v>1992</v>
      </c>
      <c r="K26" s="13" t="s">
        <v>1993</v>
      </c>
      <c r="N26" s="13"/>
      <c r="S26" s="17">
        <v>44288</v>
      </c>
      <c r="T26" s="18">
        <v>2021</v>
      </c>
      <c r="V26" s="13" t="s">
        <v>29</v>
      </c>
      <c r="X26" s="14">
        <v>5</v>
      </c>
      <c r="Y26" s="14"/>
      <c r="Z26" s="14" t="s">
        <v>3828</v>
      </c>
      <c r="AA26" s="14" t="s">
        <v>3822</v>
      </c>
      <c r="AB26" s="14" t="s">
        <v>3887</v>
      </c>
      <c r="AD26" s="13" t="s">
        <v>53</v>
      </c>
    </row>
    <row r="27" spans="1:30" ht="27.6" hidden="1" x14ac:dyDescent="0.3">
      <c r="A27" s="13" t="s">
        <v>100</v>
      </c>
      <c r="B27" s="13" t="s">
        <v>3396</v>
      </c>
      <c r="C27" s="13" t="s">
        <v>1562</v>
      </c>
      <c r="D27" s="13" t="s">
        <v>3395</v>
      </c>
      <c r="E27" s="13" t="s">
        <v>3400</v>
      </c>
      <c r="F27" s="13" t="s">
        <v>3399</v>
      </c>
      <c r="G27" s="13" t="s">
        <v>3401</v>
      </c>
      <c r="H27" s="13" t="s">
        <v>3397</v>
      </c>
      <c r="I27" s="13" t="s">
        <v>3398</v>
      </c>
      <c r="J27" s="13" t="s">
        <v>52</v>
      </c>
      <c r="K27" s="13" t="s">
        <v>25</v>
      </c>
      <c r="N27" s="13"/>
      <c r="S27" s="17">
        <v>44288</v>
      </c>
      <c r="T27" s="18">
        <v>2021</v>
      </c>
      <c r="V27" s="13" t="s">
        <v>29</v>
      </c>
      <c r="X27" s="14">
        <v>5</v>
      </c>
      <c r="Y27" s="14"/>
      <c r="Z27" s="14" t="s">
        <v>3828</v>
      </c>
      <c r="AA27" s="14" t="s">
        <v>3807</v>
      </c>
      <c r="AB27" s="14" t="s">
        <v>3888</v>
      </c>
      <c r="AD27" s="13" t="s">
        <v>53</v>
      </c>
    </row>
    <row r="28" spans="1:30" hidden="1" x14ac:dyDescent="0.3">
      <c r="A28" s="13" t="s">
        <v>22</v>
      </c>
      <c r="B28" s="13" t="s">
        <v>1184</v>
      </c>
      <c r="C28" s="13" t="s">
        <v>68</v>
      </c>
      <c r="D28" s="13" t="s">
        <v>1183</v>
      </c>
      <c r="E28" s="13" t="s">
        <v>1188</v>
      </c>
      <c r="F28" s="13" t="s">
        <v>1187</v>
      </c>
      <c r="G28" s="13" t="s">
        <v>1189</v>
      </c>
      <c r="H28" s="13" t="s">
        <v>1185</v>
      </c>
      <c r="I28" s="13" t="s">
        <v>1186</v>
      </c>
      <c r="J28" s="13" t="s">
        <v>52</v>
      </c>
      <c r="K28" s="13" t="s">
        <v>25</v>
      </c>
      <c r="N28" s="13"/>
      <c r="S28" s="17">
        <v>44289</v>
      </c>
      <c r="T28" s="18">
        <v>2021</v>
      </c>
      <c r="V28" s="13" t="s">
        <v>29</v>
      </c>
      <c r="X28" s="14">
        <v>5</v>
      </c>
      <c r="Y28" s="14"/>
      <c r="Z28" s="14" t="s">
        <v>3835</v>
      </c>
      <c r="AA28" s="14" t="s">
        <v>3813</v>
      </c>
      <c r="AB28" s="14" t="s">
        <v>3884</v>
      </c>
      <c r="AD28" s="13" t="s">
        <v>53</v>
      </c>
    </row>
    <row r="29" spans="1:30" hidden="1" x14ac:dyDescent="0.3">
      <c r="A29" s="13" t="s">
        <v>22</v>
      </c>
      <c r="B29" s="13" t="s">
        <v>1663</v>
      </c>
      <c r="C29" s="13" t="s">
        <v>124</v>
      </c>
      <c r="D29" s="13" t="s">
        <v>1662</v>
      </c>
      <c r="E29" s="13" t="s">
        <v>1668</v>
      </c>
      <c r="F29" s="13" t="s">
        <v>1667</v>
      </c>
      <c r="G29" s="13" t="s">
        <v>1669</v>
      </c>
      <c r="H29" s="13" t="s">
        <v>1664</v>
      </c>
      <c r="I29" s="13" t="s">
        <v>1665</v>
      </c>
      <c r="J29" s="13" t="s">
        <v>1666</v>
      </c>
      <c r="K29" s="13" t="s">
        <v>25</v>
      </c>
      <c r="N29" s="13"/>
      <c r="S29" s="17">
        <v>44289</v>
      </c>
      <c r="T29" s="18">
        <v>2021</v>
      </c>
      <c r="V29" s="13" t="s">
        <v>29</v>
      </c>
      <c r="X29" s="14">
        <v>5</v>
      </c>
      <c r="Y29" s="14"/>
      <c r="Z29" s="14" t="s">
        <v>3835</v>
      </c>
      <c r="AA29" s="14" t="s">
        <v>3817</v>
      </c>
      <c r="AB29" s="14" t="s">
        <v>3884</v>
      </c>
      <c r="AD29" s="13" t="s">
        <v>53</v>
      </c>
    </row>
    <row r="30" spans="1:30" hidden="1" x14ac:dyDescent="0.3">
      <c r="A30" s="13" t="s">
        <v>22</v>
      </c>
      <c r="B30" s="13" t="s">
        <v>2827</v>
      </c>
      <c r="C30" s="13" t="s">
        <v>2828</v>
      </c>
      <c r="D30" s="13" t="s">
        <v>2826</v>
      </c>
      <c r="E30" s="13" t="s">
        <v>2833</v>
      </c>
      <c r="F30" s="13" t="s">
        <v>2832</v>
      </c>
      <c r="G30" s="13" t="s">
        <v>2834</v>
      </c>
      <c r="H30" s="13" t="s">
        <v>2829</v>
      </c>
      <c r="I30" s="13" t="s">
        <v>2830</v>
      </c>
      <c r="J30" s="13" t="s">
        <v>2831</v>
      </c>
      <c r="K30" s="13" t="s">
        <v>25</v>
      </c>
      <c r="N30" s="13"/>
      <c r="S30" s="17">
        <v>44289</v>
      </c>
      <c r="T30" s="18">
        <v>2021</v>
      </c>
      <c r="V30" s="13" t="s">
        <v>29</v>
      </c>
      <c r="X30" s="14">
        <v>10</v>
      </c>
      <c r="Y30" s="14"/>
      <c r="Z30" s="14" t="s">
        <v>3835</v>
      </c>
      <c r="AA30" s="14" t="s">
        <v>3813</v>
      </c>
      <c r="AB30" s="14" t="s">
        <v>3884</v>
      </c>
      <c r="AD30" s="13" t="s">
        <v>53</v>
      </c>
    </row>
    <row r="31" spans="1:30" hidden="1" x14ac:dyDescent="0.3">
      <c r="A31" s="13" t="s">
        <v>22</v>
      </c>
      <c r="B31" s="13" t="s">
        <v>2900</v>
      </c>
      <c r="C31" s="13" t="s">
        <v>806</v>
      </c>
      <c r="D31" s="13" t="s">
        <v>2899</v>
      </c>
      <c r="E31" s="13" t="s">
        <v>2904</v>
      </c>
      <c r="F31" s="13" t="s">
        <v>2903</v>
      </c>
      <c r="G31" s="13" t="s">
        <v>2905</v>
      </c>
      <c r="H31" s="13" t="s">
        <v>2901</v>
      </c>
      <c r="I31" s="13" t="s">
        <v>711</v>
      </c>
      <c r="J31" s="13" t="s">
        <v>2902</v>
      </c>
      <c r="K31" s="13" t="s">
        <v>25</v>
      </c>
      <c r="N31" s="13"/>
      <c r="S31" s="17">
        <v>44289</v>
      </c>
      <c r="T31" s="18">
        <v>2021</v>
      </c>
      <c r="V31" s="13" t="s">
        <v>29</v>
      </c>
      <c r="X31" s="14">
        <v>10</v>
      </c>
      <c r="Y31" s="14"/>
      <c r="Z31" s="14" t="s">
        <v>3835</v>
      </c>
      <c r="AA31" s="14" t="s">
        <v>3817</v>
      </c>
      <c r="AB31" s="14" t="s">
        <v>3884</v>
      </c>
      <c r="AD31" s="13" t="s">
        <v>53</v>
      </c>
    </row>
    <row r="32" spans="1:30" hidden="1" x14ac:dyDescent="0.3">
      <c r="A32" s="13" t="s">
        <v>100</v>
      </c>
      <c r="B32" s="13" t="s">
        <v>627</v>
      </c>
      <c r="C32" s="13" t="s">
        <v>628</v>
      </c>
      <c r="D32" s="13" t="s">
        <v>626</v>
      </c>
      <c r="E32" s="13" t="s">
        <v>632</v>
      </c>
      <c r="F32" s="13" t="s">
        <v>631</v>
      </c>
      <c r="G32" s="13" t="s">
        <v>633</v>
      </c>
      <c r="H32" s="13" t="s">
        <v>629</v>
      </c>
      <c r="I32" s="13" t="s">
        <v>630</v>
      </c>
      <c r="J32" s="13" t="s">
        <v>52</v>
      </c>
      <c r="K32" s="13" t="s">
        <v>25</v>
      </c>
      <c r="N32" s="13"/>
      <c r="S32" s="17">
        <v>44289</v>
      </c>
      <c r="T32" s="18">
        <v>2021</v>
      </c>
      <c r="V32" s="13" t="s">
        <v>29</v>
      </c>
      <c r="X32" s="14">
        <v>5</v>
      </c>
      <c r="Y32" s="14"/>
      <c r="Z32" s="14" t="s">
        <v>3828</v>
      </c>
      <c r="AA32" s="14" t="s">
        <v>3807</v>
      </c>
      <c r="AB32" s="14" t="s">
        <v>3888</v>
      </c>
      <c r="AD32" s="13" t="s">
        <v>53</v>
      </c>
    </row>
    <row r="33" spans="1:30" hidden="1" x14ac:dyDescent="0.3">
      <c r="A33" s="13" t="s">
        <v>100</v>
      </c>
      <c r="B33" s="13" t="s">
        <v>2820</v>
      </c>
      <c r="C33" s="13" t="s">
        <v>447</v>
      </c>
      <c r="D33" s="13" t="s">
        <v>2819</v>
      </c>
      <c r="E33" s="13" t="s">
        <v>2823</v>
      </c>
      <c r="F33" s="13" t="s">
        <v>2824</v>
      </c>
      <c r="G33" s="13" t="s">
        <v>2825</v>
      </c>
      <c r="H33" s="13" t="s">
        <v>2821</v>
      </c>
      <c r="I33" s="13" t="s">
        <v>2822</v>
      </c>
      <c r="J33" s="13" t="s">
        <v>52</v>
      </c>
      <c r="K33" s="13" t="s">
        <v>25</v>
      </c>
      <c r="N33" s="13"/>
      <c r="S33" s="17">
        <v>44289</v>
      </c>
      <c r="T33" s="18">
        <v>2021</v>
      </c>
      <c r="V33" s="13" t="s">
        <v>29</v>
      </c>
      <c r="X33" s="14">
        <v>10</v>
      </c>
      <c r="Y33" s="14"/>
      <c r="Z33" s="14" t="s">
        <v>3828</v>
      </c>
      <c r="AA33" s="14" t="s">
        <v>3809</v>
      </c>
      <c r="AB33" s="14" t="s">
        <v>3888</v>
      </c>
      <c r="AC33" s="13"/>
      <c r="AD33" s="13" t="s">
        <v>53</v>
      </c>
    </row>
    <row r="34" spans="1:30" ht="14.4" hidden="1" x14ac:dyDescent="0.3">
      <c r="A34" s="13" t="s">
        <v>100</v>
      </c>
      <c r="B34" s="13" t="s">
        <v>3782</v>
      </c>
      <c r="C34" s="13" t="s">
        <v>229</v>
      </c>
      <c r="D34" s="13" t="s">
        <v>3781</v>
      </c>
      <c r="E34" s="20" t="s">
        <v>3787</v>
      </c>
      <c r="F34" s="13" t="s">
        <v>3786</v>
      </c>
      <c r="G34" s="13" t="s">
        <v>3788</v>
      </c>
      <c r="H34" s="13" t="s">
        <v>3783</v>
      </c>
      <c r="I34" s="13" t="s">
        <v>3784</v>
      </c>
      <c r="J34" s="13" t="s">
        <v>3785</v>
      </c>
      <c r="K34" s="13" t="s">
        <v>25</v>
      </c>
      <c r="N34" s="13"/>
      <c r="S34" s="17">
        <v>44289</v>
      </c>
      <c r="T34" s="18">
        <v>2021</v>
      </c>
      <c r="V34" s="13" t="s">
        <v>29</v>
      </c>
      <c r="X34" s="14" t="s">
        <v>7277</v>
      </c>
      <c r="Y34" s="14"/>
      <c r="Z34" s="14" t="s">
        <v>3828</v>
      </c>
      <c r="AA34" s="14" t="s">
        <v>3807</v>
      </c>
      <c r="AB34" s="14" t="s">
        <v>3888</v>
      </c>
      <c r="AD34" s="13" t="s">
        <v>53</v>
      </c>
    </row>
    <row r="35" spans="1:30" hidden="1" x14ac:dyDescent="0.3">
      <c r="A35" s="13" t="s">
        <v>22</v>
      </c>
      <c r="B35" s="13" t="s">
        <v>1398</v>
      </c>
      <c r="C35" s="13" t="s">
        <v>1399</v>
      </c>
      <c r="D35" s="13" t="s">
        <v>1397</v>
      </c>
      <c r="E35" s="13" t="s">
        <v>1402</v>
      </c>
      <c r="F35" s="13" t="s">
        <v>1401</v>
      </c>
      <c r="G35" s="13" t="s">
        <v>1403</v>
      </c>
      <c r="H35" s="13" t="s">
        <v>1400</v>
      </c>
      <c r="I35" s="13" t="s">
        <v>191</v>
      </c>
      <c r="J35" s="13" t="s">
        <v>52</v>
      </c>
      <c r="K35" s="13" t="s">
        <v>25</v>
      </c>
      <c r="N35" s="13"/>
      <c r="S35" s="17">
        <v>44290</v>
      </c>
      <c r="T35" s="18">
        <v>2021</v>
      </c>
      <c r="V35" s="13" t="s">
        <v>29</v>
      </c>
      <c r="W35" s="13" t="s">
        <v>1404</v>
      </c>
      <c r="X35" s="14">
        <v>20</v>
      </c>
      <c r="Y35" s="14"/>
      <c r="Z35" s="14" t="s">
        <v>3828</v>
      </c>
      <c r="AA35" s="14" t="s">
        <v>3872</v>
      </c>
      <c r="AB35" s="14" t="s">
        <v>3888</v>
      </c>
      <c r="AD35" s="13" t="s">
        <v>53</v>
      </c>
    </row>
    <row r="36" spans="1:30" hidden="1" x14ac:dyDescent="0.3">
      <c r="A36" s="13" t="s">
        <v>100</v>
      </c>
      <c r="B36" s="13" t="s">
        <v>975</v>
      </c>
      <c r="C36" s="13" t="s">
        <v>466</v>
      </c>
      <c r="D36" s="13" t="s">
        <v>978</v>
      </c>
      <c r="E36" s="13" t="s">
        <v>982</v>
      </c>
      <c r="F36" s="13" t="s">
        <v>981</v>
      </c>
      <c r="G36" s="13" t="s">
        <v>983</v>
      </c>
      <c r="H36" s="13" t="s">
        <v>979</v>
      </c>
      <c r="I36" s="13" t="s">
        <v>980</v>
      </c>
      <c r="J36" s="13" t="s">
        <v>52</v>
      </c>
      <c r="K36" s="13" t="s">
        <v>25</v>
      </c>
      <c r="N36" s="13"/>
      <c r="S36" s="17">
        <v>44290</v>
      </c>
      <c r="T36" s="18">
        <v>2021</v>
      </c>
      <c r="V36" s="13" t="s">
        <v>29</v>
      </c>
      <c r="X36" s="14">
        <v>5</v>
      </c>
      <c r="Y36" s="14"/>
      <c r="Z36" s="14" t="s">
        <v>3828</v>
      </c>
      <c r="AA36" s="14" t="s">
        <v>3807</v>
      </c>
      <c r="AB36" s="14" t="s">
        <v>3888</v>
      </c>
      <c r="AD36" s="13" t="s">
        <v>53</v>
      </c>
    </row>
    <row r="37" spans="1:30" hidden="1" x14ac:dyDescent="0.3">
      <c r="A37" s="13" t="s">
        <v>22</v>
      </c>
      <c r="B37" s="13" t="s">
        <v>914</v>
      </c>
      <c r="C37" s="13" t="s">
        <v>915</v>
      </c>
      <c r="D37" s="13" t="s">
        <v>913</v>
      </c>
      <c r="E37" s="13" t="s">
        <v>920</v>
      </c>
      <c r="F37" s="13" t="s">
        <v>919</v>
      </c>
      <c r="G37" s="13" t="s">
        <v>921</v>
      </c>
      <c r="H37" s="13" t="s">
        <v>916</v>
      </c>
      <c r="I37" s="13" t="s">
        <v>917</v>
      </c>
      <c r="J37" s="13" t="s">
        <v>52</v>
      </c>
      <c r="K37" s="13" t="s">
        <v>25</v>
      </c>
      <c r="N37" s="13"/>
      <c r="S37" s="17">
        <v>44291</v>
      </c>
      <c r="T37" s="18">
        <v>2021</v>
      </c>
      <c r="V37" s="13" t="s">
        <v>29</v>
      </c>
      <c r="X37" s="14">
        <v>5</v>
      </c>
      <c r="Y37" s="14"/>
      <c r="Z37" s="14" t="s">
        <v>3870</v>
      </c>
      <c r="AA37" s="14" t="s">
        <v>3806</v>
      </c>
      <c r="AB37" s="14" t="s">
        <v>3886</v>
      </c>
      <c r="AD37" s="13" t="s">
        <v>918</v>
      </c>
    </row>
    <row r="38" spans="1:30" ht="27.6" hidden="1" x14ac:dyDescent="0.3">
      <c r="A38" s="13" t="s">
        <v>22</v>
      </c>
      <c r="B38" s="13" t="s">
        <v>2231</v>
      </c>
      <c r="C38" s="13" t="s">
        <v>1154</v>
      </c>
      <c r="D38" s="13" t="s">
        <v>2230</v>
      </c>
      <c r="E38" s="13" t="s">
        <v>2236</v>
      </c>
      <c r="F38" s="13" t="s">
        <v>2235</v>
      </c>
      <c r="G38" s="13" t="s">
        <v>2237</v>
      </c>
      <c r="H38" s="13" t="s">
        <v>2232</v>
      </c>
      <c r="I38" s="13" t="s">
        <v>2233</v>
      </c>
      <c r="J38" s="13" t="s">
        <v>2234</v>
      </c>
      <c r="K38" s="13" t="s">
        <v>25</v>
      </c>
      <c r="N38" s="13"/>
      <c r="S38" s="17">
        <v>44291</v>
      </c>
      <c r="T38" s="18">
        <v>2021</v>
      </c>
      <c r="V38" s="13" t="s">
        <v>29</v>
      </c>
      <c r="X38" s="14">
        <v>5</v>
      </c>
      <c r="Y38" s="14"/>
      <c r="Z38" s="14" t="s">
        <v>2148</v>
      </c>
      <c r="AA38" s="14" t="s">
        <v>3834</v>
      </c>
      <c r="AB38" s="14" t="s">
        <v>3889</v>
      </c>
      <c r="AD38" s="13" t="s">
        <v>53</v>
      </c>
    </row>
    <row r="39" spans="1:30" s="21" customFormat="1" hidden="1" x14ac:dyDescent="0.3">
      <c r="A39" s="13" t="s">
        <v>1362</v>
      </c>
      <c r="B39" s="13" t="s">
        <v>1360</v>
      </c>
      <c r="C39" s="13" t="s">
        <v>1361</v>
      </c>
      <c r="D39" s="13" t="s">
        <v>1359</v>
      </c>
      <c r="E39" s="13" t="s">
        <v>1366</v>
      </c>
      <c r="F39" s="13" t="s">
        <v>1365</v>
      </c>
      <c r="G39" s="13" t="s">
        <v>1367</v>
      </c>
      <c r="H39" s="13" t="s">
        <v>1363</v>
      </c>
      <c r="I39" s="13" t="s">
        <v>191</v>
      </c>
      <c r="J39" s="13" t="s">
        <v>52</v>
      </c>
      <c r="K39" s="13" t="s">
        <v>25</v>
      </c>
      <c r="L39" s="12"/>
      <c r="M39" s="14"/>
      <c r="N39" s="13"/>
      <c r="O39" s="12"/>
      <c r="P39" s="12"/>
      <c r="Q39" s="12"/>
      <c r="R39" s="12"/>
      <c r="S39" s="17">
        <v>44291</v>
      </c>
      <c r="T39" s="18">
        <v>2021</v>
      </c>
      <c r="U39" s="12"/>
      <c r="V39" s="13" t="s">
        <v>708</v>
      </c>
      <c r="W39" s="12"/>
      <c r="X39" s="14">
        <v>100</v>
      </c>
      <c r="Y39" s="14"/>
      <c r="Z39" s="14" t="s">
        <v>3828</v>
      </c>
      <c r="AA39" s="14"/>
      <c r="AB39" s="14"/>
      <c r="AC39" s="13" t="s">
        <v>1364</v>
      </c>
      <c r="AD39" s="13" t="s">
        <v>53</v>
      </c>
    </row>
    <row r="40" spans="1:30" hidden="1" x14ac:dyDescent="0.3">
      <c r="A40" s="13" t="s">
        <v>22</v>
      </c>
      <c r="B40" s="13" t="s">
        <v>1716</v>
      </c>
      <c r="C40" s="13" t="s">
        <v>494</v>
      </c>
      <c r="D40" s="13" t="s">
        <v>1715</v>
      </c>
      <c r="E40" s="13" t="s">
        <v>1720</v>
      </c>
      <c r="F40" s="13" t="s">
        <v>1719</v>
      </c>
      <c r="G40" s="13" t="s">
        <v>1721</v>
      </c>
      <c r="H40" s="13" t="s">
        <v>1717</v>
      </c>
      <c r="I40" s="13" t="s">
        <v>1718</v>
      </c>
      <c r="J40" s="13" t="s">
        <v>330</v>
      </c>
      <c r="K40" s="13" t="s">
        <v>25</v>
      </c>
      <c r="N40" s="13"/>
      <c r="S40" s="17">
        <v>44292</v>
      </c>
      <c r="T40" s="18">
        <v>2021</v>
      </c>
      <c r="V40" s="13" t="s">
        <v>29</v>
      </c>
      <c r="X40" s="14">
        <v>5</v>
      </c>
      <c r="Y40" s="14"/>
      <c r="Z40" s="14" t="s">
        <v>3835</v>
      </c>
      <c r="AA40" s="14" t="s">
        <v>3817</v>
      </c>
      <c r="AB40" s="14" t="s">
        <v>3884</v>
      </c>
      <c r="AD40" s="13" t="s">
        <v>53</v>
      </c>
    </row>
    <row r="41" spans="1:30" hidden="1" x14ac:dyDescent="0.3">
      <c r="A41" s="13" t="s">
        <v>22</v>
      </c>
      <c r="B41" s="13" t="s">
        <v>3218</v>
      </c>
      <c r="C41" s="13" t="s">
        <v>3219</v>
      </c>
      <c r="D41" s="13" t="s">
        <v>3217</v>
      </c>
      <c r="E41" s="13" t="s">
        <v>3223</v>
      </c>
      <c r="F41" s="13" t="s">
        <v>3222</v>
      </c>
      <c r="G41" s="13" t="s">
        <v>3224</v>
      </c>
      <c r="H41" s="13" t="s">
        <v>3220</v>
      </c>
      <c r="I41" s="13" t="s">
        <v>3221</v>
      </c>
      <c r="J41" s="13" t="s">
        <v>330</v>
      </c>
      <c r="K41" s="13" t="s">
        <v>25</v>
      </c>
      <c r="N41" s="13"/>
      <c r="S41" s="17">
        <v>44292</v>
      </c>
      <c r="T41" s="18">
        <v>2021</v>
      </c>
      <c r="V41" s="13" t="s">
        <v>29</v>
      </c>
      <c r="X41" s="14">
        <v>5</v>
      </c>
      <c r="Y41" s="14"/>
      <c r="Z41" s="14" t="s">
        <v>3870</v>
      </c>
      <c r="AA41" s="14" t="s">
        <v>3806</v>
      </c>
      <c r="AB41" s="14" t="s">
        <v>3886</v>
      </c>
      <c r="AD41" s="13" t="s">
        <v>53</v>
      </c>
    </row>
    <row r="42" spans="1:30" hidden="1" x14ac:dyDescent="0.3">
      <c r="A42" s="13" t="s">
        <v>22</v>
      </c>
      <c r="B42" s="13" t="s">
        <v>3318</v>
      </c>
      <c r="C42" s="13" t="s">
        <v>3319</v>
      </c>
      <c r="D42" s="13" t="s">
        <v>3317</v>
      </c>
      <c r="E42" s="13" t="s">
        <v>3322</v>
      </c>
      <c r="F42" s="19" t="s">
        <v>5214</v>
      </c>
      <c r="G42" s="13" t="s">
        <v>3323</v>
      </c>
      <c r="H42" s="13" t="s">
        <v>3320</v>
      </c>
      <c r="I42" s="13" t="s">
        <v>3321</v>
      </c>
      <c r="J42" s="13" t="s">
        <v>2919</v>
      </c>
      <c r="K42" s="13" t="s">
        <v>25</v>
      </c>
      <c r="N42" s="13"/>
      <c r="S42" s="17">
        <v>44292</v>
      </c>
      <c r="T42" s="18">
        <v>2021</v>
      </c>
      <c r="V42" s="13" t="s">
        <v>29</v>
      </c>
      <c r="X42" s="14">
        <v>10</v>
      </c>
      <c r="Y42" s="14"/>
      <c r="Z42" s="14" t="s">
        <v>3835</v>
      </c>
      <c r="AA42" s="14" t="s">
        <v>3817</v>
      </c>
      <c r="AB42" s="14" t="s">
        <v>3884</v>
      </c>
      <c r="AC42" s="13"/>
      <c r="AD42" s="13" t="s">
        <v>53</v>
      </c>
    </row>
    <row r="43" spans="1:30" hidden="1" x14ac:dyDescent="0.3">
      <c r="A43" s="13" t="s">
        <v>100</v>
      </c>
      <c r="B43" s="13" t="s">
        <v>3584</v>
      </c>
      <c r="C43" s="13" t="s">
        <v>1228</v>
      </c>
      <c r="D43" s="13" t="s">
        <v>3583</v>
      </c>
      <c r="E43" s="13" t="s">
        <v>3588</v>
      </c>
      <c r="F43" s="13" t="s">
        <v>3587</v>
      </c>
      <c r="G43" s="13" t="s">
        <v>3589</v>
      </c>
      <c r="H43" s="13" t="s">
        <v>3585</v>
      </c>
      <c r="I43" s="13" t="s">
        <v>3586</v>
      </c>
      <c r="J43" s="13" t="s">
        <v>52</v>
      </c>
      <c r="K43" s="13" t="s">
        <v>25</v>
      </c>
      <c r="N43" s="13"/>
      <c r="S43" s="17">
        <v>44292</v>
      </c>
      <c r="T43" s="18">
        <v>2021</v>
      </c>
      <c r="V43" s="13" t="s">
        <v>29</v>
      </c>
      <c r="X43" s="14">
        <v>5</v>
      </c>
      <c r="Y43" s="14"/>
      <c r="Z43" s="14" t="s">
        <v>3828</v>
      </c>
      <c r="AA43" s="14" t="s">
        <v>3830</v>
      </c>
      <c r="AB43" s="14" t="s">
        <v>3887</v>
      </c>
      <c r="AD43" s="13" t="s">
        <v>53</v>
      </c>
    </row>
    <row r="44" spans="1:30" hidden="1" x14ac:dyDescent="0.3">
      <c r="A44" s="13" t="s">
        <v>22</v>
      </c>
      <c r="B44" s="13" t="s">
        <v>2023</v>
      </c>
      <c r="C44" s="13" t="s">
        <v>2024</v>
      </c>
      <c r="D44" s="13" t="s">
        <v>2022</v>
      </c>
      <c r="E44" s="13" t="s">
        <v>2027</v>
      </c>
      <c r="F44" s="13" t="s">
        <v>2026</v>
      </c>
      <c r="N44" s="13"/>
      <c r="S44" s="17">
        <v>44293</v>
      </c>
      <c r="T44" s="18"/>
      <c r="V44" s="13" t="s">
        <v>376</v>
      </c>
      <c r="W44" s="13" t="s">
        <v>2028</v>
      </c>
      <c r="X44" s="14">
        <v>6</v>
      </c>
      <c r="Y44" s="14"/>
      <c r="Z44" s="14"/>
      <c r="AA44" s="14"/>
      <c r="AB44" s="14"/>
      <c r="AD44" s="13"/>
    </row>
    <row r="45" spans="1:30" hidden="1" x14ac:dyDescent="0.3">
      <c r="A45" s="13" t="s">
        <v>22</v>
      </c>
      <c r="B45" s="13" t="s">
        <v>2732</v>
      </c>
      <c r="C45" s="13" t="s">
        <v>2733</v>
      </c>
      <c r="D45" s="13" t="s">
        <v>2731</v>
      </c>
      <c r="E45" s="13" t="s">
        <v>2737</v>
      </c>
      <c r="F45" s="13" t="s">
        <v>2736</v>
      </c>
      <c r="G45" s="13" t="s">
        <v>2738</v>
      </c>
      <c r="H45" s="13" t="s">
        <v>2734</v>
      </c>
      <c r="I45" s="13" t="s">
        <v>2735</v>
      </c>
      <c r="K45" s="13" t="s">
        <v>25</v>
      </c>
      <c r="N45" s="13"/>
      <c r="S45" s="17">
        <v>44293</v>
      </c>
      <c r="T45" s="18">
        <v>2021</v>
      </c>
      <c r="V45" s="13" t="s">
        <v>29</v>
      </c>
      <c r="X45" s="14">
        <v>5</v>
      </c>
      <c r="Y45" s="14"/>
      <c r="Z45" s="14" t="s">
        <v>3835</v>
      </c>
      <c r="AA45" s="14" t="s">
        <v>3813</v>
      </c>
      <c r="AB45" s="14" t="s">
        <v>3884</v>
      </c>
      <c r="AD45" s="13" t="s">
        <v>53</v>
      </c>
    </row>
    <row r="46" spans="1:30" hidden="1" x14ac:dyDescent="0.3">
      <c r="A46" s="13" t="s">
        <v>100</v>
      </c>
      <c r="B46" s="13" t="s">
        <v>946</v>
      </c>
      <c r="C46" s="13" t="s">
        <v>124</v>
      </c>
      <c r="D46" s="13" t="s">
        <v>945</v>
      </c>
      <c r="E46" s="13" t="s">
        <v>951</v>
      </c>
      <c r="F46" s="13" t="s">
        <v>950</v>
      </c>
      <c r="G46" s="13" t="s">
        <v>952</v>
      </c>
      <c r="H46" s="13" t="s">
        <v>947</v>
      </c>
      <c r="I46" s="13" t="s">
        <v>948</v>
      </c>
      <c r="J46" s="13" t="s">
        <v>949</v>
      </c>
      <c r="K46" s="13" t="s">
        <v>25</v>
      </c>
      <c r="N46" s="13"/>
      <c r="S46" s="17">
        <v>44293</v>
      </c>
      <c r="T46" s="18">
        <v>2021</v>
      </c>
      <c r="V46" s="13" t="s">
        <v>29</v>
      </c>
      <c r="X46" s="14">
        <v>5</v>
      </c>
      <c r="Y46" s="14"/>
      <c r="Z46" s="14" t="s">
        <v>3828</v>
      </c>
      <c r="AA46" s="14" t="s">
        <v>3809</v>
      </c>
      <c r="AB46" s="14" t="s">
        <v>3888</v>
      </c>
      <c r="AD46" s="13" t="s">
        <v>53</v>
      </c>
    </row>
    <row r="47" spans="1:30" hidden="1" x14ac:dyDescent="0.3">
      <c r="A47" s="13" t="s">
        <v>100</v>
      </c>
      <c r="B47" s="13" t="s">
        <v>1537</v>
      </c>
      <c r="C47" s="13" t="s">
        <v>157</v>
      </c>
      <c r="D47" s="13" t="s">
        <v>1576</v>
      </c>
      <c r="E47" s="13" t="s">
        <v>1580</v>
      </c>
      <c r="F47" s="13" t="s">
        <v>1579</v>
      </c>
      <c r="G47" s="13" t="s">
        <v>1581</v>
      </c>
      <c r="H47" s="13" t="s">
        <v>1577</v>
      </c>
      <c r="I47" s="13" t="s">
        <v>1578</v>
      </c>
      <c r="J47" s="13" t="s">
        <v>52</v>
      </c>
      <c r="K47" s="13" t="s">
        <v>25</v>
      </c>
      <c r="N47" s="13"/>
      <c r="S47" s="17">
        <v>44293</v>
      </c>
      <c r="T47" s="18">
        <v>2021</v>
      </c>
      <c r="V47" s="13" t="s">
        <v>29</v>
      </c>
      <c r="X47" s="14">
        <v>5</v>
      </c>
      <c r="Y47" s="14"/>
      <c r="Z47" s="14" t="s">
        <v>3828</v>
      </c>
      <c r="AA47" s="14" t="s">
        <v>3812</v>
      </c>
      <c r="AB47" s="14" t="s">
        <v>3887</v>
      </c>
      <c r="AD47" s="13" t="s">
        <v>53</v>
      </c>
    </row>
    <row r="48" spans="1:30" hidden="1" x14ac:dyDescent="0.3">
      <c r="A48" s="13" t="s">
        <v>100</v>
      </c>
      <c r="B48" s="13" t="s">
        <v>3034</v>
      </c>
      <c r="C48" s="13" t="s">
        <v>523</v>
      </c>
      <c r="D48" s="13" t="s">
        <v>3033</v>
      </c>
      <c r="E48" s="13" t="s">
        <v>3038</v>
      </c>
      <c r="F48" s="13" t="s">
        <v>3037</v>
      </c>
      <c r="G48" s="13" t="s">
        <v>3039</v>
      </c>
      <c r="H48" s="13" t="s">
        <v>3035</v>
      </c>
      <c r="I48" s="13" t="s">
        <v>3036</v>
      </c>
      <c r="K48" s="13" t="s">
        <v>25</v>
      </c>
      <c r="N48" s="13"/>
      <c r="S48" s="17">
        <v>44293</v>
      </c>
      <c r="T48" s="18">
        <v>2021</v>
      </c>
      <c r="V48" s="13" t="s">
        <v>29</v>
      </c>
      <c r="X48" s="14">
        <v>5</v>
      </c>
      <c r="Y48" s="14"/>
      <c r="Z48" s="14" t="s">
        <v>3828</v>
      </c>
      <c r="AA48" s="14" t="s">
        <v>3815</v>
      </c>
      <c r="AB48" s="14" t="s">
        <v>3888</v>
      </c>
      <c r="AD48" s="13" t="s">
        <v>53</v>
      </c>
    </row>
    <row r="49" spans="1:30" ht="27.6" hidden="1" x14ac:dyDescent="0.3">
      <c r="A49" s="13" t="s">
        <v>100</v>
      </c>
      <c r="B49" s="13" t="s">
        <v>3047</v>
      </c>
      <c r="C49" s="13" t="s">
        <v>447</v>
      </c>
      <c r="D49" s="13" t="s">
        <v>3046</v>
      </c>
      <c r="E49" s="13" t="s">
        <v>3050</v>
      </c>
      <c r="F49" s="13" t="s">
        <v>3049</v>
      </c>
      <c r="G49" s="13" t="s">
        <v>3051</v>
      </c>
      <c r="H49" s="13" t="s">
        <v>3048</v>
      </c>
      <c r="I49" s="13" t="s">
        <v>2254</v>
      </c>
      <c r="J49" s="13" t="s">
        <v>52</v>
      </c>
      <c r="K49" s="13" t="s">
        <v>25</v>
      </c>
      <c r="N49" s="13"/>
      <c r="S49" s="17">
        <v>44293</v>
      </c>
      <c r="T49" s="18">
        <v>2021</v>
      </c>
      <c r="V49" s="13" t="s">
        <v>29</v>
      </c>
      <c r="X49" s="14">
        <v>10</v>
      </c>
      <c r="Y49" s="14"/>
      <c r="Z49" s="14" t="s">
        <v>3828</v>
      </c>
      <c r="AA49" s="14" t="s">
        <v>3819</v>
      </c>
      <c r="AB49" s="14" t="s">
        <v>3888</v>
      </c>
      <c r="AD49" s="13" t="s">
        <v>53</v>
      </c>
    </row>
    <row r="50" spans="1:30" ht="27.6" hidden="1" x14ac:dyDescent="0.3">
      <c r="A50" s="13" t="s">
        <v>22</v>
      </c>
      <c r="B50" s="13" t="s">
        <v>326</v>
      </c>
      <c r="C50" s="13" t="s">
        <v>327</v>
      </c>
      <c r="D50" s="13" t="s">
        <v>325</v>
      </c>
      <c r="E50" s="13" t="s">
        <v>332</v>
      </c>
      <c r="F50" s="13" t="s">
        <v>331</v>
      </c>
      <c r="G50" s="13" t="s">
        <v>333</v>
      </c>
      <c r="H50" s="13" t="s">
        <v>328</v>
      </c>
      <c r="I50" s="13" t="s">
        <v>329</v>
      </c>
      <c r="J50" s="13" t="s">
        <v>330</v>
      </c>
      <c r="K50" s="13" t="s">
        <v>25</v>
      </c>
      <c r="N50" s="13"/>
      <c r="S50" s="17">
        <v>44294</v>
      </c>
      <c r="T50" s="18">
        <v>2021</v>
      </c>
      <c r="V50" s="13" t="s">
        <v>29</v>
      </c>
      <c r="X50" s="14">
        <v>5</v>
      </c>
      <c r="Y50" s="14"/>
      <c r="Z50" s="14" t="s">
        <v>3835</v>
      </c>
      <c r="AA50" s="14" t="s">
        <v>3817</v>
      </c>
      <c r="AB50" s="14" t="s">
        <v>3884</v>
      </c>
      <c r="AD50" s="13" t="s">
        <v>53</v>
      </c>
    </row>
    <row r="51" spans="1:30" hidden="1" x14ac:dyDescent="0.3">
      <c r="A51" s="13" t="s">
        <v>22</v>
      </c>
      <c r="B51" s="13" t="s">
        <v>678</v>
      </c>
      <c r="C51" s="13" t="s">
        <v>679</v>
      </c>
      <c r="D51" s="13" t="s">
        <v>677</v>
      </c>
      <c r="E51" s="13" t="s">
        <v>682</v>
      </c>
      <c r="F51" s="13" t="s">
        <v>681</v>
      </c>
      <c r="I51" s="13" t="s">
        <v>680</v>
      </c>
      <c r="K51" s="13" t="s">
        <v>25</v>
      </c>
      <c r="N51" s="13"/>
      <c r="S51" s="17">
        <v>44295</v>
      </c>
      <c r="T51" s="18">
        <v>2021</v>
      </c>
      <c r="V51" s="13" t="s">
        <v>29</v>
      </c>
      <c r="X51" s="14">
        <v>10</v>
      </c>
      <c r="Y51" s="14"/>
      <c r="Z51" s="14" t="s">
        <v>2148</v>
      </c>
      <c r="AA51" s="14" t="s">
        <v>3871</v>
      </c>
      <c r="AB51" s="14" t="s">
        <v>3889</v>
      </c>
      <c r="AD51" s="13" t="s">
        <v>53</v>
      </c>
    </row>
    <row r="52" spans="1:30" hidden="1" x14ac:dyDescent="0.3">
      <c r="A52" s="13" t="s">
        <v>22</v>
      </c>
      <c r="B52" s="13" t="s">
        <v>733</v>
      </c>
      <c r="C52" s="13" t="s">
        <v>734</v>
      </c>
      <c r="D52" s="13" t="s">
        <v>732</v>
      </c>
      <c r="E52" s="13" t="s">
        <v>738</v>
      </c>
      <c r="F52" s="13" t="s">
        <v>737</v>
      </c>
      <c r="G52" s="13" t="s">
        <v>739</v>
      </c>
      <c r="H52" s="13" t="s">
        <v>735</v>
      </c>
      <c r="I52" s="13" t="s">
        <v>51</v>
      </c>
      <c r="J52" s="13" t="s">
        <v>52</v>
      </c>
      <c r="K52" s="13" t="s">
        <v>25</v>
      </c>
      <c r="N52" s="13"/>
      <c r="S52" s="17">
        <v>44295</v>
      </c>
      <c r="T52" s="18">
        <v>2021</v>
      </c>
      <c r="V52" s="13" t="s">
        <v>29</v>
      </c>
      <c r="X52" s="14">
        <v>5</v>
      </c>
      <c r="Y52" s="14"/>
      <c r="Z52" s="14" t="s">
        <v>3835</v>
      </c>
      <c r="AA52" s="14" t="s">
        <v>3817</v>
      </c>
      <c r="AB52" s="14" t="s">
        <v>3884</v>
      </c>
      <c r="AC52" s="13" t="s">
        <v>736</v>
      </c>
      <c r="AD52" s="13" t="s">
        <v>53</v>
      </c>
    </row>
    <row r="53" spans="1:30" hidden="1" x14ac:dyDescent="0.3">
      <c r="A53" s="13" t="s">
        <v>22</v>
      </c>
      <c r="B53" s="13" t="s">
        <v>1065</v>
      </c>
      <c r="C53" s="13" t="s">
        <v>1066</v>
      </c>
      <c r="D53" s="13" t="s">
        <v>1064</v>
      </c>
      <c r="E53" s="13" t="s">
        <v>1072</v>
      </c>
      <c r="F53" s="13" t="s">
        <v>1071</v>
      </c>
      <c r="G53" s="13" t="s">
        <v>1073</v>
      </c>
      <c r="H53" s="13" t="s">
        <v>1067</v>
      </c>
      <c r="I53" s="13" t="s">
        <v>1068</v>
      </c>
      <c r="J53" s="13" t="s">
        <v>1069</v>
      </c>
      <c r="K53" s="13" t="s">
        <v>25</v>
      </c>
      <c r="N53" s="13"/>
      <c r="S53" s="17">
        <v>44295</v>
      </c>
      <c r="T53" s="18">
        <v>2021</v>
      </c>
      <c r="V53" s="13" t="s">
        <v>29</v>
      </c>
      <c r="X53" s="14">
        <v>5</v>
      </c>
      <c r="Y53" s="14"/>
      <c r="Z53" s="14" t="s">
        <v>3835</v>
      </c>
      <c r="AA53" s="14" t="s">
        <v>3813</v>
      </c>
      <c r="AB53" s="14" t="s">
        <v>3884</v>
      </c>
      <c r="AD53" s="13" t="s">
        <v>1070</v>
      </c>
    </row>
    <row r="54" spans="1:30" ht="27.6" hidden="1" x14ac:dyDescent="0.3">
      <c r="A54" s="13" t="s">
        <v>22</v>
      </c>
      <c r="B54" s="13" t="s">
        <v>2387</v>
      </c>
      <c r="C54" s="13" t="s">
        <v>2388</v>
      </c>
      <c r="D54" s="13" t="s">
        <v>2386</v>
      </c>
      <c r="E54" s="13" t="s">
        <v>2393</v>
      </c>
      <c r="F54" s="13" t="s">
        <v>2392</v>
      </c>
      <c r="G54" s="13" t="s">
        <v>2394</v>
      </c>
      <c r="H54" s="13" t="s">
        <v>2389</v>
      </c>
      <c r="I54" s="13" t="s">
        <v>2390</v>
      </c>
      <c r="J54" s="13" t="s">
        <v>2391</v>
      </c>
      <c r="K54" s="13" t="s">
        <v>25</v>
      </c>
      <c r="N54" s="13"/>
      <c r="S54" s="17">
        <v>44295</v>
      </c>
      <c r="T54" s="18">
        <v>2021</v>
      </c>
      <c r="V54" s="13" t="s">
        <v>29</v>
      </c>
      <c r="X54" s="14">
        <v>5</v>
      </c>
      <c r="Y54" s="14"/>
      <c r="Z54" s="14" t="s">
        <v>2148</v>
      </c>
      <c r="AA54" s="14" t="s">
        <v>3834</v>
      </c>
      <c r="AB54" s="14" t="s">
        <v>3889</v>
      </c>
      <c r="AD54" s="13" t="s">
        <v>53</v>
      </c>
    </row>
    <row r="55" spans="1:30" hidden="1" x14ac:dyDescent="0.3">
      <c r="A55" s="13" t="s">
        <v>22</v>
      </c>
      <c r="B55" s="13" t="s">
        <v>3041</v>
      </c>
      <c r="C55" s="13" t="s">
        <v>346</v>
      </c>
      <c r="D55" s="13" t="s">
        <v>3040</v>
      </c>
      <c r="E55" s="13" t="s">
        <v>3044</v>
      </c>
      <c r="F55" s="13" t="s">
        <v>3043</v>
      </c>
      <c r="G55" s="13" t="s">
        <v>3045</v>
      </c>
      <c r="H55" s="13" t="s">
        <v>3042</v>
      </c>
      <c r="I55" s="13" t="s">
        <v>51</v>
      </c>
      <c r="J55" s="13" t="s">
        <v>52</v>
      </c>
      <c r="K55" s="13" t="s">
        <v>25</v>
      </c>
      <c r="N55" s="13"/>
      <c r="S55" s="17">
        <v>44295</v>
      </c>
      <c r="T55" s="18">
        <v>2021</v>
      </c>
      <c r="V55" s="13" t="s">
        <v>29</v>
      </c>
      <c r="X55" s="14">
        <v>5</v>
      </c>
      <c r="Y55" s="14"/>
      <c r="Z55" s="14" t="s">
        <v>3870</v>
      </c>
      <c r="AA55" s="14" t="s">
        <v>3806</v>
      </c>
      <c r="AB55" s="14" t="s">
        <v>3886</v>
      </c>
      <c r="AD55" s="13" t="s">
        <v>53</v>
      </c>
    </row>
    <row r="56" spans="1:30" hidden="1" x14ac:dyDescent="0.3">
      <c r="A56" s="13" t="s">
        <v>100</v>
      </c>
      <c r="B56" s="13" t="s">
        <v>485</v>
      </c>
      <c r="C56" s="13" t="s">
        <v>229</v>
      </c>
      <c r="D56" s="13" t="s">
        <v>484</v>
      </c>
      <c r="E56" s="13" t="s">
        <v>490</v>
      </c>
      <c r="F56" s="13" t="s">
        <v>489</v>
      </c>
      <c r="G56" s="13" t="s">
        <v>491</v>
      </c>
      <c r="H56" s="13" t="s">
        <v>486</v>
      </c>
      <c r="I56" s="13" t="s">
        <v>487</v>
      </c>
      <c r="J56" s="13" t="s">
        <v>488</v>
      </c>
      <c r="K56" s="13" t="s">
        <v>25</v>
      </c>
      <c r="N56" s="13"/>
      <c r="S56" s="17">
        <v>44295</v>
      </c>
      <c r="T56" s="18">
        <v>2021</v>
      </c>
      <c r="V56" s="13" t="s">
        <v>29</v>
      </c>
      <c r="X56" s="14">
        <v>20</v>
      </c>
      <c r="Y56" s="14"/>
      <c r="Z56" s="14" t="s">
        <v>3828</v>
      </c>
      <c r="AA56" s="14" t="s">
        <v>3819</v>
      </c>
      <c r="AB56" s="14" t="s">
        <v>3888</v>
      </c>
      <c r="AD56" s="13" t="s">
        <v>53</v>
      </c>
    </row>
    <row r="57" spans="1:30" hidden="1" x14ac:dyDescent="0.3">
      <c r="A57" s="13" t="s">
        <v>22</v>
      </c>
      <c r="B57" s="13" t="s">
        <v>2763</v>
      </c>
      <c r="C57" s="13" t="s">
        <v>1892</v>
      </c>
      <c r="D57" s="13" t="s">
        <v>2762</v>
      </c>
      <c r="E57" s="13" t="s">
        <v>2767</v>
      </c>
      <c r="F57" s="13" t="s">
        <v>2766</v>
      </c>
      <c r="H57" s="13" t="s">
        <v>2764</v>
      </c>
      <c r="I57" s="13" t="s">
        <v>2765</v>
      </c>
      <c r="K57" s="13" t="s">
        <v>25</v>
      </c>
      <c r="N57" s="13"/>
      <c r="S57" s="17">
        <v>44296</v>
      </c>
      <c r="T57" s="18">
        <v>2021</v>
      </c>
      <c r="V57" s="13" t="s">
        <v>29</v>
      </c>
      <c r="X57" s="14">
        <v>10</v>
      </c>
      <c r="Y57" s="14"/>
      <c r="Z57" s="14" t="s">
        <v>3835</v>
      </c>
      <c r="AA57" s="14" t="s">
        <v>3814</v>
      </c>
      <c r="AB57" s="14" t="s">
        <v>3884</v>
      </c>
      <c r="AD57" s="13" t="s">
        <v>53</v>
      </c>
    </row>
    <row r="58" spans="1:30" hidden="1" x14ac:dyDescent="0.3">
      <c r="A58" s="13" t="s">
        <v>22</v>
      </c>
      <c r="B58" s="13" t="s">
        <v>2156</v>
      </c>
      <c r="C58" s="13" t="s">
        <v>734</v>
      </c>
      <c r="D58" s="13" t="s">
        <v>2155</v>
      </c>
      <c r="E58" s="13" t="s">
        <v>2159</v>
      </c>
      <c r="F58" s="13" t="s">
        <v>2158</v>
      </c>
      <c r="G58" s="13" t="s">
        <v>2160</v>
      </c>
      <c r="H58" s="13" t="s">
        <v>2157</v>
      </c>
      <c r="I58" s="13" t="s">
        <v>51</v>
      </c>
      <c r="J58" s="13" t="s">
        <v>52</v>
      </c>
      <c r="K58" s="13" t="s">
        <v>25</v>
      </c>
      <c r="N58" s="13"/>
      <c r="S58" s="17">
        <v>44297</v>
      </c>
      <c r="T58" s="18">
        <v>2021</v>
      </c>
      <c r="V58" s="13" t="s">
        <v>29</v>
      </c>
      <c r="X58" s="14">
        <v>30</v>
      </c>
      <c r="Y58" s="14"/>
      <c r="Z58" s="14" t="s">
        <v>2148</v>
      </c>
      <c r="AA58" s="14" t="s">
        <v>3818</v>
      </c>
      <c r="AB58" s="14" t="s">
        <v>3890</v>
      </c>
      <c r="AD58" s="13" t="s">
        <v>53</v>
      </c>
    </row>
    <row r="59" spans="1:30" hidden="1" x14ac:dyDescent="0.3">
      <c r="A59" s="13" t="s">
        <v>22</v>
      </c>
      <c r="B59" s="13" t="s">
        <v>3514</v>
      </c>
      <c r="C59" s="13" t="s">
        <v>3515</v>
      </c>
      <c r="D59" s="13" t="s">
        <v>3513</v>
      </c>
      <c r="E59" s="13" t="s">
        <v>3518</v>
      </c>
      <c r="F59" s="13" t="s">
        <v>3517</v>
      </c>
      <c r="G59" s="13" t="s">
        <v>3519</v>
      </c>
      <c r="H59" s="13" t="s">
        <v>3516</v>
      </c>
      <c r="K59" s="13" t="s">
        <v>25</v>
      </c>
      <c r="N59" s="13"/>
      <c r="S59" s="17">
        <v>44297</v>
      </c>
      <c r="T59" s="18">
        <v>2021</v>
      </c>
      <c r="V59" s="13" t="s">
        <v>29</v>
      </c>
      <c r="X59" s="14">
        <v>5</v>
      </c>
      <c r="Y59" s="14"/>
      <c r="Z59" s="14" t="s">
        <v>3835</v>
      </c>
      <c r="AA59" s="14" t="s">
        <v>3817</v>
      </c>
      <c r="AB59" s="14" t="s">
        <v>3884</v>
      </c>
      <c r="AD59" s="13" t="s">
        <v>53</v>
      </c>
    </row>
    <row r="60" spans="1:30" hidden="1" x14ac:dyDescent="0.3">
      <c r="A60" s="13" t="s">
        <v>100</v>
      </c>
      <c r="B60" s="13" t="s">
        <v>98</v>
      </c>
      <c r="C60" s="13" t="s">
        <v>99</v>
      </c>
      <c r="D60" s="13" t="s">
        <v>97</v>
      </c>
      <c r="E60" s="13" t="s">
        <v>105</v>
      </c>
      <c r="F60" s="13" t="s">
        <v>104</v>
      </c>
      <c r="G60" s="13" t="s">
        <v>106</v>
      </c>
      <c r="H60" s="13" t="s">
        <v>101</v>
      </c>
      <c r="I60" s="13" t="s">
        <v>102</v>
      </c>
      <c r="J60" s="13" t="s">
        <v>103</v>
      </c>
      <c r="K60" s="13" t="s">
        <v>25</v>
      </c>
      <c r="N60" s="13"/>
      <c r="S60" s="17">
        <v>44297</v>
      </c>
      <c r="T60" s="18">
        <v>2021</v>
      </c>
      <c r="V60" s="13" t="s">
        <v>29</v>
      </c>
      <c r="X60" s="14">
        <v>10</v>
      </c>
      <c r="Y60" s="14"/>
      <c r="Z60" s="14" t="s">
        <v>3828</v>
      </c>
      <c r="AA60" s="14" t="s">
        <v>3812</v>
      </c>
      <c r="AB60" s="14" t="s">
        <v>3887</v>
      </c>
      <c r="AD60" s="13" t="s">
        <v>53</v>
      </c>
    </row>
    <row r="61" spans="1:30" hidden="1" x14ac:dyDescent="0.3">
      <c r="A61" s="13" t="s">
        <v>100</v>
      </c>
      <c r="B61" s="13" t="s">
        <v>3632</v>
      </c>
      <c r="C61" s="13" t="s">
        <v>157</v>
      </c>
      <c r="D61" s="13" t="s">
        <v>3631</v>
      </c>
      <c r="E61" s="13" t="s">
        <v>3635</v>
      </c>
      <c r="F61" s="13" t="s">
        <v>3634</v>
      </c>
      <c r="G61" s="13" t="s">
        <v>3636</v>
      </c>
      <c r="H61" s="13" t="s">
        <v>3633</v>
      </c>
      <c r="I61" s="13" t="s">
        <v>2420</v>
      </c>
      <c r="K61" s="13" t="s">
        <v>25</v>
      </c>
      <c r="N61" s="13"/>
      <c r="S61" s="17">
        <v>44297</v>
      </c>
      <c r="T61" s="18">
        <v>2021</v>
      </c>
      <c r="V61" s="13" t="s">
        <v>29</v>
      </c>
      <c r="X61" s="14">
        <v>5</v>
      </c>
      <c r="Y61" s="14"/>
      <c r="Z61" s="14" t="s">
        <v>3828</v>
      </c>
      <c r="AA61" s="14" t="s">
        <v>3807</v>
      </c>
      <c r="AB61" s="14" t="s">
        <v>3888</v>
      </c>
      <c r="AD61" s="13" t="s">
        <v>53</v>
      </c>
    </row>
    <row r="62" spans="1:30" hidden="1" x14ac:dyDescent="0.3">
      <c r="A62" s="13" t="s">
        <v>22</v>
      </c>
      <c r="B62" s="13" t="s">
        <v>1445</v>
      </c>
      <c r="C62" s="13" t="s">
        <v>79</v>
      </c>
      <c r="D62" s="13" t="s">
        <v>1444</v>
      </c>
      <c r="E62" s="13" t="s">
        <v>1449</v>
      </c>
      <c r="F62" s="13" t="s">
        <v>1448</v>
      </c>
      <c r="G62" s="13" t="s">
        <v>1450</v>
      </c>
      <c r="H62" s="13" t="s">
        <v>1446</v>
      </c>
      <c r="I62" s="13" t="s">
        <v>1447</v>
      </c>
      <c r="K62" s="13" t="s">
        <v>25</v>
      </c>
      <c r="N62" s="13"/>
      <c r="S62" s="17">
        <v>44298</v>
      </c>
      <c r="T62" s="18">
        <v>2021</v>
      </c>
      <c r="V62" s="13" t="s">
        <v>29</v>
      </c>
      <c r="X62" s="14">
        <v>10</v>
      </c>
      <c r="Y62" s="14"/>
      <c r="Z62" s="14" t="s">
        <v>3870</v>
      </c>
      <c r="AA62" s="14" t="s">
        <v>3806</v>
      </c>
      <c r="AB62" s="14" t="s">
        <v>3886</v>
      </c>
      <c r="AD62" s="13" t="s">
        <v>53</v>
      </c>
    </row>
    <row r="63" spans="1:30" hidden="1" x14ac:dyDescent="0.3">
      <c r="A63" s="13" t="s">
        <v>22</v>
      </c>
      <c r="B63" s="13" t="s">
        <v>3136</v>
      </c>
      <c r="C63" s="13" t="s">
        <v>3137</v>
      </c>
      <c r="D63" s="13" t="s">
        <v>3135</v>
      </c>
      <c r="E63" s="13" t="s">
        <v>3140</v>
      </c>
      <c r="F63" s="13" t="s">
        <v>3139</v>
      </c>
      <c r="G63" s="13" t="s">
        <v>3141</v>
      </c>
      <c r="H63" s="13" t="s">
        <v>3138</v>
      </c>
      <c r="I63" s="13" t="s">
        <v>1222</v>
      </c>
      <c r="K63" s="13" t="s">
        <v>25</v>
      </c>
      <c r="N63" s="13"/>
      <c r="S63" s="17">
        <v>44298</v>
      </c>
      <c r="T63" s="18">
        <v>2021</v>
      </c>
      <c r="V63" s="13" t="s">
        <v>29</v>
      </c>
      <c r="X63" s="14">
        <v>25</v>
      </c>
      <c r="Y63" s="14"/>
      <c r="Z63" s="14" t="s">
        <v>2148</v>
      </c>
      <c r="AA63" s="14" t="s">
        <v>3808</v>
      </c>
      <c r="AB63" s="14" t="s">
        <v>3890</v>
      </c>
      <c r="AD63" s="13" t="s">
        <v>53</v>
      </c>
    </row>
    <row r="64" spans="1:30" ht="27.6" hidden="1" x14ac:dyDescent="0.3">
      <c r="A64" s="13" t="s">
        <v>100</v>
      </c>
      <c r="B64" s="13" t="s">
        <v>2836</v>
      </c>
      <c r="C64" s="13" t="s">
        <v>229</v>
      </c>
      <c r="D64" s="13" t="s">
        <v>2835</v>
      </c>
      <c r="E64" s="13" t="s">
        <v>2840</v>
      </c>
      <c r="F64" s="13" t="s">
        <v>2839</v>
      </c>
      <c r="G64" s="13" t="s">
        <v>2841</v>
      </c>
      <c r="H64" s="13" t="s">
        <v>2837</v>
      </c>
      <c r="I64" s="13" t="s">
        <v>2838</v>
      </c>
      <c r="K64" s="13" t="s">
        <v>25</v>
      </c>
      <c r="N64" s="13"/>
      <c r="S64" s="17">
        <v>44298</v>
      </c>
      <c r="T64" s="18">
        <v>2021</v>
      </c>
      <c r="V64" s="13" t="s">
        <v>29</v>
      </c>
      <c r="X64" s="14">
        <v>5</v>
      </c>
      <c r="Y64" s="14"/>
      <c r="Z64" s="14" t="s">
        <v>3828</v>
      </c>
      <c r="AA64" s="14" t="s">
        <v>3807</v>
      </c>
      <c r="AB64" s="14" t="s">
        <v>3888</v>
      </c>
      <c r="AD64" s="13" t="s">
        <v>53</v>
      </c>
    </row>
    <row r="65" spans="1:30" hidden="1" x14ac:dyDescent="0.3">
      <c r="A65" s="13" t="s">
        <v>22</v>
      </c>
      <c r="B65" s="13" t="s">
        <v>3143</v>
      </c>
      <c r="C65" s="13" t="s">
        <v>181</v>
      </c>
      <c r="D65" s="13" t="s">
        <v>3142</v>
      </c>
      <c r="E65" s="13" t="s">
        <v>3145</v>
      </c>
      <c r="F65" s="13" t="s">
        <v>3144</v>
      </c>
      <c r="H65" s="13" t="s">
        <v>2502</v>
      </c>
      <c r="I65" s="13" t="s">
        <v>2383</v>
      </c>
      <c r="K65" s="13" t="s">
        <v>25</v>
      </c>
      <c r="N65" s="13"/>
      <c r="S65" s="17">
        <v>44299</v>
      </c>
      <c r="T65" s="18">
        <v>2021</v>
      </c>
      <c r="V65" s="13" t="s">
        <v>29</v>
      </c>
      <c r="X65" s="14">
        <v>5</v>
      </c>
      <c r="Y65" s="14"/>
      <c r="Z65" s="14" t="s">
        <v>3835</v>
      </c>
      <c r="AA65" s="14" t="s">
        <v>3813</v>
      </c>
      <c r="AB65" s="14" t="s">
        <v>3884</v>
      </c>
      <c r="AD65" s="13" t="s">
        <v>53</v>
      </c>
    </row>
    <row r="66" spans="1:30" hidden="1" x14ac:dyDescent="0.3">
      <c r="A66" s="13" t="s">
        <v>100</v>
      </c>
      <c r="B66" s="13" t="s">
        <v>1311</v>
      </c>
      <c r="C66" s="13" t="s">
        <v>346</v>
      </c>
      <c r="D66" s="13" t="s">
        <v>1310</v>
      </c>
      <c r="E66" s="13" t="s">
        <v>1317</v>
      </c>
      <c r="F66" s="13" t="s">
        <v>1316</v>
      </c>
      <c r="G66" s="13" t="s">
        <v>1318</v>
      </c>
      <c r="H66" s="13" t="s">
        <v>1312</v>
      </c>
      <c r="I66" s="13" t="s">
        <v>1313</v>
      </c>
      <c r="J66" s="13" t="s">
        <v>1314</v>
      </c>
      <c r="K66" s="13" t="s">
        <v>1315</v>
      </c>
      <c r="N66" s="13"/>
      <c r="S66" s="17">
        <v>44299</v>
      </c>
      <c r="T66" s="18">
        <v>2021</v>
      </c>
      <c r="V66" s="13" t="s">
        <v>29</v>
      </c>
      <c r="X66" s="14">
        <v>10</v>
      </c>
      <c r="Y66" s="14"/>
      <c r="Z66" s="14" t="s">
        <v>3828</v>
      </c>
      <c r="AA66" s="14" t="s">
        <v>3816</v>
      </c>
      <c r="AB66" s="14" t="s">
        <v>3885</v>
      </c>
      <c r="AD66" s="13" t="s">
        <v>53</v>
      </c>
    </row>
    <row r="67" spans="1:30" hidden="1" x14ac:dyDescent="0.3">
      <c r="A67" s="13" t="s">
        <v>22</v>
      </c>
      <c r="B67" s="13" t="s">
        <v>761</v>
      </c>
      <c r="C67" s="13" t="s">
        <v>762</v>
      </c>
      <c r="D67" s="13" t="s">
        <v>760</v>
      </c>
      <c r="E67" s="13" t="s">
        <v>766</v>
      </c>
      <c r="F67" s="13" t="s">
        <v>765</v>
      </c>
      <c r="H67" s="13" t="s">
        <v>763</v>
      </c>
      <c r="I67" s="13" t="s">
        <v>191</v>
      </c>
      <c r="K67" s="13" t="s">
        <v>25</v>
      </c>
      <c r="N67" s="13"/>
      <c r="S67" s="17">
        <v>44300</v>
      </c>
      <c r="T67" s="18"/>
      <c r="V67" s="13" t="s">
        <v>376</v>
      </c>
      <c r="X67" s="14">
        <v>5</v>
      </c>
      <c r="Y67" s="14"/>
      <c r="Z67" s="14"/>
      <c r="AA67" s="14"/>
      <c r="AB67" s="14"/>
      <c r="AD67" s="13" t="s">
        <v>764</v>
      </c>
    </row>
    <row r="68" spans="1:30" hidden="1" x14ac:dyDescent="0.3">
      <c r="A68" s="13" t="s">
        <v>22</v>
      </c>
      <c r="B68" s="13" t="s">
        <v>2030</v>
      </c>
      <c r="C68" s="13" t="s">
        <v>68</v>
      </c>
      <c r="D68" s="13" t="s">
        <v>2029</v>
      </c>
      <c r="E68" s="13" t="s">
        <v>2034</v>
      </c>
      <c r="F68" s="13" t="s">
        <v>2033</v>
      </c>
      <c r="G68" s="13" t="s">
        <v>2035</v>
      </c>
      <c r="H68" s="13" t="s">
        <v>2031</v>
      </c>
      <c r="I68" s="13" t="s">
        <v>2032</v>
      </c>
      <c r="J68" s="13" t="s">
        <v>52</v>
      </c>
      <c r="K68" s="13" t="s">
        <v>25</v>
      </c>
      <c r="N68" s="13"/>
      <c r="S68" s="17">
        <v>44300</v>
      </c>
      <c r="T68" s="18">
        <v>2021</v>
      </c>
      <c r="V68" s="13" t="s">
        <v>29</v>
      </c>
      <c r="X68" s="14">
        <v>10</v>
      </c>
      <c r="Y68" s="14"/>
      <c r="Z68" s="14" t="s">
        <v>3870</v>
      </c>
      <c r="AA68" s="14" t="s">
        <v>3806</v>
      </c>
      <c r="AB68" s="14" t="s">
        <v>3886</v>
      </c>
      <c r="AD68" s="13" t="s">
        <v>53</v>
      </c>
    </row>
    <row r="69" spans="1:30" hidden="1" x14ac:dyDescent="0.3">
      <c r="A69" s="13" t="s">
        <v>22</v>
      </c>
      <c r="B69" s="13" t="s">
        <v>1671</v>
      </c>
      <c r="C69" s="13" t="s">
        <v>523</v>
      </c>
      <c r="D69" s="13" t="s">
        <v>1670</v>
      </c>
      <c r="E69" s="13" t="s">
        <v>1675</v>
      </c>
      <c r="F69" s="13" t="s">
        <v>1674</v>
      </c>
      <c r="G69" s="13" t="s">
        <v>1676</v>
      </c>
      <c r="H69" s="13" t="s">
        <v>1672</v>
      </c>
      <c r="I69" s="13" t="s">
        <v>1673</v>
      </c>
      <c r="K69" s="13" t="s">
        <v>25</v>
      </c>
      <c r="N69" s="13"/>
      <c r="S69" s="17">
        <v>44301</v>
      </c>
      <c r="T69" s="18">
        <v>2021</v>
      </c>
      <c r="V69" s="13" t="s">
        <v>29</v>
      </c>
      <c r="X69" s="14">
        <v>10</v>
      </c>
      <c r="Y69" s="14"/>
      <c r="Z69" s="14" t="s">
        <v>3835</v>
      </c>
      <c r="AA69" s="14" t="s">
        <v>3817</v>
      </c>
      <c r="AB69" s="14" t="s">
        <v>3884</v>
      </c>
      <c r="AD69" s="13" t="s">
        <v>53</v>
      </c>
    </row>
    <row r="70" spans="1:30" hidden="1" x14ac:dyDescent="0.3">
      <c r="A70" s="13" t="s">
        <v>22</v>
      </c>
      <c r="B70" s="13" t="s">
        <v>2381</v>
      </c>
      <c r="C70" s="13" t="s">
        <v>2214</v>
      </c>
      <c r="D70" s="13" t="s">
        <v>2380</v>
      </c>
      <c r="E70" s="13" t="s">
        <v>2385</v>
      </c>
      <c r="F70" s="13" t="s">
        <v>2384</v>
      </c>
      <c r="H70" s="13" t="s">
        <v>2382</v>
      </c>
      <c r="I70" s="13" t="s">
        <v>2383</v>
      </c>
      <c r="K70" s="13" t="s">
        <v>25</v>
      </c>
      <c r="N70" s="13"/>
      <c r="S70" s="17">
        <v>44301</v>
      </c>
      <c r="T70" s="18">
        <v>2021</v>
      </c>
      <c r="V70" s="13" t="s">
        <v>29</v>
      </c>
      <c r="X70" s="14">
        <v>10</v>
      </c>
      <c r="Y70" s="14"/>
      <c r="Z70" s="14" t="s">
        <v>3870</v>
      </c>
      <c r="AA70" s="14" t="s">
        <v>3806</v>
      </c>
      <c r="AB70" s="14" t="s">
        <v>3886</v>
      </c>
      <c r="AD70" s="13" t="s">
        <v>53</v>
      </c>
    </row>
    <row r="71" spans="1:30" hidden="1" x14ac:dyDescent="0.3">
      <c r="A71" s="13" t="s">
        <v>22</v>
      </c>
      <c r="B71" s="13" t="s">
        <v>3591</v>
      </c>
      <c r="C71" s="13" t="s">
        <v>390</v>
      </c>
      <c r="D71" s="13" t="s">
        <v>3597</v>
      </c>
      <c r="E71" s="13" t="s">
        <v>3600</v>
      </c>
      <c r="F71" s="13" t="s">
        <v>3599</v>
      </c>
      <c r="G71" s="13" t="s">
        <v>3601</v>
      </c>
      <c r="H71" s="13" t="s">
        <v>2983</v>
      </c>
      <c r="I71" s="13" t="s">
        <v>3598</v>
      </c>
      <c r="K71" s="13" t="s">
        <v>25</v>
      </c>
      <c r="N71" s="13"/>
      <c r="S71" s="17">
        <v>44301</v>
      </c>
      <c r="T71" s="18">
        <v>2021</v>
      </c>
      <c r="V71" s="13" t="s">
        <v>29</v>
      </c>
      <c r="X71" s="14">
        <v>5</v>
      </c>
      <c r="Y71" s="14"/>
      <c r="Z71" s="14" t="s">
        <v>3835</v>
      </c>
      <c r="AA71" s="14" t="s">
        <v>3813</v>
      </c>
      <c r="AB71" s="14" t="s">
        <v>3884</v>
      </c>
      <c r="AD71" s="13" t="s">
        <v>53</v>
      </c>
    </row>
    <row r="72" spans="1:30" hidden="1" x14ac:dyDescent="0.3">
      <c r="A72" s="13" t="s">
        <v>22</v>
      </c>
      <c r="B72" s="13" t="s">
        <v>405</v>
      </c>
      <c r="C72" s="13" t="s">
        <v>406</v>
      </c>
      <c r="D72" s="13" t="s">
        <v>404</v>
      </c>
      <c r="E72" s="13" t="s">
        <v>409</v>
      </c>
      <c r="F72" s="13" t="s">
        <v>7889</v>
      </c>
      <c r="H72" s="13" t="s">
        <v>407</v>
      </c>
      <c r="I72" s="13" t="s">
        <v>408</v>
      </c>
      <c r="J72" s="13" t="s">
        <v>52</v>
      </c>
      <c r="K72" s="13" t="s">
        <v>25</v>
      </c>
      <c r="N72" s="13"/>
      <c r="S72" s="17">
        <v>44302</v>
      </c>
      <c r="T72" s="18">
        <v>2021</v>
      </c>
      <c r="V72" s="13" t="s">
        <v>29</v>
      </c>
      <c r="X72" s="14">
        <v>10</v>
      </c>
      <c r="Y72" s="14"/>
      <c r="Z72" s="14" t="s">
        <v>3870</v>
      </c>
      <c r="AA72" s="14" t="s">
        <v>3806</v>
      </c>
      <c r="AB72" s="14" t="s">
        <v>3886</v>
      </c>
      <c r="AD72" s="13" t="s">
        <v>53</v>
      </c>
    </row>
    <row r="73" spans="1:30" hidden="1" x14ac:dyDescent="0.3">
      <c r="A73" s="13" t="s">
        <v>22</v>
      </c>
      <c r="B73" s="13" t="s">
        <v>1671</v>
      </c>
      <c r="C73" s="13" t="s">
        <v>1678</v>
      </c>
      <c r="D73" s="13" t="s">
        <v>1677</v>
      </c>
      <c r="E73" s="13" t="s">
        <v>1683</v>
      </c>
      <c r="F73" s="13" t="s">
        <v>1682</v>
      </c>
      <c r="G73" s="13" t="s">
        <v>1684</v>
      </c>
      <c r="H73" s="13" t="s">
        <v>1679</v>
      </c>
      <c r="I73" s="13" t="s">
        <v>1680</v>
      </c>
      <c r="K73" s="13" t="s">
        <v>25</v>
      </c>
      <c r="N73" s="13"/>
      <c r="S73" s="17">
        <v>44302</v>
      </c>
      <c r="T73" s="18">
        <v>2021</v>
      </c>
      <c r="V73" s="13" t="s">
        <v>29</v>
      </c>
      <c r="X73" s="14">
        <v>10</v>
      </c>
      <c r="Y73" s="14"/>
      <c r="Z73" s="14" t="s">
        <v>3835</v>
      </c>
      <c r="AA73" s="14" t="s">
        <v>3817</v>
      </c>
      <c r="AB73" s="14" t="s">
        <v>3884</v>
      </c>
      <c r="AC73" s="13" t="s">
        <v>1681</v>
      </c>
      <c r="AD73" s="13" t="s">
        <v>53</v>
      </c>
    </row>
    <row r="74" spans="1:30" hidden="1" x14ac:dyDescent="0.3">
      <c r="A74" s="13" t="s">
        <v>22</v>
      </c>
      <c r="B74" s="13" t="s">
        <v>2885</v>
      </c>
      <c r="C74" s="13" t="s">
        <v>354</v>
      </c>
      <c r="D74" s="13" t="s">
        <v>2884</v>
      </c>
      <c r="E74" s="13" t="s">
        <v>2889</v>
      </c>
      <c r="F74" s="13" t="s">
        <v>2888</v>
      </c>
      <c r="G74" s="13" t="s">
        <v>2890</v>
      </c>
      <c r="H74" s="13" t="s">
        <v>2886</v>
      </c>
      <c r="I74" s="13" t="s">
        <v>2887</v>
      </c>
      <c r="K74" s="13" t="s">
        <v>25</v>
      </c>
      <c r="N74" s="13"/>
      <c r="S74" s="17">
        <v>44302</v>
      </c>
      <c r="T74" s="18">
        <v>2021</v>
      </c>
      <c r="V74" s="13" t="s">
        <v>29</v>
      </c>
      <c r="X74" s="14">
        <v>5</v>
      </c>
      <c r="Y74" s="14"/>
      <c r="Z74" s="14" t="s">
        <v>3835</v>
      </c>
      <c r="AA74" s="14" t="s">
        <v>3817</v>
      </c>
      <c r="AB74" s="14" t="s">
        <v>3884</v>
      </c>
      <c r="AD74" s="13" t="s">
        <v>53</v>
      </c>
    </row>
    <row r="75" spans="1:30" hidden="1" x14ac:dyDescent="0.3">
      <c r="A75" s="13" t="s">
        <v>22</v>
      </c>
      <c r="B75" s="13" t="s">
        <v>3763</v>
      </c>
      <c r="C75" s="13" t="s">
        <v>390</v>
      </c>
      <c r="D75" s="13" t="s">
        <v>3766</v>
      </c>
      <c r="E75" s="13" t="s">
        <v>3772</v>
      </c>
      <c r="F75" s="13" t="s">
        <v>3771</v>
      </c>
      <c r="G75" s="13" t="s">
        <v>3773</v>
      </c>
      <c r="H75" s="13" t="s">
        <v>3767</v>
      </c>
      <c r="I75" s="13" t="s">
        <v>3768</v>
      </c>
      <c r="J75" s="13" t="s">
        <v>3769</v>
      </c>
      <c r="K75" s="13" t="s">
        <v>3770</v>
      </c>
      <c r="N75" s="13"/>
      <c r="S75" s="17">
        <v>44302</v>
      </c>
      <c r="T75" s="18">
        <v>2021</v>
      </c>
      <c r="V75" s="13" t="s">
        <v>29</v>
      </c>
      <c r="X75" s="14">
        <v>5</v>
      </c>
      <c r="Y75" s="14"/>
      <c r="Z75" s="14" t="s">
        <v>2148</v>
      </c>
      <c r="AA75" s="14" t="s">
        <v>3818</v>
      </c>
      <c r="AB75" s="14" t="s">
        <v>3890</v>
      </c>
      <c r="AD75" s="13" t="s">
        <v>53</v>
      </c>
    </row>
    <row r="76" spans="1:30" hidden="1" x14ac:dyDescent="0.3">
      <c r="A76" s="13" t="s">
        <v>100</v>
      </c>
      <c r="B76" s="13" t="s">
        <v>2769</v>
      </c>
      <c r="C76" s="13" t="s">
        <v>557</v>
      </c>
      <c r="D76" s="13" t="s">
        <v>2768</v>
      </c>
      <c r="E76" s="13" t="s">
        <v>2773</v>
      </c>
      <c r="F76" s="19" t="s">
        <v>2772</v>
      </c>
      <c r="G76" s="13" t="s">
        <v>2774</v>
      </c>
      <c r="H76" s="13" t="s">
        <v>2770</v>
      </c>
      <c r="I76" s="13" t="s">
        <v>2771</v>
      </c>
      <c r="K76" s="13" t="s">
        <v>25</v>
      </c>
      <c r="N76" s="13"/>
      <c r="S76" s="17">
        <v>44302</v>
      </c>
      <c r="T76" s="18">
        <v>2021</v>
      </c>
      <c r="V76" s="13" t="s">
        <v>29</v>
      </c>
      <c r="X76" s="14">
        <v>5</v>
      </c>
      <c r="Y76" s="14"/>
      <c r="Z76" s="14" t="s">
        <v>3828</v>
      </c>
      <c r="AA76" s="14" t="s">
        <v>3816</v>
      </c>
      <c r="AB76" s="14" t="s">
        <v>3885</v>
      </c>
      <c r="AD76" s="13" t="s">
        <v>53</v>
      </c>
    </row>
    <row r="77" spans="1:30" hidden="1" x14ac:dyDescent="0.3">
      <c r="A77" s="13" t="s">
        <v>22</v>
      </c>
      <c r="B77" s="13" t="s">
        <v>1911</v>
      </c>
      <c r="C77" s="13" t="s">
        <v>1912</v>
      </c>
      <c r="D77" s="13" t="s">
        <v>1910</v>
      </c>
      <c r="E77" s="13" t="s">
        <v>1914</v>
      </c>
      <c r="F77" s="13" t="s">
        <v>1915</v>
      </c>
      <c r="G77" s="13" t="s">
        <v>1916</v>
      </c>
      <c r="H77" s="13" t="s">
        <v>1913</v>
      </c>
      <c r="I77" s="13" t="s">
        <v>469</v>
      </c>
      <c r="K77" s="13" t="s">
        <v>25</v>
      </c>
      <c r="N77" s="13"/>
      <c r="S77" s="17">
        <v>44303</v>
      </c>
      <c r="T77" s="18">
        <v>2021</v>
      </c>
      <c r="V77" s="13" t="s">
        <v>29</v>
      </c>
      <c r="X77" s="14">
        <v>10</v>
      </c>
      <c r="Y77" s="14"/>
      <c r="Z77" s="14" t="s">
        <v>3835</v>
      </c>
      <c r="AA77" s="14" t="s">
        <v>3813</v>
      </c>
      <c r="AB77" s="14" t="s">
        <v>3884</v>
      </c>
      <c r="AC77" s="13"/>
      <c r="AD77" s="13" t="s">
        <v>764</v>
      </c>
    </row>
    <row r="78" spans="1:30" ht="27.6" hidden="1" x14ac:dyDescent="0.3">
      <c r="A78" s="13" t="s">
        <v>22</v>
      </c>
      <c r="B78" s="13" t="s">
        <v>2436</v>
      </c>
      <c r="C78" s="13" t="s">
        <v>229</v>
      </c>
      <c r="D78" s="13" t="s">
        <v>2435</v>
      </c>
      <c r="E78" s="13" t="s">
        <v>2438</v>
      </c>
      <c r="F78" s="13" t="s">
        <v>2437</v>
      </c>
      <c r="K78" s="13" t="s">
        <v>25</v>
      </c>
      <c r="N78" s="13"/>
      <c r="S78" s="17">
        <v>44304</v>
      </c>
      <c r="T78" s="18">
        <v>2021</v>
      </c>
      <c r="V78" s="13" t="s">
        <v>29</v>
      </c>
      <c r="W78" s="13" t="s">
        <v>1594</v>
      </c>
      <c r="X78" s="14">
        <v>5</v>
      </c>
      <c r="Y78" s="14"/>
      <c r="Z78" s="14" t="s">
        <v>3828</v>
      </c>
      <c r="AA78" s="14" t="s">
        <v>3877</v>
      </c>
      <c r="AB78" s="14" t="s">
        <v>3887</v>
      </c>
      <c r="AD78" s="13" t="s">
        <v>764</v>
      </c>
    </row>
    <row r="79" spans="1:30" ht="27.6" hidden="1" x14ac:dyDescent="0.3">
      <c r="A79" s="13" t="s">
        <v>22</v>
      </c>
      <c r="B79" s="13" t="s">
        <v>3384</v>
      </c>
      <c r="C79" s="13" t="s">
        <v>1742</v>
      </c>
      <c r="D79" s="13" t="s">
        <v>3383</v>
      </c>
      <c r="E79" s="13" t="s">
        <v>3387</v>
      </c>
      <c r="F79" s="13" t="s">
        <v>3386</v>
      </c>
      <c r="G79" s="13" t="s">
        <v>3388</v>
      </c>
      <c r="H79" s="13" t="s">
        <v>3385</v>
      </c>
      <c r="I79" s="13" t="s">
        <v>191</v>
      </c>
      <c r="J79" s="13" t="s">
        <v>52</v>
      </c>
      <c r="K79" s="13" t="s">
        <v>25</v>
      </c>
      <c r="N79" s="13"/>
      <c r="S79" s="17">
        <v>44306</v>
      </c>
      <c r="T79" s="18">
        <v>2021</v>
      </c>
      <c r="V79" s="13" t="s">
        <v>29</v>
      </c>
      <c r="X79" s="14">
        <v>30</v>
      </c>
      <c r="Y79" s="14"/>
      <c r="Z79" s="14" t="s">
        <v>3835</v>
      </c>
      <c r="AA79" s="14" t="s">
        <v>3810</v>
      </c>
      <c r="AB79" s="14" t="s">
        <v>3884</v>
      </c>
      <c r="AD79" s="13" t="s">
        <v>53</v>
      </c>
    </row>
    <row r="80" spans="1:30" hidden="1" x14ac:dyDescent="0.3">
      <c r="A80" s="13" t="s">
        <v>100</v>
      </c>
      <c r="B80" s="13" t="s">
        <v>1406</v>
      </c>
      <c r="C80" s="13" t="s">
        <v>1407</v>
      </c>
      <c r="D80" s="13" t="s">
        <v>1405</v>
      </c>
      <c r="E80" s="13" t="s">
        <v>1411</v>
      </c>
      <c r="F80" s="13" t="s">
        <v>1410</v>
      </c>
      <c r="G80" s="13" t="s">
        <v>1412</v>
      </c>
      <c r="H80" s="13" t="s">
        <v>1408</v>
      </c>
      <c r="I80" s="13" t="s">
        <v>1409</v>
      </c>
      <c r="K80" s="13" t="s">
        <v>25</v>
      </c>
      <c r="N80" s="13"/>
      <c r="S80" s="17">
        <v>44306</v>
      </c>
      <c r="T80" s="18">
        <v>2021</v>
      </c>
      <c r="V80" s="13" t="s">
        <v>29</v>
      </c>
      <c r="X80" s="14">
        <v>5</v>
      </c>
      <c r="Y80" s="14"/>
      <c r="Z80" s="14" t="s">
        <v>3828</v>
      </c>
      <c r="AA80" s="14" t="s">
        <v>3824</v>
      </c>
      <c r="AB80" s="14" t="s">
        <v>3885</v>
      </c>
      <c r="AD80" s="13" t="s">
        <v>53</v>
      </c>
    </row>
    <row r="81" spans="1:30" ht="27.6" hidden="1" x14ac:dyDescent="0.3">
      <c r="A81" s="13" t="s">
        <v>100</v>
      </c>
      <c r="B81" s="13" t="s">
        <v>2252</v>
      </c>
      <c r="C81" s="13" t="s">
        <v>87</v>
      </c>
      <c r="D81" s="13" t="s">
        <v>2251</v>
      </c>
      <c r="E81" s="13" t="s">
        <v>2256</v>
      </c>
      <c r="F81" s="13" t="s">
        <v>2255</v>
      </c>
      <c r="G81" s="13" t="s">
        <v>2257</v>
      </c>
      <c r="H81" s="13" t="s">
        <v>2253</v>
      </c>
      <c r="I81" s="13" t="s">
        <v>2254</v>
      </c>
      <c r="K81" s="13" t="s">
        <v>25</v>
      </c>
      <c r="N81" s="13"/>
      <c r="S81" s="17">
        <v>44306</v>
      </c>
      <c r="T81" s="18">
        <v>2021</v>
      </c>
      <c r="V81" s="13" t="s">
        <v>29</v>
      </c>
      <c r="X81" s="14">
        <v>5</v>
      </c>
      <c r="Y81" s="14"/>
      <c r="Z81" s="14" t="s">
        <v>3828</v>
      </c>
      <c r="AA81" s="14" t="s">
        <v>3819</v>
      </c>
      <c r="AB81" s="14" t="s">
        <v>3888</v>
      </c>
      <c r="AD81" s="13" t="s">
        <v>53</v>
      </c>
    </row>
    <row r="82" spans="1:30" hidden="1" x14ac:dyDescent="0.3">
      <c r="A82" s="13" t="s">
        <v>100</v>
      </c>
      <c r="B82" s="13" t="s">
        <v>2665</v>
      </c>
      <c r="C82" s="13" t="s">
        <v>2666</v>
      </c>
      <c r="D82" s="13" t="s">
        <v>2664</v>
      </c>
      <c r="E82" s="13" t="s">
        <v>2670</v>
      </c>
      <c r="F82" s="13" t="s">
        <v>2669</v>
      </c>
      <c r="G82" s="13" t="s">
        <v>2671</v>
      </c>
      <c r="H82" s="13" t="s">
        <v>2667</v>
      </c>
      <c r="I82" s="13" t="s">
        <v>191</v>
      </c>
      <c r="K82" s="13" t="s">
        <v>25</v>
      </c>
      <c r="N82" s="13"/>
      <c r="S82" s="17">
        <v>44307</v>
      </c>
      <c r="T82" s="18">
        <v>2021</v>
      </c>
      <c r="V82" s="13" t="s">
        <v>29</v>
      </c>
      <c r="X82" s="14">
        <v>5</v>
      </c>
      <c r="Y82" s="14"/>
      <c r="Z82" s="14" t="s">
        <v>3828</v>
      </c>
      <c r="AA82" s="14" t="s">
        <v>3809</v>
      </c>
      <c r="AB82" s="14" t="s">
        <v>3888</v>
      </c>
      <c r="AD82" s="13" t="s">
        <v>2668</v>
      </c>
    </row>
    <row r="83" spans="1:30" hidden="1" x14ac:dyDescent="0.3">
      <c r="A83" s="13" t="s">
        <v>100</v>
      </c>
      <c r="B83" s="13" t="s">
        <v>3484</v>
      </c>
      <c r="C83" s="13" t="s">
        <v>3485</v>
      </c>
      <c r="D83" s="13" t="s">
        <v>3483</v>
      </c>
      <c r="E83" s="13" t="s">
        <v>3489</v>
      </c>
      <c r="F83" s="13" t="s">
        <v>3488</v>
      </c>
      <c r="G83" s="13" t="s">
        <v>3490</v>
      </c>
      <c r="H83" s="13" t="s">
        <v>3486</v>
      </c>
      <c r="I83" s="13" t="s">
        <v>3487</v>
      </c>
      <c r="K83" s="13" t="s">
        <v>25</v>
      </c>
      <c r="N83" s="13"/>
      <c r="S83" s="17">
        <v>44308</v>
      </c>
      <c r="T83" s="18">
        <v>2021</v>
      </c>
      <c r="V83" s="13" t="s">
        <v>29</v>
      </c>
      <c r="X83" s="14">
        <v>20</v>
      </c>
      <c r="Y83" s="14"/>
      <c r="Z83" s="14" t="s">
        <v>3828</v>
      </c>
      <c r="AA83" s="14" t="s">
        <v>3807</v>
      </c>
      <c r="AB83" s="14" t="s">
        <v>3888</v>
      </c>
      <c r="AD83" s="13" t="s">
        <v>53</v>
      </c>
    </row>
    <row r="84" spans="1:30" hidden="1" x14ac:dyDescent="0.3">
      <c r="A84" s="13" t="s">
        <v>22</v>
      </c>
      <c r="B84" s="13" t="s">
        <v>389</v>
      </c>
      <c r="C84" s="13" t="s">
        <v>390</v>
      </c>
      <c r="D84" s="13" t="s">
        <v>388</v>
      </c>
      <c r="E84" s="13" t="s">
        <v>394</v>
      </c>
      <c r="F84" s="13" t="s">
        <v>393</v>
      </c>
      <c r="G84" s="13" t="s">
        <v>395</v>
      </c>
      <c r="H84" s="13" t="s">
        <v>391</v>
      </c>
      <c r="I84" s="13" t="s">
        <v>392</v>
      </c>
      <c r="J84" s="13" t="s">
        <v>330</v>
      </c>
      <c r="K84" s="13" t="s">
        <v>25</v>
      </c>
      <c r="N84" s="13"/>
      <c r="S84" s="17">
        <v>44310</v>
      </c>
      <c r="T84" s="18">
        <v>2021</v>
      </c>
      <c r="V84" s="13" t="s">
        <v>29</v>
      </c>
      <c r="X84" s="14">
        <v>6</v>
      </c>
      <c r="Y84" s="14"/>
      <c r="Z84" s="14" t="s">
        <v>3835</v>
      </c>
      <c r="AA84" s="14" t="s">
        <v>3820</v>
      </c>
      <c r="AB84" s="14" t="s">
        <v>3884</v>
      </c>
      <c r="AD84" s="13" t="s">
        <v>53</v>
      </c>
    </row>
    <row r="85" spans="1:30" hidden="1" x14ac:dyDescent="0.3">
      <c r="A85" s="13" t="s">
        <v>22</v>
      </c>
      <c r="B85" s="13" t="s">
        <v>1956</v>
      </c>
      <c r="C85" s="13" t="s">
        <v>1957</v>
      </c>
      <c r="D85" s="13" t="s">
        <v>1955</v>
      </c>
      <c r="E85" s="13" t="s">
        <v>1962</v>
      </c>
      <c r="F85" s="13" t="s">
        <v>1961</v>
      </c>
      <c r="G85" s="13" t="s">
        <v>1963</v>
      </c>
      <c r="H85" s="13" t="s">
        <v>1958</v>
      </c>
      <c r="I85" s="13" t="s">
        <v>1959</v>
      </c>
      <c r="J85" s="13" t="s">
        <v>52</v>
      </c>
      <c r="K85" s="13" t="s">
        <v>25</v>
      </c>
      <c r="N85" s="13"/>
      <c r="S85" s="17">
        <v>44310</v>
      </c>
      <c r="T85" s="18">
        <v>2021</v>
      </c>
      <c r="V85" s="13" t="s">
        <v>29</v>
      </c>
      <c r="X85" s="14">
        <v>5</v>
      </c>
      <c r="Y85" s="14"/>
      <c r="Z85" s="14" t="s">
        <v>3835</v>
      </c>
      <c r="AA85" s="14" t="s">
        <v>3813</v>
      </c>
      <c r="AB85" s="14" t="s">
        <v>3884</v>
      </c>
      <c r="AD85" s="13" t="s">
        <v>1960</v>
      </c>
    </row>
    <row r="86" spans="1:30" hidden="1" x14ac:dyDescent="0.3">
      <c r="A86" s="13" t="s">
        <v>22</v>
      </c>
      <c r="B86" s="13" t="s">
        <v>156</v>
      </c>
      <c r="C86" s="13" t="s">
        <v>157</v>
      </c>
      <c r="D86" s="13" t="s">
        <v>155</v>
      </c>
      <c r="E86" s="13" t="s">
        <v>161</v>
      </c>
      <c r="F86" s="13" t="s">
        <v>160</v>
      </c>
      <c r="G86" s="13" t="s">
        <v>162</v>
      </c>
      <c r="H86" s="13" t="s">
        <v>158</v>
      </c>
      <c r="I86" s="13" t="s">
        <v>159</v>
      </c>
      <c r="J86" s="13" t="s">
        <v>52</v>
      </c>
      <c r="K86" s="13" t="s">
        <v>25</v>
      </c>
      <c r="N86" s="13"/>
      <c r="S86" s="17">
        <v>44311</v>
      </c>
      <c r="T86" s="18">
        <v>2021</v>
      </c>
      <c r="V86" s="13" t="s">
        <v>29</v>
      </c>
      <c r="X86" s="14">
        <v>5</v>
      </c>
      <c r="Y86" s="14"/>
      <c r="Z86" s="14" t="s">
        <v>3870</v>
      </c>
      <c r="AA86" s="14" t="s">
        <v>3806</v>
      </c>
      <c r="AB86" s="14" t="s">
        <v>3886</v>
      </c>
      <c r="AD86" s="13" t="s">
        <v>53</v>
      </c>
    </row>
    <row r="87" spans="1:30" hidden="1" x14ac:dyDescent="0.3">
      <c r="A87" s="13" t="s">
        <v>22</v>
      </c>
      <c r="B87" s="13" t="s">
        <v>768</v>
      </c>
      <c r="C87" s="13" t="s">
        <v>354</v>
      </c>
      <c r="D87" s="13" t="s">
        <v>772</v>
      </c>
      <c r="E87" s="13" t="s">
        <v>774</v>
      </c>
      <c r="F87" s="13" t="s">
        <v>773</v>
      </c>
      <c r="K87" s="13" t="s">
        <v>25</v>
      </c>
      <c r="N87" s="13"/>
      <c r="S87" s="17">
        <v>44311</v>
      </c>
      <c r="T87" s="18">
        <v>2021</v>
      </c>
      <c r="V87" s="13" t="s">
        <v>29</v>
      </c>
      <c r="X87" s="14">
        <v>10</v>
      </c>
      <c r="Y87" s="14"/>
      <c r="Z87" s="14" t="s">
        <v>3835</v>
      </c>
      <c r="AA87" s="14" t="s">
        <v>3813</v>
      </c>
      <c r="AB87" s="14" t="s">
        <v>3884</v>
      </c>
      <c r="AD87" s="13" t="s">
        <v>53</v>
      </c>
    </row>
    <row r="88" spans="1:30" hidden="1" x14ac:dyDescent="0.3">
      <c r="A88" s="13" t="s">
        <v>22</v>
      </c>
      <c r="B88" s="13" t="s">
        <v>2871</v>
      </c>
      <c r="C88" s="13" t="s">
        <v>181</v>
      </c>
      <c r="D88" s="13" t="s">
        <v>2870</v>
      </c>
      <c r="E88" s="13" t="s">
        <v>2874</v>
      </c>
      <c r="F88" s="13" t="s">
        <v>2873</v>
      </c>
      <c r="G88" s="13" t="s">
        <v>2875</v>
      </c>
      <c r="H88" s="13" t="s">
        <v>2872</v>
      </c>
      <c r="I88" s="13" t="s">
        <v>1959</v>
      </c>
      <c r="K88" s="13" t="s">
        <v>25</v>
      </c>
      <c r="N88" s="13"/>
      <c r="S88" s="17">
        <v>44314</v>
      </c>
      <c r="T88" s="18">
        <v>2021</v>
      </c>
      <c r="V88" s="13" t="s">
        <v>29</v>
      </c>
      <c r="X88" s="14">
        <v>10</v>
      </c>
      <c r="Y88" s="14"/>
      <c r="Z88" s="14" t="s">
        <v>2148</v>
      </c>
      <c r="AA88" s="14" t="s">
        <v>3818</v>
      </c>
      <c r="AB88" s="14" t="s">
        <v>3890</v>
      </c>
      <c r="AD88" s="13" t="s">
        <v>53</v>
      </c>
    </row>
    <row r="89" spans="1:30" hidden="1" x14ac:dyDescent="0.3">
      <c r="A89" s="13" t="s">
        <v>22</v>
      </c>
      <c r="B89" s="13" t="s">
        <v>3158</v>
      </c>
      <c r="C89" s="13" t="s">
        <v>3159</v>
      </c>
      <c r="D89" s="13" t="s">
        <v>3157</v>
      </c>
      <c r="E89" s="13" t="s">
        <v>3162</v>
      </c>
      <c r="F89" s="13" t="s">
        <v>3161</v>
      </c>
      <c r="G89" s="13" t="s">
        <v>3163</v>
      </c>
      <c r="H89" s="13" t="s">
        <v>3160</v>
      </c>
      <c r="I89" s="13" t="s">
        <v>191</v>
      </c>
      <c r="J89" s="13" t="s">
        <v>52</v>
      </c>
      <c r="K89" s="13" t="s">
        <v>25</v>
      </c>
      <c r="N89" s="13"/>
      <c r="S89" s="17">
        <v>44314</v>
      </c>
      <c r="T89" s="18">
        <v>2021</v>
      </c>
      <c r="V89" s="13" t="s">
        <v>29</v>
      </c>
      <c r="X89" s="14">
        <v>10</v>
      </c>
      <c r="Y89" s="14"/>
      <c r="Z89" s="14" t="s">
        <v>3835</v>
      </c>
      <c r="AA89" s="14" t="s">
        <v>3817</v>
      </c>
      <c r="AB89" s="14" t="s">
        <v>3884</v>
      </c>
      <c r="AD89" s="13" t="s">
        <v>53</v>
      </c>
    </row>
    <row r="90" spans="1:30" hidden="1" x14ac:dyDescent="0.3">
      <c r="A90" s="13" t="s">
        <v>22</v>
      </c>
      <c r="B90" s="13" t="s">
        <v>822</v>
      </c>
      <c r="C90" s="13" t="s">
        <v>354</v>
      </c>
      <c r="D90" s="13" t="s">
        <v>821</v>
      </c>
      <c r="E90" s="13" t="s">
        <v>826</v>
      </c>
      <c r="F90" s="13" t="s">
        <v>825</v>
      </c>
      <c r="G90" s="13" t="s">
        <v>827</v>
      </c>
      <c r="H90" s="13" t="s">
        <v>823</v>
      </c>
      <c r="I90" s="13" t="s">
        <v>824</v>
      </c>
      <c r="K90" s="13" t="s">
        <v>25</v>
      </c>
      <c r="N90" s="13"/>
      <c r="S90" s="17">
        <v>44315</v>
      </c>
      <c r="T90" s="18">
        <v>2021</v>
      </c>
      <c r="V90" s="13" t="s">
        <v>29</v>
      </c>
      <c r="X90" s="14">
        <v>5</v>
      </c>
      <c r="Y90" s="14"/>
      <c r="Z90" s="14" t="s">
        <v>3870</v>
      </c>
      <c r="AA90" s="14" t="s">
        <v>3806</v>
      </c>
      <c r="AB90" s="14" t="s">
        <v>3886</v>
      </c>
      <c r="AD90" s="13" t="s">
        <v>53</v>
      </c>
    </row>
    <row r="91" spans="1:30" ht="27.6" hidden="1" x14ac:dyDescent="0.3">
      <c r="A91" s="13" t="s">
        <v>22</v>
      </c>
      <c r="B91" s="13" t="s">
        <v>1980</v>
      </c>
      <c r="C91" s="13" t="s">
        <v>1981</v>
      </c>
      <c r="D91" s="13" t="s">
        <v>1979</v>
      </c>
      <c r="E91" s="13" t="s">
        <v>1985</v>
      </c>
      <c r="F91" s="13" t="s">
        <v>1984</v>
      </c>
      <c r="G91" s="13" t="s">
        <v>1986</v>
      </c>
      <c r="H91" s="13" t="s">
        <v>1982</v>
      </c>
      <c r="I91" s="13" t="s">
        <v>191</v>
      </c>
      <c r="J91" s="13" t="s">
        <v>1983</v>
      </c>
      <c r="K91" s="13" t="s">
        <v>313</v>
      </c>
      <c r="N91" s="13"/>
      <c r="S91" s="17">
        <v>44315</v>
      </c>
      <c r="T91" s="18">
        <v>2021</v>
      </c>
      <c r="V91" s="13" t="s">
        <v>29</v>
      </c>
      <c r="X91" s="14">
        <v>10</v>
      </c>
      <c r="Y91" s="14"/>
      <c r="Z91" s="14" t="s">
        <v>3828</v>
      </c>
      <c r="AA91" s="14" t="s">
        <v>3872</v>
      </c>
      <c r="AB91" s="14" t="s">
        <v>3887</v>
      </c>
      <c r="AD91" s="13" t="s">
        <v>53</v>
      </c>
    </row>
    <row r="92" spans="1:30" ht="41.4" hidden="1" x14ac:dyDescent="0.3">
      <c r="A92" s="13" t="s">
        <v>100</v>
      </c>
      <c r="B92" s="13" t="s">
        <v>2508</v>
      </c>
      <c r="C92" s="13" t="s">
        <v>2509</v>
      </c>
      <c r="D92" s="13" t="s">
        <v>2507</v>
      </c>
      <c r="E92" s="13" t="s">
        <v>2512</v>
      </c>
      <c r="F92" s="13" t="s">
        <v>3849</v>
      </c>
      <c r="G92" s="13" t="s">
        <v>2513</v>
      </c>
      <c r="H92" s="13" t="s">
        <v>2510</v>
      </c>
      <c r="I92" s="13" t="s">
        <v>2511</v>
      </c>
      <c r="J92" s="13" t="s">
        <v>660</v>
      </c>
      <c r="K92" s="13" t="s">
        <v>25</v>
      </c>
      <c r="N92" s="13"/>
      <c r="S92" s="17">
        <v>44315</v>
      </c>
      <c r="T92" s="18">
        <v>2021</v>
      </c>
      <c r="V92" s="13" t="s">
        <v>29</v>
      </c>
      <c r="X92" s="14">
        <v>5</v>
      </c>
      <c r="Y92" s="14"/>
      <c r="Z92" s="14" t="s">
        <v>3828</v>
      </c>
      <c r="AA92" s="14" t="s">
        <v>3819</v>
      </c>
      <c r="AB92" s="14" t="s">
        <v>3888</v>
      </c>
      <c r="AD92" s="13" t="s">
        <v>53</v>
      </c>
    </row>
    <row r="93" spans="1:30" ht="27.6" hidden="1" x14ac:dyDescent="0.3">
      <c r="A93" s="13" t="s">
        <v>100</v>
      </c>
      <c r="B93" s="13" t="s">
        <v>2944</v>
      </c>
      <c r="C93" s="13" t="s">
        <v>229</v>
      </c>
      <c r="D93" s="13" t="s">
        <v>2943</v>
      </c>
      <c r="E93" s="13" t="s">
        <v>2946</v>
      </c>
      <c r="F93" s="13" t="s">
        <v>2945</v>
      </c>
      <c r="G93" s="13" t="s">
        <v>2947</v>
      </c>
      <c r="H93" s="13" t="s">
        <v>2382</v>
      </c>
      <c r="I93" s="13" t="s">
        <v>1203</v>
      </c>
      <c r="K93" s="13" t="s">
        <v>25</v>
      </c>
      <c r="N93" s="13"/>
      <c r="S93" s="17">
        <v>44315</v>
      </c>
      <c r="T93" s="18">
        <v>2021</v>
      </c>
      <c r="V93" s="13" t="s">
        <v>29</v>
      </c>
      <c r="X93" s="14">
        <v>5</v>
      </c>
      <c r="Y93" s="14"/>
      <c r="Z93" s="14" t="s">
        <v>3828</v>
      </c>
      <c r="AA93" s="14" t="s">
        <v>3821</v>
      </c>
      <c r="AB93" s="14" t="s">
        <v>3885</v>
      </c>
      <c r="AD93" s="13" t="s">
        <v>53</v>
      </c>
    </row>
    <row r="94" spans="1:30" hidden="1" x14ac:dyDescent="0.3">
      <c r="A94" s="13" t="s">
        <v>22</v>
      </c>
      <c r="B94" s="13" t="s">
        <v>180</v>
      </c>
      <c r="C94" s="13" t="s">
        <v>181</v>
      </c>
      <c r="D94" s="13" t="s">
        <v>179</v>
      </c>
      <c r="E94" s="13" t="s">
        <v>185</v>
      </c>
      <c r="F94" s="13" t="s">
        <v>184</v>
      </c>
      <c r="G94" s="13" t="s">
        <v>186</v>
      </c>
      <c r="H94" s="13" t="s">
        <v>182</v>
      </c>
      <c r="I94" s="13" t="s">
        <v>183</v>
      </c>
      <c r="J94" s="13" t="s">
        <v>52</v>
      </c>
      <c r="K94" s="13" t="s">
        <v>25</v>
      </c>
      <c r="N94" s="13"/>
      <c r="S94" s="17">
        <v>44316</v>
      </c>
      <c r="T94" s="18">
        <v>2021</v>
      </c>
      <c r="V94" s="13" t="s">
        <v>29</v>
      </c>
      <c r="X94" s="14">
        <v>5</v>
      </c>
      <c r="Y94" s="14"/>
      <c r="Z94" s="14" t="s">
        <v>3835</v>
      </c>
      <c r="AA94" s="14" t="s">
        <v>3813</v>
      </c>
      <c r="AB94" s="14" t="s">
        <v>3884</v>
      </c>
      <c r="AD94" s="13" t="s">
        <v>53</v>
      </c>
    </row>
    <row r="95" spans="1:30" hidden="1" x14ac:dyDescent="0.3">
      <c r="A95" s="13" t="s">
        <v>22</v>
      </c>
      <c r="B95" s="13" t="s">
        <v>1087</v>
      </c>
      <c r="C95" s="13" t="s">
        <v>557</v>
      </c>
      <c r="D95" s="13" t="s">
        <v>1086</v>
      </c>
      <c r="E95" s="13" t="s">
        <v>1090</v>
      </c>
      <c r="F95" s="13" t="s">
        <v>1089</v>
      </c>
      <c r="G95" s="13" t="s">
        <v>1091</v>
      </c>
      <c r="H95" s="13" t="s">
        <v>756</v>
      </c>
      <c r="I95" s="13" t="s">
        <v>191</v>
      </c>
      <c r="K95" s="13" t="s">
        <v>25</v>
      </c>
      <c r="N95" s="13"/>
      <c r="S95" s="17">
        <v>44316</v>
      </c>
      <c r="T95" s="18">
        <v>2021</v>
      </c>
      <c r="V95" s="13" t="s">
        <v>29</v>
      </c>
      <c r="X95" s="14">
        <v>5</v>
      </c>
      <c r="Y95" s="14"/>
      <c r="Z95" s="14" t="s">
        <v>3835</v>
      </c>
      <c r="AA95" s="14" t="s">
        <v>3814</v>
      </c>
      <c r="AB95" s="14" t="s">
        <v>3884</v>
      </c>
      <c r="AC95" s="13" t="s">
        <v>1088</v>
      </c>
      <c r="AD95" s="13" t="s">
        <v>53</v>
      </c>
    </row>
    <row r="96" spans="1:30" hidden="1" x14ac:dyDescent="0.3">
      <c r="A96" s="13" t="s">
        <v>49</v>
      </c>
      <c r="B96" s="13" t="s">
        <v>2695</v>
      </c>
      <c r="C96" s="13" t="s">
        <v>2696</v>
      </c>
      <c r="D96" s="13" t="s">
        <v>2694</v>
      </c>
      <c r="E96" s="13" t="s">
        <v>2698</v>
      </c>
      <c r="F96" s="13" t="s">
        <v>2699</v>
      </c>
      <c r="G96" s="13" t="s">
        <v>2700</v>
      </c>
      <c r="H96" s="13" t="s">
        <v>2697</v>
      </c>
      <c r="I96" s="13" t="s">
        <v>191</v>
      </c>
      <c r="J96" s="13" t="s">
        <v>72</v>
      </c>
      <c r="K96" s="13" t="s">
        <v>25</v>
      </c>
      <c r="N96" s="13"/>
      <c r="S96" s="17">
        <v>44316</v>
      </c>
      <c r="T96" s="18">
        <v>2021</v>
      </c>
      <c r="V96" s="13" t="s">
        <v>708</v>
      </c>
      <c r="X96" s="14">
        <v>5</v>
      </c>
      <c r="Y96" s="14"/>
      <c r="Z96" s="14" t="s">
        <v>2148</v>
      </c>
      <c r="AA96" s="14"/>
      <c r="AB96" s="14"/>
      <c r="AC96" s="13"/>
      <c r="AD96" s="13" t="s">
        <v>53</v>
      </c>
    </row>
    <row r="97" spans="1:30" hidden="1" x14ac:dyDescent="0.3">
      <c r="A97" s="13" t="s">
        <v>22</v>
      </c>
      <c r="B97" s="13" t="s">
        <v>3027</v>
      </c>
      <c r="C97" s="13" t="s">
        <v>1387</v>
      </c>
      <c r="D97" s="13" t="s">
        <v>3026</v>
      </c>
      <c r="E97" s="13" t="s">
        <v>3031</v>
      </c>
      <c r="F97" s="13" t="s">
        <v>3030</v>
      </c>
      <c r="G97" s="13" t="s">
        <v>3032</v>
      </c>
      <c r="H97" s="13" t="s">
        <v>3028</v>
      </c>
      <c r="I97" s="13" t="s">
        <v>3029</v>
      </c>
      <c r="K97" s="13" t="s">
        <v>25</v>
      </c>
      <c r="N97" s="13"/>
      <c r="S97" s="17">
        <v>44318</v>
      </c>
      <c r="T97" s="18">
        <v>2021</v>
      </c>
      <c r="V97" s="13" t="s">
        <v>29</v>
      </c>
      <c r="X97" s="14">
        <v>5</v>
      </c>
      <c r="Y97" s="14"/>
      <c r="Z97" s="14" t="s">
        <v>3835</v>
      </c>
      <c r="AA97" s="14" t="s">
        <v>3813</v>
      </c>
      <c r="AB97" s="14" t="s">
        <v>3884</v>
      </c>
      <c r="AD97" s="13" t="s">
        <v>53</v>
      </c>
    </row>
    <row r="98" spans="1:30" ht="27.6" hidden="1" x14ac:dyDescent="0.3">
      <c r="A98" s="22" t="s">
        <v>22</v>
      </c>
      <c r="B98" s="22" t="s">
        <v>360</v>
      </c>
      <c r="C98" s="22" t="s">
        <v>361</v>
      </c>
      <c r="D98" s="22" t="s">
        <v>359</v>
      </c>
      <c r="E98" s="22" t="s">
        <v>365</v>
      </c>
      <c r="F98" s="22" t="s">
        <v>366</v>
      </c>
      <c r="G98" s="22" t="s">
        <v>367</v>
      </c>
      <c r="H98" s="22" t="s">
        <v>362</v>
      </c>
      <c r="I98" s="22" t="s">
        <v>363</v>
      </c>
      <c r="J98" s="22" t="s">
        <v>364</v>
      </c>
      <c r="K98" s="22" t="s">
        <v>25</v>
      </c>
      <c r="L98" s="21"/>
      <c r="M98" s="23"/>
      <c r="N98" s="22"/>
      <c r="O98" s="21"/>
      <c r="P98" s="21"/>
      <c r="Q98" s="21"/>
      <c r="R98" s="21"/>
      <c r="S98" s="24">
        <v>44326</v>
      </c>
      <c r="T98" s="18">
        <v>2021</v>
      </c>
      <c r="U98" s="21"/>
      <c r="V98" s="13" t="s">
        <v>29</v>
      </c>
      <c r="W98" s="21"/>
      <c r="X98" s="23">
        <v>10</v>
      </c>
      <c r="Y98" s="23"/>
      <c r="Z98" s="14" t="s">
        <v>3835</v>
      </c>
      <c r="AA98" s="23" t="s">
        <v>3871</v>
      </c>
      <c r="AB98" s="23" t="s">
        <v>3884</v>
      </c>
      <c r="AC98" s="22"/>
      <c r="AD98" s="22" t="s">
        <v>53</v>
      </c>
    </row>
    <row r="99" spans="1:30" hidden="1" x14ac:dyDescent="0.3">
      <c r="A99" s="13" t="s">
        <v>2039</v>
      </c>
      <c r="B99" s="13" t="s">
        <v>2037</v>
      </c>
      <c r="C99" s="13" t="s">
        <v>2038</v>
      </c>
      <c r="D99" s="13" t="s">
        <v>2036</v>
      </c>
      <c r="E99" s="13" t="s">
        <v>2043</v>
      </c>
      <c r="F99" s="13" t="s">
        <v>2042</v>
      </c>
      <c r="G99" s="13" t="s">
        <v>2044</v>
      </c>
      <c r="H99" s="13" t="s">
        <v>2040</v>
      </c>
      <c r="I99" s="13" t="s">
        <v>2041</v>
      </c>
      <c r="J99" s="13" t="s">
        <v>72</v>
      </c>
      <c r="K99" s="13" t="s">
        <v>25</v>
      </c>
      <c r="N99" s="13"/>
      <c r="S99" s="17">
        <v>44477</v>
      </c>
      <c r="T99" s="18">
        <v>2021</v>
      </c>
      <c r="V99" s="13" t="s">
        <v>29</v>
      </c>
      <c r="X99" s="14">
        <v>5</v>
      </c>
      <c r="Y99" s="14"/>
      <c r="Z99" s="14" t="s">
        <v>3835</v>
      </c>
      <c r="AA99" s="14" t="s">
        <v>3817</v>
      </c>
      <c r="AB99" s="14" t="s">
        <v>3884</v>
      </c>
      <c r="AD99" s="13" t="s">
        <v>53</v>
      </c>
    </row>
    <row r="100" spans="1:30" hidden="1" x14ac:dyDescent="0.3">
      <c r="A100" s="13" t="s">
        <v>22</v>
      </c>
      <c r="B100" s="13" t="s">
        <v>500</v>
      </c>
      <c r="C100" s="13" t="s">
        <v>509</v>
      </c>
      <c r="D100" s="13" t="s">
        <v>508</v>
      </c>
      <c r="E100" s="13" t="s">
        <v>513</v>
      </c>
      <c r="F100" s="13" t="s">
        <v>512</v>
      </c>
      <c r="H100" s="13" t="s">
        <v>510</v>
      </c>
      <c r="I100" s="13" t="s">
        <v>511</v>
      </c>
      <c r="J100" s="13" t="s">
        <v>52</v>
      </c>
      <c r="K100" s="13" t="s">
        <v>25</v>
      </c>
      <c r="N100" s="13"/>
      <c r="S100" s="17">
        <v>44478</v>
      </c>
      <c r="T100" s="18">
        <v>2021</v>
      </c>
      <c r="V100" s="13" t="s">
        <v>29</v>
      </c>
      <c r="X100" s="14">
        <v>5</v>
      </c>
      <c r="Y100" s="14"/>
      <c r="Z100" s="14" t="s">
        <v>3835</v>
      </c>
      <c r="AA100" s="14" t="s">
        <v>3817</v>
      </c>
      <c r="AB100" s="14" t="s">
        <v>3884</v>
      </c>
      <c r="AD100" s="13" t="s">
        <v>53</v>
      </c>
    </row>
    <row r="101" spans="1:30" hidden="1" x14ac:dyDescent="0.3">
      <c r="A101" s="13" t="s">
        <v>22</v>
      </c>
      <c r="B101" s="13" t="s">
        <v>1778</v>
      </c>
      <c r="C101" s="13" t="s">
        <v>523</v>
      </c>
      <c r="D101" s="13" t="s">
        <v>1777</v>
      </c>
      <c r="E101" s="13" t="s">
        <v>1781</v>
      </c>
      <c r="F101" s="13" t="s">
        <v>1780</v>
      </c>
      <c r="K101" s="13" t="s">
        <v>25</v>
      </c>
      <c r="N101" s="13"/>
      <c r="S101" s="17">
        <v>44478</v>
      </c>
      <c r="T101" s="18">
        <v>2021</v>
      </c>
      <c r="V101" s="13" t="s">
        <v>29</v>
      </c>
      <c r="X101" s="14">
        <v>5</v>
      </c>
      <c r="Y101" s="14"/>
      <c r="Z101" s="14" t="s">
        <v>3835</v>
      </c>
      <c r="AA101" s="14" t="s">
        <v>3817</v>
      </c>
      <c r="AB101" s="14" t="s">
        <v>3884</v>
      </c>
      <c r="AC101" s="13" t="s">
        <v>1779</v>
      </c>
      <c r="AD101" s="13" t="s">
        <v>53</v>
      </c>
    </row>
    <row r="102" spans="1:30" hidden="1" x14ac:dyDescent="0.3">
      <c r="A102" s="13" t="s">
        <v>22</v>
      </c>
      <c r="B102" s="13" t="s">
        <v>2788</v>
      </c>
      <c r="C102" s="13" t="s">
        <v>2794</v>
      </c>
      <c r="D102" s="13" t="s">
        <v>2793</v>
      </c>
      <c r="E102" s="13" t="s">
        <v>2797</v>
      </c>
      <c r="F102" s="13" t="s">
        <v>2796</v>
      </c>
      <c r="G102" s="13" t="s">
        <v>2798</v>
      </c>
      <c r="H102" s="13" t="s">
        <v>1936</v>
      </c>
      <c r="I102" s="13" t="s">
        <v>2795</v>
      </c>
      <c r="K102" s="13" t="s">
        <v>25</v>
      </c>
      <c r="N102" s="13"/>
      <c r="S102" s="17">
        <v>44478</v>
      </c>
      <c r="T102" s="18">
        <v>2021</v>
      </c>
      <c r="V102" s="13" t="s">
        <v>29</v>
      </c>
      <c r="X102" s="14">
        <v>5</v>
      </c>
      <c r="Y102" s="14"/>
      <c r="Z102" s="14" t="s">
        <v>3835</v>
      </c>
      <c r="AA102" s="14" t="s">
        <v>3817</v>
      </c>
      <c r="AB102" s="14" t="s">
        <v>3884</v>
      </c>
      <c r="AD102" s="13" t="s">
        <v>53</v>
      </c>
    </row>
    <row r="103" spans="1:30" hidden="1" x14ac:dyDescent="0.3">
      <c r="A103" s="13" t="s">
        <v>22</v>
      </c>
      <c r="B103" s="13" t="s">
        <v>2169</v>
      </c>
      <c r="C103" s="13" t="s">
        <v>2170</v>
      </c>
      <c r="D103" s="13" t="s">
        <v>2168</v>
      </c>
      <c r="E103" s="13" t="s">
        <v>2173</v>
      </c>
      <c r="F103" s="13" t="s">
        <v>2172</v>
      </c>
      <c r="G103" s="13" t="s">
        <v>2174</v>
      </c>
      <c r="K103" s="13" t="s">
        <v>25</v>
      </c>
      <c r="N103" s="13"/>
      <c r="S103" s="17">
        <v>44479</v>
      </c>
      <c r="T103" s="18">
        <v>2021</v>
      </c>
      <c r="V103" s="13" t="s">
        <v>29</v>
      </c>
      <c r="X103" s="14">
        <v>5</v>
      </c>
      <c r="Y103" s="14"/>
      <c r="Z103" s="14" t="s">
        <v>3835</v>
      </c>
      <c r="AA103" s="14" t="s">
        <v>3817</v>
      </c>
      <c r="AB103" s="14" t="s">
        <v>3884</v>
      </c>
      <c r="AC103" s="13" t="s">
        <v>2171</v>
      </c>
      <c r="AD103" s="13" t="s">
        <v>53</v>
      </c>
    </row>
    <row r="104" spans="1:30" hidden="1" x14ac:dyDescent="0.3">
      <c r="A104" s="13" t="s">
        <v>22</v>
      </c>
      <c r="B104" s="13" t="s">
        <v>2864</v>
      </c>
      <c r="C104" s="13" t="s">
        <v>494</v>
      </c>
      <c r="D104" s="13" t="s">
        <v>2863</v>
      </c>
      <c r="E104" s="13" t="s">
        <v>2867</v>
      </c>
      <c r="F104" s="13" t="s">
        <v>2868</v>
      </c>
      <c r="G104" s="13" t="s">
        <v>2869</v>
      </c>
      <c r="H104" s="13" t="s">
        <v>2865</v>
      </c>
      <c r="I104" s="13" t="s">
        <v>2866</v>
      </c>
      <c r="K104" s="13" t="s">
        <v>25</v>
      </c>
      <c r="N104" s="13"/>
      <c r="S104" s="17">
        <v>44479</v>
      </c>
      <c r="T104" s="18">
        <v>2021</v>
      </c>
      <c r="V104" s="13" t="s">
        <v>29</v>
      </c>
      <c r="X104" s="14">
        <v>5</v>
      </c>
      <c r="Y104" s="14"/>
      <c r="Z104" s="14" t="s">
        <v>3870</v>
      </c>
      <c r="AA104" s="14" t="s">
        <v>3806</v>
      </c>
      <c r="AB104" s="14" t="s">
        <v>3886</v>
      </c>
      <c r="AC104" s="13"/>
      <c r="AD104" s="13" t="s">
        <v>53</v>
      </c>
    </row>
    <row r="105" spans="1:30" hidden="1" x14ac:dyDescent="0.3">
      <c r="A105" s="13" t="s">
        <v>22</v>
      </c>
      <c r="B105" s="13" t="s">
        <v>2892</v>
      </c>
      <c r="C105" s="13" t="s">
        <v>2893</v>
      </c>
      <c r="D105" s="13" t="s">
        <v>2891</v>
      </c>
      <c r="E105" s="13" t="s">
        <v>2896</v>
      </c>
      <c r="F105" s="13" t="s">
        <v>2897</v>
      </c>
      <c r="G105" s="13" t="s">
        <v>2898</v>
      </c>
      <c r="H105" s="13" t="s">
        <v>2894</v>
      </c>
      <c r="I105" s="13" t="s">
        <v>2895</v>
      </c>
      <c r="K105" s="13" t="s">
        <v>25</v>
      </c>
      <c r="N105" s="13"/>
      <c r="S105" s="17">
        <v>44479</v>
      </c>
      <c r="T105" s="18">
        <v>2021</v>
      </c>
      <c r="V105" s="13" t="s">
        <v>29</v>
      </c>
      <c r="X105" s="14">
        <v>5</v>
      </c>
      <c r="Y105" s="14"/>
      <c r="Z105" s="14" t="s">
        <v>3835</v>
      </c>
      <c r="AA105" s="14" t="s">
        <v>3817</v>
      </c>
      <c r="AB105" s="14" t="s">
        <v>3884</v>
      </c>
      <c r="AC105" s="13"/>
      <c r="AD105" s="13" t="s">
        <v>53</v>
      </c>
    </row>
    <row r="106" spans="1:30" hidden="1" x14ac:dyDescent="0.3">
      <c r="A106" s="13" t="s">
        <v>49</v>
      </c>
      <c r="B106" s="13" t="s">
        <v>188</v>
      </c>
      <c r="C106" s="13" t="s">
        <v>189</v>
      </c>
      <c r="D106" s="13" t="s">
        <v>187</v>
      </c>
      <c r="E106" s="13" t="s">
        <v>193</v>
      </c>
      <c r="F106" s="13" t="s">
        <v>192</v>
      </c>
      <c r="G106" s="13" t="s">
        <v>194</v>
      </c>
      <c r="H106" s="13" t="s">
        <v>190</v>
      </c>
      <c r="I106" s="13" t="s">
        <v>191</v>
      </c>
      <c r="J106" s="13" t="s">
        <v>52</v>
      </c>
      <c r="K106" s="13" t="s">
        <v>25</v>
      </c>
      <c r="N106" s="13"/>
      <c r="S106" s="17">
        <v>44479</v>
      </c>
      <c r="T106" s="18">
        <v>2021</v>
      </c>
      <c r="V106" s="13" t="s">
        <v>29</v>
      </c>
      <c r="X106" s="14">
        <v>10</v>
      </c>
      <c r="Y106" s="14"/>
      <c r="Z106" s="14" t="s">
        <v>3828</v>
      </c>
      <c r="AA106" s="14" t="s">
        <v>3816</v>
      </c>
      <c r="AB106" s="14" t="s">
        <v>3885</v>
      </c>
      <c r="AD106" s="13" t="s">
        <v>53</v>
      </c>
    </row>
    <row r="107" spans="1:30" hidden="1" x14ac:dyDescent="0.3">
      <c r="A107" s="13" t="s">
        <v>22</v>
      </c>
      <c r="B107" s="13" t="s">
        <v>703</v>
      </c>
      <c r="C107" s="13" t="s">
        <v>354</v>
      </c>
      <c r="D107" s="13" t="s">
        <v>709</v>
      </c>
      <c r="E107" s="13" t="s">
        <v>713</v>
      </c>
      <c r="F107" s="13" t="s">
        <v>712</v>
      </c>
      <c r="G107" s="13" t="s">
        <v>714</v>
      </c>
      <c r="H107" s="13" t="s">
        <v>710</v>
      </c>
      <c r="I107" s="13" t="s">
        <v>711</v>
      </c>
      <c r="J107" s="13" t="s">
        <v>52</v>
      </c>
      <c r="K107" s="13" t="s">
        <v>25</v>
      </c>
      <c r="N107" s="13"/>
      <c r="S107" s="17">
        <v>44480</v>
      </c>
      <c r="T107" s="18">
        <v>2021</v>
      </c>
      <c r="V107" s="13" t="s">
        <v>29</v>
      </c>
      <c r="X107" s="14">
        <v>5</v>
      </c>
      <c r="Y107" s="14"/>
      <c r="Z107" s="14" t="s">
        <v>3835</v>
      </c>
      <c r="AA107" s="14" t="s">
        <v>3813</v>
      </c>
      <c r="AB107" s="14" t="s">
        <v>3884</v>
      </c>
      <c r="AD107" s="13" t="s">
        <v>53</v>
      </c>
    </row>
    <row r="108" spans="1:30" hidden="1" x14ac:dyDescent="0.3">
      <c r="A108" s="13" t="s">
        <v>22</v>
      </c>
      <c r="B108" s="13" t="s">
        <v>3251</v>
      </c>
      <c r="C108" s="13" t="s">
        <v>3252</v>
      </c>
      <c r="D108" s="13" t="s">
        <v>3250</v>
      </c>
      <c r="E108" s="13" t="s">
        <v>3256</v>
      </c>
      <c r="F108" s="13" t="s">
        <v>3255</v>
      </c>
      <c r="G108" s="13" t="s">
        <v>3257</v>
      </c>
      <c r="H108" s="13" t="s">
        <v>3253</v>
      </c>
      <c r="I108" s="13" t="s">
        <v>3254</v>
      </c>
      <c r="K108" s="13" t="s">
        <v>25</v>
      </c>
      <c r="N108" s="13"/>
      <c r="S108" s="17">
        <v>44480</v>
      </c>
      <c r="T108" s="18">
        <v>2021</v>
      </c>
      <c r="V108" s="13" t="s">
        <v>29</v>
      </c>
      <c r="X108" s="14">
        <v>5</v>
      </c>
      <c r="Y108" s="14"/>
      <c r="Z108" s="14" t="s">
        <v>2148</v>
      </c>
      <c r="AA108" s="14" t="s">
        <v>3826</v>
      </c>
      <c r="AB108" s="14" t="s">
        <v>3891</v>
      </c>
      <c r="AD108" s="13" t="s">
        <v>53</v>
      </c>
    </row>
    <row r="109" spans="1:30" hidden="1" x14ac:dyDescent="0.3">
      <c r="A109" s="13" t="s">
        <v>22</v>
      </c>
      <c r="B109" s="13" t="s">
        <v>3578</v>
      </c>
      <c r="C109" s="13" t="s">
        <v>3579</v>
      </c>
      <c r="D109" s="13" t="s">
        <v>3577</v>
      </c>
      <c r="E109" s="13" t="s">
        <v>3581</v>
      </c>
      <c r="F109" s="13" t="s">
        <v>3580</v>
      </c>
      <c r="G109" s="13" t="s">
        <v>3582</v>
      </c>
      <c r="H109" s="13" t="s">
        <v>3868</v>
      </c>
      <c r="K109" s="13" t="s">
        <v>25</v>
      </c>
      <c r="N109" s="13"/>
      <c r="S109" s="17">
        <v>44480</v>
      </c>
      <c r="T109" s="18">
        <v>2021</v>
      </c>
      <c r="V109" s="13" t="s">
        <v>29</v>
      </c>
      <c r="X109" s="14">
        <v>5</v>
      </c>
      <c r="Y109" s="14"/>
      <c r="Z109" s="14" t="s">
        <v>2148</v>
      </c>
      <c r="AA109" s="14" t="s">
        <v>3818</v>
      </c>
      <c r="AB109" s="14" t="s">
        <v>3890</v>
      </c>
      <c r="AD109" s="13" t="s">
        <v>53</v>
      </c>
    </row>
    <row r="110" spans="1:30" hidden="1" x14ac:dyDescent="0.3">
      <c r="A110" s="13" t="s">
        <v>100</v>
      </c>
      <c r="B110" s="13" t="s">
        <v>3419</v>
      </c>
      <c r="C110" s="13" t="s">
        <v>1989</v>
      </c>
      <c r="D110" s="13" t="s">
        <v>3418</v>
      </c>
      <c r="E110" s="13" t="s">
        <v>3422</v>
      </c>
      <c r="F110" s="13" t="s">
        <v>3423</v>
      </c>
      <c r="G110" s="13" t="s">
        <v>3424</v>
      </c>
      <c r="H110" s="13" t="s">
        <v>3420</v>
      </c>
      <c r="I110" s="13" t="s">
        <v>3421</v>
      </c>
      <c r="K110" s="13" t="s">
        <v>25</v>
      </c>
      <c r="N110" s="13"/>
      <c r="S110" s="17">
        <v>44480</v>
      </c>
      <c r="T110" s="18">
        <v>2021</v>
      </c>
      <c r="V110" s="13" t="s">
        <v>29</v>
      </c>
      <c r="X110" s="14">
        <v>5</v>
      </c>
      <c r="Y110" s="14"/>
      <c r="Z110" s="14" t="s">
        <v>3828</v>
      </c>
      <c r="AA110" s="14" t="s">
        <v>3819</v>
      </c>
      <c r="AB110" s="14" t="s">
        <v>3888</v>
      </c>
      <c r="AC110" s="13"/>
      <c r="AD110" s="13" t="s">
        <v>53</v>
      </c>
    </row>
    <row r="111" spans="1:30" hidden="1" x14ac:dyDescent="0.3">
      <c r="A111" s="13" t="s">
        <v>22</v>
      </c>
      <c r="B111" s="13" t="s">
        <v>369</v>
      </c>
      <c r="C111" s="13" t="s">
        <v>370</v>
      </c>
      <c r="D111" s="13" t="s">
        <v>368</v>
      </c>
      <c r="E111" s="13" t="s">
        <v>374</v>
      </c>
      <c r="F111" s="13" t="s">
        <v>373</v>
      </c>
      <c r="G111" s="13" t="s">
        <v>375</v>
      </c>
      <c r="H111" s="13" t="s">
        <v>371</v>
      </c>
      <c r="J111" s="13" t="s">
        <v>372</v>
      </c>
      <c r="K111" s="13" t="s">
        <v>25</v>
      </c>
      <c r="N111" s="13"/>
      <c r="S111" s="17">
        <v>44481</v>
      </c>
      <c r="T111" s="18"/>
      <c r="V111" s="13" t="s">
        <v>376</v>
      </c>
      <c r="W111" s="13" t="s">
        <v>377</v>
      </c>
      <c r="X111" s="14">
        <v>5</v>
      </c>
      <c r="Y111" s="14"/>
      <c r="Z111" s="14"/>
      <c r="AA111" s="14"/>
      <c r="AB111" s="14"/>
      <c r="AD111" s="13" t="s">
        <v>53</v>
      </c>
    </row>
    <row r="112" spans="1:30" hidden="1" x14ac:dyDescent="0.3">
      <c r="A112" s="13" t="s">
        <v>22</v>
      </c>
      <c r="B112" s="13" t="s">
        <v>1351</v>
      </c>
      <c r="C112" s="13" t="s">
        <v>1352</v>
      </c>
      <c r="D112" s="13" t="s">
        <v>1350</v>
      </c>
      <c r="E112" s="13" t="s">
        <v>1357</v>
      </c>
      <c r="F112" s="13" t="s">
        <v>1356</v>
      </c>
      <c r="G112" s="13" t="s">
        <v>1358</v>
      </c>
      <c r="H112" s="13" t="s">
        <v>1353</v>
      </c>
      <c r="I112" s="13" t="s">
        <v>1354</v>
      </c>
      <c r="J112" s="13" t="s">
        <v>1355</v>
      </c>
      <c r="K112" s="13" t="s">
        <v>25</v>
      </c>
      <c r="N112" s="13"/>
      <c r="S112" s="17">
        <v>44481</v>
      </c>
      <c r="T112" s="18">
        <v>2021</v>
      </c>
      <c r="V112" s="13" t="s">
        <v>29</v>
      </c>
      <c r="X112" s="14">
        <v>5</v>
      </c>
      <c r="Y112" s="14"/>
      <c r="Z112" s="14" t="s">
        <v>3835</v>
      </c>
      <c r="AA112" s="14" t="s">
        <v>3814</v>
      </c>
      <c r="AB112" s="14" t="s">
        <v>3884</v>
      </c>
      <c r="AD112" s="13" t="s">
        <v>53</v>
      </c>
    </row>
    <row r="113" spans="1:30" hidden="1" x14ac:dyDescent="0.3">
      <c r="A113" s="13" t="s">
        <v>22</v>
      </c>
      <c r="B113" s="13" t="s">
        <v>3706</v>
      </c>
      <c r="C113" s="13" t="s">
        <v>3707</v>
      </c>
      <c r="D113" s="13" t="s">
        <v>3705</v>
      </c>
      <c r="E113" s="13" t="s">
        <v>3709</v>
      </c>
      <c r="F113" s="13" t="s">
        <v>3708</v>
      </c>
      <c r="K113" s="13" t="s">
        <v>25</v>
      </c>
      <c r="N113" s="13"/>
      <c r="S113" s="17">
        <v>44481</v>
      </c>
      <c r="T113" s="18">
        <v>2021</v>
      </c>
      <c r="V113" s="13" t="s">
        <v>29</v>
      </c>
      <c r="X113" s="14">
        <v>5</v>
      </c>
      <c r="Y113" s="14"/>
      <c r="Z113" s="14" t="s">
        <v>2148</v>
      </c>
      <c r="AA113" s="14" t="s">
        <v>3818</v>
      </c>
      <c r="AB113" s="14" t="s">
        <v>3890</v>
      </c>
      <c r="AD113" s="13" t="s">
        <v>53</v>
      </c>
    </row>
    <row r="114" spans="1:30" hidden="1" x14ac:dyDescent="0.3">
      <c r="A114" s="13" t="s">
        <v>22</v>
      </c>
      <c r="B114" s="13" t="s">
        <v>1875</v>
      </c>
      <c r="C114" s="13" t="s">
        <v>762</v>
      </c>
      <c r="D114" s="13" t="s">
        <v>1874</v>
      </c>
      <c r="E114" s="13" t="s">
        <v>1877</v>
      </c>
      <c r="F114" s="13" t="s">
        <v>1876</v>
      </c>
      <c r="G114" s="13" t="s">
        <v>1878</v>
      </c>
      <c r="H114" s="13" t="s">
        <v>756</v>
      </c>
      <c r="I114" s="13" t="s">
        <v>191</v>
      </c>
      <c r="K114" s="13" t="s">
        <v>25</v>
      </c>
      <c r="L114" s="13" t="s">
        <v>1879</v>
      </c>
      <c r="M114" s="14" t="s">
        <v>141</v>
      </c>
      <c r="N114" s="13"/>
      <c r="O114" s="13" t="s">
        <v>31</v>
      </c>
      <c r="P114" s="13"/>
      <c r="Q114" s="13"/>
      <c r="R114" s="13"/>
      <c r="S114" s="17">
        <v>44482</v>
      </c>
      <c r="T114" s="18">
        <v>2021</v>
      </c>
      <c r="V114" s="13" t="s">
        <v>29</v>
      </c>
      <c r="X114" s="14" t="s">
        <v>7276</v>
      </c>
      <c r="Y114" s="14"/>
      <c r="Z114" s="14" t="s">
        <v>2148</v>
      </c>
      <c r="AA114" s="14" t="s">
        <v>3832</v>
      </c>
      <c r="AB114" s="14" t="s">
        <v>3889</v>
      </c>
      <c r="AD114" s="13" t="s">
        <v>53</v>
      </c>
    </row>
    <row r="115" spans="1:30" hidden="1" x14ac:dyDescent="0.3">
      <c r="A115" s="13" t="s">
        <v>22</v>
      </c>
      <c r="B115" s="13" t="s">
        <v>2015</v>
      </c>
      <c r="C115" s="13" t="s">
        <v>2016</v>
      </c>
      <c r="D115" s="13" t="s">
        <v>2014</v>
      </c>
      <c r="E115" s="13" t="s">
        <v>2020</v>
      </c>
      <c r="F115" s="13" t="s">
        <v>2019</v>
      </c>
      <c r="G115" s="13" t="s">
        <v>2021</v>
      </c>
      <c r="H115" s="13" t="s">
        <v>2017</v>
      </c>
      <c r="I115" s="13" t="s">
        <v>2018</v>
      </c>
      <c r="K115" s="13" t="s">
        <v>25</v>
      </c>
      <c r="N115" s="13"/>
      <c r="S115" s="17">
        <v>44482</v>
      </c>
      <c r="T115" s="18">
        <v>2021</v>
      </c>
      <c r="V115" s="13" t="s">
        <v>29</v>
      </c>
      <c r="X115" s="14">
        <v>5</v>
      </c>
      <c r="Y115" s="14"/>
      <c r="Z115" s="14" t="s">
        <v>3835</v>
      </c>
      <c r="AA115" s="14" t="s">
        <v>3814</v>
      </c>
      <c r="AB115" s="14" t="s">
        <v>3884</v>
      </c>
      <c r="AD115" s="13" t="s">
        <v>764</v>
      </c>
    </row>
    <row r="116" spans="1:30" s="25" customFormat="1" hidden="1" x14ac:dyDescent="0.3">
      <c r="A116" s="13" t="s">
        <v>22</v>
      </c>
      <c r="B116" s="13" t="s">
        <v>2501</v>
      </c>
      <c r="C116" s="13" t="s">
        <v>397</v>
      </c>
      <c r="D116" s="13" t="s">
        <v>2500</v>
      </c>
      <c r="E116" s="13" t="s">
        <v>2504</v>
      </c>
      <c r="F116" s="13" t="s">
        <v>2505</v>
      </c>
      <c r="G116" s="13" t="s">
        <v>2506</v>
      </c>
      <c r="H116" s="13" t="s">
        <v>2502</v>
      </c>
      <c r="I116" s="13" t="s">
        <v>2503</v>
      </c>
      <c r="J116" s="12"/>
      <c r="K116" s="13" t="s">
        <v>25</v>
      </c>
      <c r="L116" s="12"/>
      <c r="M116" s="14"/>
      <c r="N116" s="13"/>
      <c r="O116" s="12"/>
      <c r="P116" s="12"/>
      <c r="Q116" s="12"/>
      <c r="R116" s="12"/>
      <c r="S116" s="17">
        <v>44482</v>
      </c>
      <c r="T116" s="18">
        <v>2021</v>
      </c>
      <c r="U116" s="12"/>
      <c r="V116" s="13" t="s">
        <v>29</v>
      </c>
      <c r="W116" s="12"/>
      <c r="X116" s="14">
        <v>5</v>
      </c>
      <c r="Y116" s="14"/>
      <c r="Z116" s="14" t="s">
        <v>3835</v>
      </c>
      <c r="AA116" s="14" t="s">
        <v>3814</v>
      </c>
      <c r="AB116" s="14" t="s">
        <v>3884</v>
      </c>
      <c r="AC116" s="13"/>
      <c r="AD116" s="13" t="s">
        <v>53</v>
      </c>
    </row>
    <row r="117" spans="1:30" hidden="1" x14ac:dyDescent="0.3">
      <c r="A117" s="13" t="s">
        <v>22</v>
      </c>
      <c r="B117" s="13" t="s">
        <v>3330</v>
      </c>
      <c r="C117" s="13" t="s">
        <v>3331</v>
      </c>
      <c r="D117" s="13" t="s">
        <v>3329</v>
      </c>
      <c r="E117" s="13" t="s">
        <v>3335</v>
      </c>
      <c r="F117" s="13" t="s">
        <v>3334</v>
      </c>
      <c r="G117" s="13" t="s">
        <v>3336</v>
      </c>
      <c r="H117" s="13" t="s">
        <v>3332</v>
      </c>
      <c r="I117" s="13" t="s">
        <v>3333</v>
      </c>
      <c r="K117" s="13" t="s">
        <v>25</v>
      </c>
      <c r="N117" s="13"/>
      <c r="S117" s="17">
        <v>44482</v>
      </c>
      <c r="T117" s="18">
        <v>2021</v>
      </c>
      <c r="V117" s="13" t="s">
        <v>29</v>
      </c>
      <c r="X117" s="14">
        <v>5</v>
      </c>
      <c r="Y117" s="14"/>
      <c r="Z117" s="14" t="s">
        <v>3870</v>
      </c>
      <c r="AA117" s="14" t="s">
        <v>3806</v>
      </c>
      <c r="AB117" s="14" t="s">
        <v>3886</v>
      </c>
      <c r="AD117" s="13" t="s">
        <v>53</v>
      </c>
    </row>
    <row r="118" spans="1:30" hidden="1" x14ac:dyDescent="0.3">
      <c r="A118" s="13" t="s">
        <v>22</v>
      </c>
      <c r="B118" s="13" t="s">
        <v>3338</v>
      </c>
      <c r="C118" s="13" t="s">
        <v>3339</v>
      </c>
      <c r="D118" s="13" t="s">
        <v>3337</v>
      </c>
      <c r="E118" s="13" t="s">
        <v>3343</v>
      </c>
      <c r="F118" s="13" t="s">
        <v>3342</v>
      </c>
      <c r="G118" s="13" t="s">
        <v>3344</v>
      </c>
      <c r="H118" s="13" t="s">
        <v>3340</v>
      </c>
      <c r="I118" s="13" t="s">
        <v>3341</v>
      </c>
      <c r="K118" s="13" t="s">
        <v>25</v>
      </c>
      <c r="N118" s="13"/>
      <c r="S118" s="17">
        <v>44482</v>
      </c>
      <c r="T118" s="18">
        <v>2021</v>
      </c>
      <c r="V118" s="13" t="s">
        <v>29</v>
      </c>
      <c r="X118" s="14">
        <v>5</v>
      </c>
      <c r="Y118" s="14"/>
      <c r="Z118" s="14" t="s">
        <v>3835</v>
      </c>
      <c r="AA118" s="14" t="s">
        <v>3814</v>
      </c>
      <c r="AB118" s="14" t="s">
        <v>3884</v>
      </c>
      <c r="AD118" s="13" t="s">
        <v>53</v>
      </c>
    </row>
    <row r="119" spans="1:30" hidden="1" x14ac:dyDescent="0.3">
      <c r="A119" s="13" t="s">
        <v>22</v>
      </c>
      <c r="B119" s="13" t="s">
        <v>3384</v>
      </c>
      <c r="C119" s="13" t="s">
        <v>3390</v>
      </c>
      <c r="D119" s="13" t="s">
        <v>3389</v>
      </c>
      <c r="E119" s="13" t="s">
        <v>3392</v>
      </c>
      <c r="F119" s="13" t="s">
        <v>3393</v>
      </c>
      <c r="G119" s="13" t="s">
        <v>3394</v>
      </c>
      <c r="H119" s="13" t="s">
        <v>371</v>
      </c>
      <c r="I119" s="13" t="s">
        <v>3391</v>
      </c>
      <c r="K119" s="13" t="s">
        <v>25</v>
      </c>
      <c r="N119" s="13"/>
      <c r="S119" s="17">
        <v>44482</v>
      </c>
      <c r="T119" s="18">
        <v>2021</v>
      </c>
      <c r="U119" s="13" t="s">
        <v>45</v>
      </c>
      <c r="V119" s="13" t="s">
        <v>29</v>
      </c>
      <c r="X119" s="14">
        <v>5</v>
      </c>
      <c r="Y119" s="14"/>
      <c r="Z119" s="14" t="s">
        <v>3835</v>
      </c>
      <c r="AA119" s="14" t="s">
        <v>3874</v>
      </c>
      <c r="AB119" s="14" t="s">
        <v>3884</v>
      </c>
      <c r="AC119" s="13"/>
      <c r="AD119" s="13" t="s">
        <v>764</v>
      </c>
    </row>
    <row r="120" spans="1:30" hidden="1" x14ac:dyDescent="0.3">
      <c r="A120" s="13" t="s">
        <v>22</v>
      </c>
      <c r="B120" s="13" t="s">
        <v>3426</v>
      </c>
      <c r="C120" s="13" t="s">
        <v>3427</v>
      </c>
      <c r="D120" s="13" t="s">
        <v>3425</v>
      </c>
      <c r="E120" s="13" t="s">
        <v>3429</v>
      </c>
      <c r="F120" s="13" t="s">
        <v>3430</v>
      </c>
      <c r="N120" s="13"/>
      <c r="S120" s="17">
        <v>44482</v>
      </c>
      <c r="T120" s="18"/>
      <c r="V120" s="13" t="s">
        <v>376</v>
      </c>
      <c r="W120" s="13" t="s">
        <v>2028</v>
      </c>
      <c r="X120" s="14">
        <v>5</v>
      </c>
      <c r="Y120" s="14"/>
      <c r="Z120" s="14"/>
      <c r="AA120" s="14"/>
      <c r="AB120" s="14"/>
      <c r="AC120" s="13"/>
      <c r="AD120" s="13" t="s">
        <v>3428</v>
      </c>
    </row>
    <row r="121" spans="1:30" hidden="1" x14ac:dyDescent="0.3">
      <c r="A121" s="13" t="s">
        <v>22</v>
      </c>
      <c r="B121" s="13" t="s">
        <v>3492</v>
      </c>
      <c r="C121" s="13" t="s">
        <v>938</v>
      </c>
      <c r="D121" s="13" t="s">
        <v>3491</v>
      </c>
      <c r="E121" s="13" t="s">
        <v>3496</v>
      </c>
      <c r="F121" s="13" t="s">
        <v>3495</v>
      </c>
      <c r="G121" s="13" t="s">
        <v>3497</v>
      </c>
      <c r="H121" s="13" t="s">
        <v>3493</v>
      </c>
      <c r="I121" s="13" t="s">
        <v>3494</v>
      </c>
      <c r="N121" s="13"/>
      <c r="S121" s="17">
        <v>44482</v>
      </c>
      <c r="T121" s="18">
        <v>2021</v>
      </c>
      <c r="V121" s="13" t="s">
        <v>29</v>
      </c>
      <c r="W121" s="13" t="s">
        <v>251</v>
      </c>
      <c r="X121" s="14">
        <v>5</v>
      </c>
      <c r="Y121" s="14"/>
      <c r="Z121" s="14" t="s">
        <v>3828</v>
      </c>
      <c r="AA121" s="14" t="s">
        <v>3877</v>
      </c>
      <c r="AB121" s="14" t="s">
        <v>3888</v>
      </c>
      <c r="AD121" s="13" t="s">
        <v>53</v>
      </c>
    </row>
    <row r="122" spans="1:30" hidden="1" x14ac:dyDescent="0.3">
      <c r="A122" s="13" t="s">
        <v>22</v>
      </c>
      <c r="B122" s="13" t="s">
        <v>3609</v>
      </c>
      <c r="C122" s="13" t="s">
        <v>1463</v>
      </c>
      <c r="D122" s="13" t="s">
        <v>3608</v>
      </c>
      <c r="E122" s="13" t="s">
        <v>3613</v>
      </c>
      <c r="F122" s="13" t="s">
        <v>3612</v>
      </c>
      <c r="G122" s="13" t="s">
        <v>3614</v>
      </c>
      <c r="H122" s="13" t="s">
        <v>3610</v>
      </c>
      <c r="I122" s="13" t="s">
        <v>3611</v>
      </c>
      <c r="J122" s="13" t="s">
        <v>52</v>
      </c>
      <c r="K122" s="13" t="s">
        <v>25</v>
      </c>
      <c r="N122" s="13"/>
      <c r="S122" s="17">
        <v>44482</v>
      </c>
      <c r="T122" s="18">
        <v>2021</v>
      </c>
      <c r="V122" s="13" t="s">
        <v>29</v>
      </c>
      <c r="X122" s="14">
        <v>5</v>
      </c>
      <c r="Y122" s="14"/>
      <c r="Z122" s="14" t="s">
        <v>3835</v>
      </c>
      <c r="AA122" s="14" t="s">
        <v>3814</v>
      </c>
      <c r="AB122" s="14" t="s">
        <v>3884</v>
      </c>
      <c r="AD122" s="13" t="s">
        <v>53</v>
      </c>
    </row>
    <row r="123" spans="1:30" hidden="1" x14ac:dyDescent="0.3">
      <c r="A123" s="13" t="s">
        <v>22</v>
      </c>
      <c r="B123" s="13" t="s">
        <v>3745</v>
      </c>
      <c r="C123" s="13" t="s">
        <v>523</v>
      </c>
      <c r="D123" s="13" t="s">
        <v>3744</v>
      </c>
      <c r="E123" s="13" t="s">
        <v>3749</v>
      </c>
      <c r="F123" s="13" t="s">
        <v>3748</v>
      </c>
      <c r="G123" s="13" t="s">
        <v>3750</v>
      </c>
      <c r="H123" s="13" t="s">
        <v>3746</v>
      </c>
      <c r="I123" s="13" t="s">
        <v>3747</v>
      </c>
      <c r="J123" s="13" t="s">
        <v>2603</v>
      </c>
      <c r="K123" s="13" t="s">
        <v>25</v>
      </c>
      <c r="N123" s="13"/>
      <c r="S123" s="17">
        <v>44482</v>
      </c>
      <c r="T123" s="18">
        <v>2021</v>
      </c>
      <c r="V123" s="13" t="s">
        <v>29</v>
      </c>
      <c r="X123" s="14">
        <v>5</v>
      </c>
      <c r="Y123" s="14"/>
      <c r="Z123" s="14" t="s">
        <v>3835</v>
      </c>
      <c r="AA123" s="14" t="s">
        <v>3813</v>
      </c>
      <c r="AB123" s="14" t="s">
        <v>3884</v>
      </c>
      <c r="AD123" s="13" t="s">
        <v>53</v>
      </c>
    </row>
    <row r="124" spans="1:30" hidden="1" x14ac:dyDescent="0.3">
      <c r="A124" s="13" t="s">
        <v>100</v>
      </c>
      <c r="B124" s="13" t="s">
        <v>2150</v>
      </c>
      <c r="C124" s="13" t="s">
        <v>523</v>
      </c>
      <c r="D124" s="13" t="s">
        <v>2149</v>
      </c>
      <c r="E124" s="13" t="s">
        <v>2153</v>
      </c>
      <c r="F124" s="13" t="s">
        <v>2152</v>
      </c>
      <c r="G124" s="13" t="s">
        <v>2154</v>
      </c>
      <c r="H124" s="13" t="s">
        <v>1709</v>
      </c>
      <c r="I124" s="13" t="s">
        <v>2151</v>
      </c>
      <c r="K124" s="13" t="s">
        <v>25</v>
      </c>
      <c r="N124" s="13"/>
      <c r="S124" s="17">
        <v>44482</v>
      </c>
      <c r="T124" s="18">
        <v>2021</v>
      </c>
      <c r="V124" s="13" t="s">
        <v>29</v>
      </c>
      <c r="X124" s="14">
        <v>5</v>
      </c>
      <c r="Y124" s="14"/>
      <c r="Z124" s="14" t="s">
        <v>3828</v>
      </c>
      <c r="AA124" s="14" t="s">
        <v>3807</v>
      </c>
      <c r="AB124" s="14" t="s">
        <v>3888</v>
      </c>
      <c r="AD124" s="13" t="s">
        <v>53</v>
      </c>
    </row>
    <row r="125" spans="1:30" ht="27.6" hidden="1" x14ac:dyDescent="0.3">
      <c r="A125" s="13" t="s">
        <v>100</v>
      </c>
      <c r="B125" s="13" t="s">
        <v>2495</v>
      </c>
      <c r="C125" s="13" t="s">
        <v>157</v>
      </c>
      <c r="D125" s="13" t="s">
        <v>2494</v>
      </c>
      <c r="E125" s="13" t="s">
        <v>2497</v>
      </c>
      <c r="F125" s="13" t="s">
        <v>2498</v>
      </c>
      <c r="G125" s="13" t="s">
        <v>2499</v>
      </c>
      <c r="H125" s="13" t="s">
        <v>2496</v>
      </c>
      <c r="J125" s="13" t="s">
        <v>52</v>
      </c>
      <c r="K125" s="13" t="s">
        <v>25</v>
      </c>
      <c r="N125" s="13"/>
      <c r="S125" s="17">
        <v>44482</v>
      </c>
      <c r="T125" s="18">
        <v>2021</v>
      </c>
      <c r="V125" s="13" t="s">
        <v>29</v>
      </c>
      <c r="X125" s="14">
        <v>5</v>
      </c>
      <c r="Y125" s="14"/>
      <c r="Z125" s="14" t="s">
        <v>3828</v>
      </c>
      <c r="AA125" s="14" t="s">
        <v>3822</v>
      </c>
      <c r="AB125" s="14" t="s">
        <v>3887</v>
      </c>
      <c r="AC125" s="13"/>
      <c r="AD125" s="13" t="s">
        <v>53</v>
      </c>
    </row>
    <row r="126" spans="1:30" hidden="1" x14ac:dyDescent="0.3">
      <c r="A126" s="13" t="s">
        <v>100</v>
      </c>
      <c r="B126" s="13" t="s">
        <v>3021</v>
      </c>
      <c r="C126" s="13" t="s">
        <v>1867</v>
      </c>
      <c r="D126" s="13" t="s">
        <v>3020</v>
      </c>
      <c r="E126" s="13" t="s">
        <v>3024</v>
      </c>
      <c r="F126" s="13" t="s">
        <v>3023</v>
      </c>
      <c r="G126" s="13" t="s">
        <v>3025</v>
      </c>
      <c r="H126" s="13" t="s">
        <v>1709</v>
      </c>
      <c r="I126" s="13" t="s">
        <v>3022</v>
      </c>
      <c r="K126" s="13" t="s">
        <v>25</v>
      </c>
      <c r="N126" s="13"/>
      <c r="S126" s="17">
        <v>44482</v>
      </c>
      <c r="T126" s="18">
        <v>2021</v>
      </c>
      <c r="V126" s="13" t="s">
        <v>29</v>
      </c>
      <c r="X126" s="14">
        <v>5</v>
      </c>
      <c r="Y126" s="14"/>
      <c r="Z126" s="14" t="s">
        <v>3828</v>
      </c>
      <c r="AA126" s="14" t="s">
        <v>3807</v>
      </c>
      <c r="AB126" s="14" t="s">
        <v>3888</v>
      </c>
      <c r="AD126" s="13" t="s">
        <v>53</v>
      </c>
    </row>
    <row r="127" spans="1:30" hidden="1" x14ac:dyDescent="0.3">
      <c r="A127" s="13" t="s">
        <v>100</v>
      </c>
      <c r="B127" s="13" t="s">
        <v>3077</v>
      </c>
      <c r="C127" s="13" t="s">
        <v>157</v>
      </c>
      <c r="D127" s="13" t="s">
        <v>3076</v>
      </c>
      <c r="E127" s="13" t="s">
        <v>3081</v>
      </c>
      <c r="F127" s="13" t="s">
        <v>3080</v>
      </c>
      <c r="G127" s="13" t="s">
        <v>3082</v>
      </c>
      <c r="H127" s="13" t="s">
        <v>3078</v>
      </c>
      <c r="I127" s="13" t="s">
        <v>3079</v>
      </c>
      <c r="K127" s="13" t="s">
        <v>25</v>
      </c>
      <c r="N127" s="13"/>
      <c r="S127" s="17">
        <v>44482</v>
      </c>
      <c r="T127" s="18">
        <v>2021</v>
      </c>
      <c r="V127" s="13" t="s">
        <v>29</v>
      </c>
      <c r="X127" s="14">
        <v>5</v>
      </c>
      <c r="Y127" s="14"/>
      <c r="Z127" s="14" t="s">
        <v>3828</v>
      </c>
      <c r="AA127" s="14" t="s">
        <v>3809</v>
      </c>
      <c r="AB127" s="14" t="s">
        <v>3888</v>
      </c>
      <c r="AD127" s="13" t="s">
        <v>53</v>
      </c>
    </row>
    <row r="128" spans="1:30" ht="27.6" hidden="1" x14ac:dyDescent="0.3">
      <c r="A128" s="13" t="s">
        <v>22</v>
      </c>
      <c r="B128" s="13" t="s">
        <v>1891</v>
      </c>
      <c r="C128" s="13" t="s">
        <v>1892</v>
      </c>
      <c r="D128" s="13" t="s">
        <v>1890</v>
      </c>
      <c r="E128" s="13" t="s">
        <v>1895</v>
      </c>
      <c r="F128" s="13" t="s">
        <v>1894</v>
      </c>
      <c r="G128" s="13" t="s">
        <v>1896</v>
      </c>
      <c r="H128" s="13" t="s">
        <v>1893</v>
      </c>
      <c r="I128" s="13" t="s">
        <v>191</v>
      </c>
      <c r="K128" s="13" t="s">
        <v>25</v>
      </c>
      <c r="N128" s="13"/>
      <c r="S128" s="17">
        <v>44483</v>
      </c>
      <c r="T128" s="18">
        <v>2021</v>
      </c>
      <c r="V128" s="13" t="s">
        <v>29</v>
      </c>
      <c r="W128" s="13" t="s">
        <v>1594</v>
      </c>
      <c r="X128" s="14">
        <v>5</v>
      </c>
      <c r="Y128" s="14"/>
      <c r="Z128" s="14" t="s">
        <v>3828</v>
      </c>
      <c r="AA128" s="14" t="s">
        <v>3877</v>
      </c>
      <c r="AB128" s="14" t="s">
        <v>3887</v>
      </c>
      <c r="AD128" s="13" t="s">
        <v>53</v>
      </c>
    </row>
    <row r="129" spans="1:30" hidden="1" x14ac:dyDescent="0.3">
      <c r="A129" s="13" t="s">
        <v>22</v>
      </c>
      <c r="B129" s="13" t="s">
        <v>853</v>
      </c>
      <c r="C129" s="13" t="s">
        <v>181</v>
      </c>
      <c r="D129" s="13" t="s">
        <v>852</v>
      </c>
      <c r="E129" s="13" t="s">
        <v>856</v>
      </c>
      <c r="F129" s="13" t="s">
        <v>855</v>
      </c>
      <c r="K129" s="13" t="s">
        <v>25</v>
      </c>
      <c r="N129" s="13"/>
      <c r="S129" s="17">
        <v>44487</v>
      </c>
      <c r="T129" s="18">
        <v>2021</v>
      </c>
      <c r="V129" s="13" t="s">
        <v>29</v>
      </c>
      <c r="X129" s="14">
        <v>5</v>
      </c>
      <c r="Y129" s="14"/>
      <c r="Z129" s="14" t="s">
        <v>3835</v>
      </c>
      <c r="AA129" s="14" t="s">
        <v>3817</v>
      </c>
      <c r="AB129" s="14" t="s">
        <v>3884</v>
      </c>
      <c r="AC129" s="13" t="s">
        <v>854</v>
      </c>
      <c r="AD129" s="13" t="s">
        <v>53</v>
      </c>
    </row>
    <row r="130" spans="1:30" hidden="1" x14ac:dyDescent="0.3">
      <c r="A130" s="13" t="s">
        <v>22</v>
      </c>
      <c r="B130" s="13" t="s">
        <v>2318</v>
      </c>
      <c r="C130" s="13" t="s">
        <v>370</v>
      </c>
      <c r="D130" s="13" t="s">
        <v>2317</v>
      </c>
      <c r="E130" s="13" t="s">
        <v>2319</v>
      </c>
      <c r="F130" s="13" t="s">
        <v>2320</v>
      </c>
      <c r="N130" s="13"/>
      <c r="S130" s="17">
        <v>44487</v>
      </c>
      <c r="T130" s="18">
        <v>2021</v>
      </c>
      <c r="V130" s="13" t="s">
        <v>29</v>
      </c>
      <c r="W130" s="13" t="s">
        <v>251</v>
      </c>
      <c r="X130" s="14">
        <v>5</v>
      </c>
      <c r="Y130" s="14"/>
      <c r="Z130" s="14" t="s">
        <v>2148</v>
      </c>
      <c r="AA130" s="14" t="s">
        <v>3818</v>
      </c>
      <c r="AB130" s="14" t="s">
        <v>3890</v>
      </c>
      <c r="AC130" s="13"/>
      <c r="AD130" s="13" t="s">
        <v>53</v>
      </c>
    </row>
    <row r="131" spans="1:30" ht="27.6" hidden="1" x14ac:dyDescent="0.3">
      <c r="A131" s="13" t="s">
        <v>22</v>
      </c>
      <c r="B131" s="13" t="s">
        <v>798</v>
      </c>
      <c r="C131" s="13" t="s">
        <v>68</v>
      </c>
      <c r="D131" s="13" t="s">
        <v>797</v>
      </c>
      <c r="E131" s="13" t="s">
        <v>802</v>
      </c>
      <c r="F131" s="13" t="s">
        <v>801</v>
      </c>
      <c r="G131" s="13" t="s">
        <v>803</v>
      </c>
      <c r="H131" s="13" t="s">
        <v>799</v>
      </c>
      <c r="I131" s="13" t="s">
        <v>800</v>
      </c>
      <c r="J131" s="13" t="s">
        <v>52</v>
      </c>
      <c r="K131" s="13" t="s">
        <v>25</v>
      </c>
      <c r="N131" s="13"/>
      <c r="S131" s="17">
        <v>44488</v>
      </c>
      <c r="T131" s="18">
        <v>2021</v>
      </c>
      <c r="V131" s="13" t="s">
        <v>29</v>
      </c>
      <c r="X131" s="14">
        <v>5</v>
      </c>
      <c r="Y131" s="14"/>
      <c r="Z131" s="14" t="s">
        <v>2148</v>
      </c>
      <c r="AA131" s="14" t="s">
        <v>3823</v>
      </c>
      <c r="AB131" s="14" t="s">
        <v>3891</v>
      </c>
      <c r="AD131" s="13" t="s">
        <v>53</v>
      </c>
    </row>
    <row r="132" spans="1:30" ht="27.6" hidden="1" x14ac:dyDescent="0.3">
      <c r="A132" s="13" t="s">
        <v>22</v>
      </c>
      <c r="B132" s="13" t="s">
        <v>3116</v>
      </c>
      <c r="C132" s="13" t="s">
        <v>229</v>
      </c>
      <c r="D132" s="13" t="s">
        <v>3115</v>
      </c>
      <c r="E132" s="13" t="s">
        <v>3118</v>
      </c>
      <c r="F132" s="13" t="s">
        <v>3117</v>
      </c>
      <c r="K132" s="13" t="s">
        <v>25</v>
      </c>
      <c r="N132" s="13"/>
      <c r="S132" s="17">
        <v>44488</v>
      </c>
      <c r="T132" s="18">
        <v>2021</v>
      </c>
      <c r="V132" s="13" t="s">
        <v>29</v>
      </c>
      <c r="X132" s="14">
        <v>5</v>
      </c>
      <c r="Y132" s="14"/>
      <c r="Z132" s="14" t="s">
        <v>3828</v>
      </c>
      <c r="AA132" s="14" t="s">
        <v>3837</v>
      </c>
      <c r="AB132" s="14" t="s">
        <v>3885</v>
      </c>
      <c r="AD132" s="13" t="s">
        <v>53</v>
      </c>
    </row>
    <row r="133" spans="1:30" hidden="1" x14ac:dyDescent="0.3">
      <c r="A133" s="13" t="s">
        <v>100</v>
      </c>
      <c r="B133" s="13" t="s">
        <v>1741</v>
      </c>
      <c r="C133" s="13" t="s">
        <v>1742</v>
      </c>
      <c r="D133" s="13" t="s">
        <v>1740</v>
      </c>
      <c r="E133" s="13" t="s">
        <v>1745</v>
      </c>
      <c r="F133" s="13" t="s">
        <v>1746</v>
      </c>
      <c r="G133" s="13" t="s">
        <v>1747</v>
      </c>
      <c r="H133" s="13" t="s">
        <v>1743</v>
      </c>
      <c r="I133" s="13" t="s">
        <v>1744</v>
      </c>
      <c r="J133" s="13" t="s">
        <v>52</v>
      </c>
      <c r="K133" s="13" t="s">
        <v>25</v>
      </c>
      <c r="N133" s="13"/>
      <c r="S133" s="17">
        <v>44488</v>
      </c>
      <c r="T133" s="18">
        <v>2021</v>
      </c>
      <c r="V133" s="13" t="s">
        <v>29</v>
      </c>
      <c r="X133" s="14">
        <v>5</v>
      </c>
      <c r="Y133" s="14"/>
      <c r="Z133" s="14" t="s">
        <v>3828</v>
      </c>
      <c r="AA133" s="14" t="s">
        <v>3819</v>
      </c>
      <c r="AB133" s="14" t="s">
        <v>3888</v>
      </c>
      <c r="AC133" s="13"/>
      <c r="AD133" s="13" t="s">
        <v>53</v>
      </c>
    </row>
    <row r="134" spans="1:30" hidden="1" x14ac:dyDescent="0.3">
      <c r="A134" s="13" t="s">
        <v>100</v>
      </c>
      <c r="B134" s="13" t="s">
        <v>1942</v>
      </c>
      <c r="C134" s="13" t="s">
        <v>523</v>
      </c>
      <c r="D134" s="13" t="s">
        <v>1941</v>
      </c>
      <c r="E134" s="13" t="s">
        <v>1946</v>
      </c>
      <c r="F134" s="13" t="s">
        <v>1945</v>
      </c>
      <c r="G134" s="13" t="s">
        <v>1947</v>
      </c>
      <c r="H134" s="13" t="s">
        <v>1943</v>
      </c>
      <c r="I134" s="13" t="s">
        <v>1944</v>
      </c>
      <c r="K134" s="13" t="s">
        <v>25</v>
      </c>
      <c r="N134" s="13"/>
      <c r="S134" s="17">
        <v>44488</v>
      </c>
      <c r="T134" s="18">
        <v>2021</v>
      </c>
      <c r="V134" s="13" t="s">
        <v>29</v>
      </c>
      <c r="X134" s="14">
        <v>5</v>
      </c>
      <c r="Y134" s="14"/>
      <c r="Z134" s="14" t="s">
        <v>3828</v>
      </c>
      <c r="AA134" s="14" t="s">
        <v>3809</v>
      </c>
      <c r="AB134" s="14" t="s">
        <v>3888</v>
      </c>
      <c r="AD134" s="13" t="s">
        <v>53</v>
      </c>
    </row>
    <row r="135" spans="1:30" hidden="1" x14ac:dyDescent="0.3">
      <c r="A135" s="13" t="s">
        <v>100</v>
      </c>
      <c r="B135" s="13" t="s">
        <v>2274</v>
      </c>
      <c r="C135" s="13" t="s">
        <v>447</v>
      </c>
      <c r="D135" s="13" t="s">
        <v>2273</v>
      </c>
      <c r="E135" s="13" t="s">
        <v>2276</v>
      </c>
      <c r="F135" s="13" t="s">
        <v>2275</v>
      </c>
      <c r="K135" s="13" t="s">
        <v>25</v>
      </c>
      <c r="N135" s="13"/>
      <c r="S135" s="17">
        <v>44488</v>
      </c>
      <c r="T135" s="18">
        <v>2021</v>
      </c>
      <c r="V135" s="13" t="s">
        <v>29</v>
      </c>
      <c r="X135" s="14">
        <v>5</v>
      </c>
      <c r="Y135" s="14"/>
      <c r="Z135" s="14" t="s">
        <v>3828</v>
      </c>
      <c r="AA135" s="14" t="s">
        <v>3824</v>
      </c>
      <c r="AB135" s="14" t="s">
        <v>3885</v>
      </c>
      <c r="AD135" s="13" t="s">
        <v>53</v>
      </c>
    </row>
    <row r="136" spans="1:30" hidden="1" x14ac:dyDescent="0.3">
      <c r="A136" s="13" t="s">
        <v>49</v>
      </c>
      <c r="B136" s="13" t="s">
        <v>2331</v>
      </c>
      <c r="C136" s="13" t="s">
        <v>1678</v>
      </c>
      <c r="D136" s="13" t="s">
        <v>2330</v>
      </c>
      <c r="E136" s="13" t="s">
        <v>2335</v>
      </c>
      <c r="F136" s="13" t="s">
        <v>2334</v>
      </c>
      <c r="H136" s="13" t="s">
        <v>2332</v>
      </c>
      <c r="I136" s="13" t="s">
        <v>191</v>
      </c>
      <c r="J136" s="13" t="s">
        <v>2333</v>
      </c>
      <c r="K136" s="13" t="s">
        <v>25</v>
      </c>
      <c r="N136" s="13"/>
      <c r="S136" s="17">
        <v>44491</v>
      </c>
      <c r="T136" s="18">
        <v>2021</v>
      </c>
      <c r="V136" s="13" t="s">
        <v>708</v>
      </c>
      <c r="X136" s="14">
        <v>5</v>
      </c>
      <c r="Y136" s="14"/>
      <c r="Z136" s="14" t="s">
        <v>2148</v>
      </c>
      <c r="AA136" s="14"/>
      <c r="AB136" s="14"/>
      <c r="AD136" s="13" t="s">
        <v>53</v>
      </c>
    </row>
    <row r="137" spans="1:30" hidden="1" x14ac:dyDescent="0.3">
      <c r="A137" s="13" t="s">
        <v>22</v>
      </c>
      <c r="B137" s="13" t="s">
        <v>1295</v>
      </c>
      <c r="C137" s="13" t="s">
        <v>1228</v>
      </c>
      <c r="D137" s="13" t="s">
        <v>1294</v>
      </c>
      <c r="E137" s="13" t="s">
        <v>1297</v>
      </c>
      <c r="F137" s="13" t="s">
        <v>1296</v>
      </c>
      <c r="K137" s="13" t="s">
        <v>25</v>
      </c>
      <c r="N137" s="13"/>
      <c r="S137" s="17">
        <v>44492</v>
      </c>
      <c r="T137" s="18">
        <v>2021</v>
      </c>
      <c r="V137" s="13" t="s">
        <v>29</v>
      </c>
      <c r="X137" s="14">
        <v>5</v>
      </c>
      <c r="Y137" s="14"/>
      <c r="Z137" s="14" t="s">
        <v>2148</v>
      </c>
      <c r="AA137" s="14" t="s">
        <v>3818</v>
      </c>
      <c r="AB137" s="14" t="s">
        <v>3890</v>
      </c>
      <c r="AD137" s="13" t="s">
        <v>53</v>
      </c>
    </row>
    <row r="138" spans="1:30" hidden="1" x14ac:dyDescent="0.3">
      <c r="A138" s="13" t="s">
        <v>22</v>
      </c>
      <c r="B138" s="13" t="s">
        <v>1537</v>
      </c>
      <c r="C138" s="13" t="s">
        <v>1562</v>
      </c>
      <c r="D138" s="13" t="s">
        <v>1561</v>
      </c>
      <c r="E138" s="13" t="s">
        <v>1566</v>
      </c>
      <c r="F138" s="13" t="s">
        <v>1565</v>
      </c>
      <c r="G138" s="13" t="s">
        <v>1567</v>
      </c>
      <c r="H138" s="13" t="s">
        <v>1563</v>
      </c>
      <c r="I138" s="13" t="s">
        <v>1564</v>
      </c>
      <c r="K138" s="13" t="s">
        <v>25</v>
      </c>
      <c r="N138" s="13"/>
      <c r="S138" s="17">
        <v>44492</v>
      </c>
      <c r="T138" s="18">
        <v>2021</v>
      </c>
      <c r="V138" s="13" t="s">
        <v>29</v>
      </c>
      <c r="X138" s="14">
        <v>5</v>
      </c>
      <c r="Y138" s="14"/>
      <c r="Z138" s="14" t="s">
        <v>3835</v>
      </c>
      <c r="AA138" s="14" t="s">
        <v>3817</v>
      </c>
      <c r="AB138" s="14" t="s">
        <v>3884</v>
      </c>
      <c r="AD138" s="13" t="s">
        <v>53</v>
      </c>
    </row>
    <row r="139" spans="1:30" hidden="1" x14ac:dyDescent="0.3">
      <c r="A139" s="13" t="s">
        <v>22</v>
      </c>
      <c r="B139" s="13" t="s">
        <v>768</v>
      </c>
      <c r="C139" s="13" t="s">
        <v>769</v>
      </c>
      <c r="D139" s="13" t="s">
        <v>767</v>
      </c>
      <c r="E139" s="13" t="s">
        <v>771</v>
      </c>
      <c r="F139" s="13" t="s">
        <v>770</v>
      </c>
      <c r="K139" s="13" t="s">
        <v>25</v>
      </c>
      <c r="N139" s="13"/>
      <c r="S139" s="17">
        <v>44493</v>
      </c>
      <c r="T139" s="18">
        <v>2021</v>
      </c>
      <c r="V139" s="13" t="s">
        <v>29</v>
      </c>
      <c r="X139" s="14">
        <v>5</v>
      </c>
      <c r="Y139" s="14"/>
      <c r="Z139" s="14" t="s">
        <v>2148</v>
      </c>
      <c r="AA139" s="14" t="s">
        <v>3818</v>
      </c>
      <c r="AB139" s="14" t="s">
        <v>3890</v>
      </c>
      <c r="AD139" s="13" t="s">
        <v>53</v>
      </c>
    </row>
    <row r="140" spans="1:30" hidden="1" x14ac:dyDescent="0.3">
      <c r="A140" s="13" t="s">
        <v>22</v>
      </c>
      <c r="B140" s="13" t="s">
        <v>3325</v>
      </c>
      <c r="C140" s="13" t="s">
        <v>3326</v>
      </c>
      <c r="D140" s="13" t="s">
        <v>3324</v>
      </c>
      <c r="E140" s="13" t="s">
        <v>3328</v>
      </c>
      <c r="F140" s="13" t="s">
        <v>3327</v>
      </c>
      <c r="K140" s="13" t="s">
        <v>25</v>
      </c>
      <c r="N140" s="13"/>
      <c r="S140" s="17">
        <v>44493</v>
      </c>
      <c r="T140" s="18">
        <v>2021</v>
      </c>
      <c r="V140" s="13" t="s">
        <v>29</v>
      </c>
      <c r="W140" s="13" t="s">
        <v>251</v>
      </c>
      <c r="X140" s="14">
        <v>5</v>
      </c>
      <c r="Y140" s="14"/>
      <c r="Z140" s="14" t="s">
        <v>3828</v>
      </c>
      <c r="AA140" s="14" t="s">
        <v>3877</v>
      </c>
      <c r="AB140" s="14" t="s">
        <v>3888</v>
      </c>
      <c r="AD140" s="13" t="s">
        <v>53</v>
      </c>
    </row>
    <row r="141" spans="1:30" hidden="1" x14ac:dyDescent="0.3">
      <c r="A141" s="13" t="s">
        <v>22</v>
      </c>
      <c r="B141" s="13" t="s">
        <v>245</v>
      </c>
      <c r="C141" s="13" t="s">
        <v>246</v>
      </c>
      <c r="D141" s="13" t="s">
        <v>244</v>
      </c>
      <c r="E141" s="13" t="s">
        <v>248</v>
      </c>
      <c r="F141" s="13" t="s">
        <v>249</v>
      </c>
      <c r="G141" s="13" t="s">
        <v>250</v>
      </c>
      <c r="H141" s="13" t="s">
        <v>247</v>
      </c>
      <c r="K141" s="13" t="s">
        <v>25</v>
      </c>
      <c r="N141" s="13"/>
      <c r="S141" s="17">
        <v>44494</v>
      </c>
      <c r="T141" s="18">
        <v>2021</v>
      </c>
      <c r="V141" s="13" t="s">
        <v>29</v>
      </c>
      <c r="W141" s="13" t="s">
        <v>251</v>
      </c>
      <c r="X141" s="14">
        <v>5</v>
      </c>
      <c r="Y141" s="14"/>
      <c r="Z141" s="14" t="s">
        <v>3870</v>
      </c>
      <c r="AA141" s="14" t="s">
        <v>3873</v>
      </c>
      <c r="AB141" s="14" t="s">
        <v>3886</v>
      </c>
      <c r="AC141" s="13"/>
      <c r="AD141" s="13" t="s">
        <v>53</v>
      </c>
    </row>
    <row r="142" spans="1:30" hidden="1" x14ac:dyDescent="0.3">
      <c r="A142" s="13" t="s">
        <v>100</v>
      </c>
      <c r="B142" s="13" t="s">
        <v>3691</v>
      </c>
      <c r="C142" s="13" t="s">
        <v>354</v>
      </c>
      <c r="D142" s="13" t="s">
        <v>3690</v>
      </c>
      <c r="E142" s="13" t="s">
        <v>3694</v>
      </c>
      <c r="F142" s="13" t="s">
        <v>3695</v>
      </c>
      <c r="G142" s="13" t="s">
        <v>3696</v>
      </c>
      <c r="H142" s="13" t="s">
        <v>3692</v>
      </c>
      <c r="I142" s="13" t="s">
        <v>3693</v>
      </c>
      <c r="J142" s="13" t="s">
        <v>52</v>
      </c>
      <c r="K142" s="13" t="s">
        <v>25</v>
      </c>
      <c r="N142" s="13"/>
      <c r="S142" s="17">
        <v>44496</v>
      </c>
      <c r="T142" s="18">
        <v>2021</v>
      </c>
      <c r="V142" s="13" t="s">
        <v>29</v>
      </c>
      <c r="X142" s="14">
        <v>5</v>
      </c>
      <c r="Y142" s="14"/>
      <c r="Z142" s="14" t="s">
        <v>3828</v>
      </c>
      <c r="AA142" s="14" t="s">
        <v>3807</v>
      </c>
      <c r="AB142" s="14" t="s">
        <v>3888</v>
      </c>
      <c r="AC142" s="13"/>
      <c r="AD142" s="13" t="s">
        <v>53</v>
      </c>
    </row>
    <row r="143" spans="1:30" hidden="1" x14ac:dyDescent="0.3">
      <c r="A143" s="13" t="s">
        <v>22</v>
      </c>
      <c r="B143" s="13" t="s">
        <v>1749</v>
      </c>
      <c r="C143" s="13" t="s">
        <v>1750</v>
      </c>
      <c r="D143" s="13" t="s">
        <v>1748</v>
      </c>
      <c r="E143" s="13" t="s">
        <v>1752</v>
      </c>
      <c r="F143" s="13" t="s">
        <v>1751</v>
      </c>
      <c r="K143" s="13" t="s">
        <v>25</v>
      </c>
      <c r="N143" s="13"/>
      <c r="S143" s="17">
        <v>44497</v>
      </c>
      <c r="T143" s="18">
        <v>2021</v>
      </c>
      <c r="V143" s="13" t="s">
        <v>29</v>
      </c>
      <c r="X143" s="14">
        <v>5</v>
      </c>
      <c r="Y143" s="14"/>
      <c r="Z143" s="14" t="s">
        <v>2148</v>
      </c>
      <c r="AA143" s="14" t="s">
        <v>3829</v>
      </c>
      <c r="AB143" s="14" t="s">
        <v>3890</v>
      </c>
      <c r="AD143" s="13" t="s">
        <v>53</v>
      </c>
    </row>
    <row r="144" spans="1:30" hidden="1" x14ac:dyDescent="0.3">
      <c r="A144" s="13" t="s">
        <v>22</v>
      </c>
      <c r="B144" s="13" t="s">
        <v>2463</v>
      </c>
      <c r="C144" s="13" t="s">
        <v>2464</v>
      </c>
      <c r="D144" s="13" t="s">
        <v>2462</v>
      </c>
      <c r="E144" s="13" t="s">
        <v>2467</v>
      </c>
      <c r="F144" s="13" t="s">
        <v>2466</v>
      </c>
      <c r="G144" s="13" t="s">
        <v>2468</v>
      </c>
      <c r="H144" s="13" t="s">
        <v>2465</v>
      </c>
      <c r="K144" s="13" t="s">
        <v>25</v>
      </c>
      <c r="N144" s="13"/>
      <c r="S144" s="17">
        <v>44498</v>
      </c>
      <c r="T144" s="18">
        <v>2021</v>
      </c>
      <c r="V144" s="13" t="s">
        <v>29</v>
      </c>
      <c r="X144" s="14">
        <v>5</v>
      </c>
      <c r="Y144" s="14"/>
      <c r="Z144" s="14" t="s">
        <v>3835</v>
      </c>
      <c r="AA144" s="14" t="s">
        <v>3813</v>
      </c>
      <c r="AB144" s="14" t="s">
        <v>3884</v>
      </c>
      <c r="AD144" s="13" t="s">
        <v>53</v>
      </c>
    </row>
    <row r="145" spans="1:30" ht="27.6" hidden="1" x14ac:dyDescent="0.3">
      <c r="A145" s="13" t="s">
        <v>22</v>
      </c>
      <c r="B145" s="13" t="s">
        <v>2574</v>
      </c>
      <c r="C145" s="13" t="s">
        <v>2055</v>
      </c>
      <c r="D145" s="13" t="s">
        <v>2573</v>
      </c>
      <c r="E145" s="13" t="s">
        <v>2577</v>
      </c>
      <c r="F145" s="13" t="s">
        <v>2578</v>
      </c>
      <c r="G145" s="13" t="s">
        <v>2579</v>
      </c>
      <c r="H145" s="13" t="s">
        <v>2575</v>
      </c>
      <c r="I145" s="13" t="s">
        <v>2576</v>
      </c>
      <c r="J145" s="13" t="s">
        <v>52</v>
      </c>
      <c r="K145" s="13" t="s">
        <v>25</v>
      </c>
      <c r="N145" s="13"/>
      <c r="S145" s="17">
        <v>44498</v>
      </c>
      <c r="T145" s="18">
        <v>2021</v>
      </c>
      <c r="V145" s="13" t="s">
        <v>29</v>
      </c>
      <c r="X145" s="14">
        <v>5</v>
      </c>
      <c r="Y145" s="14"/>
      <c r="Z145" s="14" t="s">
        <v>3828</v>
      </c>
      <c r="AA145" s="14" t="s">
        <v>3837</v>
      </c>
      <c r="AB145" s="14" t="s">
        <v>3885</v>
      </c>
      <c r="AC145" s="13"/>
      <c r="AD145" s="13" t="s">
        <v>53</v>
      </c>
    </row>
    <row r="146" spans="1:30" hidden="1" x14ac:dyDescent="0.3">
      <c r="A146" s="13" t="s">
        <v>100</v>
      </c>
      <c r="B146" s="13" t="s">
        <v>1686</v>
      </c>
      <c r="C146" s="13" t="s">
        <v>124</v>
      </c>
      <c r="D146" s="13" t="s">
        <v>1685</v>
      </c>
      <c r="E146" s="13" t="s">
        <v>1689</v>
      </c>
      <c r="F146" s="13" t="s">
        <v>1690</v>
      </c>
      <c r="G146" s="13" t="s">
        <v>1691</v>
      </c>
      <c r="H146" s="13" t="s">
        <v>1687</v>
      </c>
      <c r="I146" s="13" t="s">
        <v>1688</v>
      </c>
      <c r="J146" s="13" t="s">
        <v>52</v>
      </c>
      <c r="K146" s="13" t="s">
        <v>25</v>
      </c>
      <c r="N146" s="13"/>
      <c r="S146" s="17">
        <v>44498</v>
      </c>
      <c r="T146" s="18">
        <v>2021</v>
      </c>
      <c r="V146" s="13" t="s">
        <v>29</v>
      </c>
      <c r="X146" s="14">
        <v>5</v>
      </c>
      <c r="Y146" s="14"/>
      <c r="Z146" s="14" t="s">
        <v>3828</v>
      </c>
      <c r="AA146" s="14" t="s">
        <v>3807</v>
      </c>
      <c r="AB146" s="14" t="s">
        <v>3888</v>
      </c>
      <c r="AC146" s="13"/>
      <c r="AD146" s="13" t="s">
        <v>53</v>
      </c>
    </row>
    <row r="147" spans="1:30" hidden="1" x14ac:dyDescent="0.3">
      <c r="A147" s="13" t="s">
        <v>49</v>
      </c>
      <c r="B147" s="13" t="s">
        <v>47</v>
      </c>
      <c r="C147" s="13" t="s">
        <v>48</v>
      </c>
      <c r="D147" s="13" t="s">
        <v>46</v>
      </c>
      <c r="E147" s="13" t="s">
        <v>56</v>
      </c>
      <c r="F147" s="13" t="s">
        <v>55</v>
      </c>
      <c r="G147" s="13" t="s">
        <v>57</v>
      </c>
      <c r="H147" s="13" t="s">
        <v>50</v>
      </c>
      <c r="I147" s="13" t="s">
        <v>51</v>
      </c>
      <c r="J147" s="13" t="s">
        <v>52</v>
      </c>
      <c r="K147" s="13" t="s">
        <v>25</v>
      </c>
      <c r="N147" s="13"/>
      <c r="S147" s="17">
        <v>44498</v>
      </c>
      <c r="T147" s="18">
        <v>2021</v>
      </c>
      <c r="V147" s="13" t="s">
        <v>29</v>
      </c>
      <c r="X147" s="14">
        <v>5</v>
      </c>
      <c r="Y147" s="14"/>
      <c r="Z147" s="14" t="s">
        <v>3828</v>
      </c>
      <c r="AA147" s="14" t="s">
        <v>3807</v>
      </c>
      <c r="AB147" s="14" t="s">
        <v>3888</v>
      </c>
      <c r="AC147" s="13" t="s">
        <v>54</v>
      </c>
      <c r="AD147" s="13" t="s">
        <v>53</v>
      </c>
    </row>
    <row r="148" spans="1:30" hidden="1" x14ac:dyDescent="0.3">
      <c r="A148" s="13" t="s">
        <v>49</v>
      </c>
      <c r="B148" s="13" t="s">
        <v>858</v>
      </c>
      <c r="C148" s="13" t="s">
        <v>354</v>
      </c>
      <c r="D148" s="13" t="s">
        <v>857</v>
      </c>
      <c r="E148" s="13" t="s">
        <v>862</v>
      </c>
      <c r="F148" s="13" t="s">
        <v>861</v>
      </c>
      <c r="G148" s="13" t="s">
        <v>863</v>
      </c>
      <c r="H148" s="13" t="s">
        <v>859</v>
      </c>
      <c r="I148" s="13" t="s">
        <v>191</v>
      </c>
      <c r="J148" s="13" t="s">
        <v>52</v>
      </c>
      <c r="K148" s="13" t="s">
        <v>25</v>
      </c>
      <c r="N148" s="13"/>
      <c r="S148" s="17">
        <v>44498</v>
      </c>
      <c r="T148" s="18">
        <v>2021</v>
      </c>
      <c r="V148" s="13" t="s">
        <v>708</v>
      </c>
      <c r="X148" s="14">
        <v>5</v>
      </c>
      <c r="Y148" s="14"/>
      <c r="Z148" s="14" t="s">
        <v>2148</v>
      </c>
      <c r="AA148" s="14"/>
      <c r="AB148" s="14"/>
      <c r="AC148" s="13" t="s">
        <v>860</v>
      </c>
      <c r="AD148" s="13" t="s">
        <v>53</v>
      </c>
    </row>
    <row r="149" spans="1:30" ht="27.6" hidden="1" x14ac:dyDescent="0.3">
      <c r="A149" s="13" t="s">
        <v>22</v>
      </c>
      <c r="B149" s="13" t="s">
        <v>1344</v>
      </c>
      <c r="C149" s="13" t="s">
        <v>1345</v>
      </c>
      <c r="D149" s="13" t="s">
        <v>1343</v>
      </c>
      <c r="E149" s="13" t="s">
        <v>1347</v>
      </c>
      <c r="F149" s="13" t="s">
        <v>1348</v>
      </c>
      <c r="G149" s="13" t="s">
        <v>1349</v>
      </c>
      <c r="H149" s="13" t="s">
        <v>1346</v>
      </c>
      <c r="I149" s="13" t="s">
        <v>191</v>
      </c>
      <c r="J149" s="13" t="s">
        <v>52</v>
      </c>
      <c r="K149" s="13" t="s">
        <v>25</v>
      </c>
      <c r="N149" s="13"/>
      <c r="S149" s="17">
        <v>44500</v>
      </c>
      <c r="T149" s="18">
        <v>2021</v>
      </c>
      <c r="V149" s="13" t="s">
        <v>29</v>
      </c>
      <c r="X149" s="14">
        <v>5</v>
      </c>
      <c r="Y149" s="14"/>
      <c r="Z149" s="14" t="s">
        <v>2148</v>
      </c>
      <c r="AA149" s="14" t="s">
        <v>3827</v>
      </c>
      <c r="AB149" s="14" t="s">
        <v>3890</v>
      </c>
      <c r="AC149" s="13"/>
      <c r="AD149" s="13" t="s">
        <v>53</v>
      </c>
    </row>
    <row r="150" spans="1:30" hidden="1" x14ac:dyDescent="0.3">
      <c r="A150" s="13" t="s">
        <v>22</v>
      </c>
      <c r="B150" s="13" t="s">
        <v>1723</v>
      </c>
      <c r="C150" s="13" t="s">
        <v>466</v>
      </c>
      <c r="D150" s="13" t="s">
        <v>1722</v>
      </c>
      <c r="E150" s="13" t="s">
        <v>1728</v>
      </c>
      <c r="F150" s="13" t="s">
        <v>1727</v>
      </c>
      <c r="G150" s="13" t="s">
        <v>1729</v>
      </c>
      <c r="H150" s="13" t="s">
        <v>1724</v>
      </c>
      <c r="I150" s="13" t="s">
        <v>1725</v>
      </c>
      <c r="K150" s="13" t="s">
        <v>25</v>
      </c>
      <c r="N150" s="13"/>
      <c r="S150" s="17">
        <v>44500</v>
      </c>
      <c r="T150" s="18">
        <v>2021</v>
      </c>
      <c r="V150" s="13" t="s">
        <v>29</v>
      </c>
      <c r="X150" s="14">
        <v>5</v>
      </c>
      <c r="Y150" s="14"/>
      <c r="Z150" s="14" t="s">
        <v>3870</v>
      </c>
      <c r="AA150" s="14" t="s">
        <v>3806</v>
      </c>
      <c r="AB150" s="14" t="s">
        <v>3886</v>
      </c>
      <c r="AC150" s="13" t="s">
        <v>1726</v>
      </c>
      <c r="AD150" s="13" t="s">
        <v>53</v>
      </c>
    </row>
    <row r="151" spans="1:30" hidden="1" x14ac:dyDescent="0.3">
      <c r="A151" s="13" t="s">
        <v>22</v>
      </c>
      <c r="B151" s="13" t="s">
        <v>2515</v>
      </c>
      <c r="C151" s="13" t="s">
        <v>1490</v>
      </c>
      <c r="D151" s="13" t="s">
        <v>2514</v>
      </c>
      <c r="E151" s="13" t="s">
        <v>2519</v>
      </c>
      <c r="F151" s="13" t="s">
        <v>2518</v>
      </c>
      <c r="G151" s="13" t="s">
        <v>2520</v>
      </c>
      <c r="H151" s="13" t="s">
        <v>2516</v>
      </c>
      <c r="I151" s="13" t="s">
        <v>2517</v>
      </c>
      <c r="K151" s="13" t="s">
        <v>25</v>
      </c>
      <c r="N151" s="13"/>
      <c r="S151" s="17">
        <v>44500</v>
      </c>
      <c r="T151" s="18">
        <v>2021</v>
      </c>
      <c r="V151" s="13" t="s">
        <v>29</v>
      </c>
      <c r="X151" s="14">
        <v>5</v>
      </c>
      <c r="Y151" s="14"/>
      <c r="Z151" s="14" t="s">
        <v>3835</v>
      </c>
      <c r="AA151" s="14" t="s">
        <v>3817</v>
      </c>
      <c r="AB151" s="14" t="s">
        <v>3884</v>
      </c>
      <c r="AD151" s="13" t="s">
        <v>53</v>
      </c>
    </row>
    <row r="152" spans="1:30" hidden="1" x14ac:dyDescent="0.3">
      <c r="A152" s="13" t="s">
        <v>100</v>
      </c>
      <c r="B152" s="13" t="s">
        <v>1012</v>
      </c>
      <c r="C152" s="13" t="s">
        <v>390</v>
      </c>
      <c r="D152" s="13" t="s">
        <v>1011</v>
      </c>
      <c r="E152" s="13" t="s">
        <v>1015</v>
      </c>
      <c r="F152" s="13" t="s">
        <v>1016</v>
      </c>
      <c r="G152" s="13" t="s">
        <v>1017</v>
      </c>
      <c r="H152" s="13" t="s">
        <v>1013</v>
      </c>
      <c r="I152" s="13" t="s">
        <v>1014</v>
      </c>
      <c r="K152" s="13" t="s">
        <v>25</v>
      </c>
      <c r="N152" s="13"/>
      <c r="S152" s="17">
        <v>44500</v>
      </c>
      <c r="T152" s="18">
        <v>2021</v>
      </c>
      <c r="V152" s="13" t="s">
        <v>29</v>
      </c>
      <c r="X152" s="14">
        <v>5</v>
      </c>
      <c r="Y152" s="14"/>
      <c r="Z152" s="14" t="s">
        <v>3828</v>
      </c>
      <c r="AA152" s="14" t="s">
        <v>3809</v>
      </c>
      <c r="AB152" s="14" t="s">
        <v>3888</v>
      </c>
      <c r="AC152" s="13"/>
      <c r="AD152" s="13" t="s">
        <v>53</v>
      </c>
    </row>
    <row r="153" spans="1:30" ht="27.6" hidden="1" x14ac:dyDescent="0.3">
      <c r="A153" s="13" t="s">
        <v>49</v>
      </c>
      <c r="B153" s="13" t="s">
        <v>2972</v>
      </c>
      <c r="C153" s="13" t="s">
        <v>2973</v>
      </c>
      <c r="D153" s="13" t="s">
        <v>2971</v>
      </c>
      <c r="E153" s="13" t="s">
        <v>2978</v>
      </c>
      <c r="F153" s="13" t="s">
        <v>2977</v>
      </c>
      <c r="G153" s="13" t="s">
        <v>2979</v>
      </c>
      <c r="H153" s="13" t="s">
        <v>2974</v>
      </c>
      <c r="I153" s="13" t="s">
        <v>2975</v>
      </c>
      <c r="J153" s="13" t="s">
        <v>52</v>
      </c>
      <c r="K153" s="13" t="s">
        <v>25</v>
      </c>
      <c r="N153" s="13"/>
      <c r="S153" s="17">
        <v>44501</v>
      </c>
      <c r="T153" s="18">
        <v>2021</v>
      </c>
      <c r="V153" s="13" t="s">
        <v>29</v>
      </c>
      <c r="X153" s="14">
        <v>5</v>
      </c>
      <c r="Y153" s="14"/>
      <c r="Z153" s="14" t="s">
        <v>3828</v>
      </c>
      <c r="AA153" s="14" t="s">
        <v>3807</v>
      </c>
      <c r="AB153" s="14" t="s">
        <v>3888</v>
      </c>
      <c r="AC153" s="13" t="s">
        <v>2976</v>
      </c>
      <c r="AD153" s="13" t="s">
        <v>53</v>
      </c>
    </row>
    <row r="154" spans="1:30" ht="27.6" hidden="1" x14ac:dyDescent="0.3">
      <c r="A154" s="13" t="s">
        <v>22</v>
      </c>
      <c r="B154" s="13" t="s">
        <v>78</v>
      </c>
      <c r="C154" s="13" t="s">
        <v>79</v>
      </c>
      <c r="D154" s="13" t="s">
        <v>77</v>
      </c>
      <c r="E154" s="13" t="s">
        <v>83</v>
      </c>
      <c r="F154" s="13" t="s">
        <v>82</v>
      </c>
      <c r="G154" s="13" t="s">
        <v>84</v>
      </c>
      <c r="H154" s="13" t="s">
        <v>80</v>
      </c>
      <c r="I154" s="13" t="s">
        <v>81</v>
      </c>
      <c r="J154" s="13" t="s">
        <v>52</v>
      </c>
      <c r="K154" s="13" t="s">
        <v>25</v>
      </c>
      <c r="N154" s="13"/>
      <c r="S154" s="17">
        <v>44502</v>
      </c>
      <c r="T154" s="18">
        <v>2021</v>
      </c>
      <c r="V154" s="13" t="s">
        <v>29</v>
      </c>
      <c r="X154" s="14">
        <v>5</v>
      </c>
      <c r="Y154" s="14"/>
      <c r="Z154" s="14" t="s">
        <v>3835</v>
      </c>
      <c r="AA154" s="14" t="s">
        <v>3810</v>
      </c>
      <c r="AB154" s="14" t="s">
        <v>3884</v>
      </c>
      <c r="AD154" s="13" t="s">
        <v>53</v>
      </c>
    </row>
    <row r="155" spans="1:30" hidden="1" x14ac:dyDescent="0.3">
      <c r="A155" s="13" t="s">
        <v>22</v>
      </c>
      <c r="B155" s="13" t="s">
        <v>1246</v>
      </c>
      <c r="C155" s="13" t="s">
        <v>189</v>
      </c>
      <c r="D155" s="13" t="s">
        <v>1245</v>
      </c>
      <c r="E155" s="13" t="s">
        <v>1249</v>
      </c>
      <c r="F155" s="13" t="s">
        <v>1248</v>
      </c>
      <c r="G155" s="13" t="s">
        <v>1250</v>
      </c>
      <c r="H155" s="13" t="s">
        <v>1247</v>
      </c>
      <c r="N155" s="13"/>
      <c r="S155" s="17">
        <v>44502</v>
      </c>
      <c r="T155" s="18">
        <v>2021</v>
      </c>
      <c r="V155" s="13" t="s">
        <v>29</v>
      </c>
      <c r="W155" s="13" t="s">
        <v>251</v>
      </c>
      <c r="X155" s="14">
        <v>5</v>
      </c>
      <c r="Y155" s="14"/>
      <c r="Z155" s="14" t="s">
        <v>3870</v>
      </c>
      <c r="AA155" s="14" t="s">
        <v>3877</v>
      </c>
      <c r="AB155" s="14" t="s">
        <v>3886</v>
      </c>
      <c r="AD155" s="13" t="s">
        <v>53</v>
      </c>
    </row>
    <row r="156" spans="1:30" hidden="1" x14ac:dyDescent="0.3">
      <c r="A156" s="13" t="s">
        <v>22</v>
      </c>
      <c r="B156" s="13" t="s">
        <v>1361</v>
      </c>
      <c r="C156" s="13" t="s">
        <v>1658</v>
      </c>
      <c r="D156" s="13" t="s">
        <v>1657</v>
      </c>
      <c r="E156" s="13" t="s">
        <v>1660</v>
      </c>
      <c r="F156" s="13" t="s">
        <v>1659</v>
      </c>
      <c r="K156" s="13" t="s">
        <v>25</v>
      </c>
      <c r="N156" s="13"/>
      <c r="S156" s="17">
        <v>44502</v>
      </c>
      <c r="T156" s="18">
        <v>2021</v>
      </c>
      <c r="V156" s="13" t="s">
        <v>29</v>
      </c>
      <c r="W156" s="13" t="s">
        <v>1661</v>
      </c>
      <c r="X156" s="14">
        <v>5</v>
      </c>
      <c r="Y156" s="14"/>
      <c r="Z156" s="14" t="s">
        <v>2148</v>
      </c>
      <c r="AA156" s="14" t="s">
        <v>3818</v>
      </c>
      <c r="AB156" s="14" t="s">
        <v>3890</v>
      </c>
      <c r="AD156" s="13" t="s">
        <v>53</v>
      </c>
    </row>
    <row r="157" spans="1:30" hidden="1" x14ac:dyDescent="0.3">
      <c r="A157" s="13" t="s">
        <v>100</v>
      </c>
      <c r="B157" s="13" t="s">
        <v>3311</v>
      </c>
      <c r="C157" s="13" t="s">
        <v>3312</v>
      </c>
      <c r="D157" s="13" t="s">
        <v>3310</v>
      </c>
      <c r="E157" s="13" t="s">
        <v>3315</v>
      </c>
      <c r="F157" s="13" t="s">
        <v>3314</v>
      </c>
      <c r="G157" s="13" t="s">
        <v>3316</v>
      </c>
      <c r="H157" s="13" t="s">
        <v>2389</v>
      </c>
      <c r="I157" s="13" t="s">
        <v>2503</v>
      </c>
      <c r="J157" s="13" t="s">
        <v>3313</v>
      </c>
      <c r="K157" s="13" t="s">
        <v>25</v>
      </c>
      <c r="N157" s="13"/>
      <c r="S157" s="17">
        <v>44502</v>
      </c>
      <c r="T157" s="18">
        <v>2021</v>
      </c>
      <c r="V157" s="13" t="s">
        <v>29</v>
      </c>
      <c r="X157" s="14">
        <v>5</v>
      </c>
      <c r="Y157" s="14"/>
      <c r="Z157" s="14" t="s">
        <v>3828</v>
      </c>
      <c r="AA157" s="14" t="s">
        <v>3822</v>
      </c>
      <c r="AB157" s="14" t="s">
        <v>3888</v>
      </c>
      <c r="AD157" s="13" t="s">
        <v>53</v>
      </c>
    </row>
    <row r="158" spans="1:30" hidden="1" x14ac:dyDescent="0.3">
      <c r="A158" s="13" t="s">
        <v>22</v>
      </c>
      <c r="B158" s="13" t="s">
        <v>1208</v>
      </c>
      <c r="C158" s="13" t="s">
        <v>1209</v>
      </c>
      <c r="D158" s="13" t="s">
        <v>1207</v>
      </c>
      <c r="E158" s="13" t="s">
        <v>1212</v>
      </c>
      <c r="F158" s="13" t="s">
        <v>1211</v>
      </c>
      <c r="K158" s="13" t="s">
        <v>25</v>
      </c>
      <c r="N158" s="13"/>
      <c r="S158" s="17">
        <v>44503</v>
      </c>
      <c r="T158" s="18">
        <v>2021</v>
      </c>
      <c r="V158" s="13" t="s">
        <v>29</v>
      </c>
      <c r="X158" s="14">
        <v>5</v>
      </c>
      <c r="Y158" s="14"/>
      <c r="Z158" s="14" t="s">
        <v>3870</v>
      </c>
      <c r="AA158" s="14" t="s">
        <v>3806</v>
      </c>
      <c r="AB158" s="14" t="s">
        <v>3886</v>
      </c>
      <c r="AC158" s="13" t="s">
        <v>1210</v>
      </c>
      <c r="AD158" s="13" t="s">
        <v>53</v>
      </c>
    </row>
    <row r="159" spans="1:30" hidden="1" x14ac:dyDescent="0.3">
      <c r="A159" s="13" t="s">
        <v>22</v>
      </c>
      <c r="B159" s="13" t="s">
        <v>1627</v>
      </c>
      <c r="C159" s="13" t="s">
        <v>346</v>
      </c>
      <c r="D159" s="13" t="s">
        <v>1626</v>
      </c>
      <c r="E159" s="13" t="s">
        <v>1631</v>
      </c>
      <c r="F159" s="13" t="s">
        <v>1630</v>
      </c>
      <c r="G159" s="13" t="s">
        <v>1632</v>
      </c>
      <c r="H159" s="13" t="s">
        <v>1628</v>
      </c>
      <c r="I159" s="13" t="s">
        <v>1629</v>
      </c>
      <c r="K159" s="13" t="s">
        <v>25</v>
      </c>
      <c r="N159" s="13"/>
      <c r="S159" s="17">
        <v>44503</v>
      </c>
      <c r="T159" s="18">
        <v>2021</v>
      </c>
      <c r="V159" s="13" t="s">
        <v>29</v>
      </c>
      <c r="X159" s="14">
        <v>5</v>
      </c>
      <c r="Y159" s="14"/>
      <c r="Z159" s="14" t="s">
        <v>3835</v>
      </c>
      <c r="AA159" s="14" t="s">
        <v>3817</v>
      </c>
      <c r="AB159" s="14" t="s">
        <v>3884</v>
      </c>
      <c r="AD159" s="13" t="s">
        <v>53</v>
      </c>
    </row>
    <row r="160" spans="1:30" hidden="1" x14ac:dyDescent="0.3">
      <c r="A160" s="13" t="s">
        <v>22</v>
      </c>
      <c r="B160" s="13" t="s">
        <v>2673</v>
      </c>
      <c r="C160" s="13" t="s">
        <v>2674</v>
      </c>
      <c r="D160" s="13" t="s">
        <v>2672</v>
      </c>
      <c r="E160" s="13" t="s">
        <v>2677</v>
      </c>
      <c r="F160" s="13" t="s">
        <v>2678</v>
      </c>
      <c r="G160" s="13" t="s">
        <v>2679</v>
      </c>
      <c r="H160" s="13" t="s">
        <v>2675</v>
      </c>
      <c r="I160" s="13" t="s">
        <v>2676</v>
      </c>
      <c r="K160" s="13" t="s">
        <v>25</v>
      </c>
      <c r="N160" s="13"/>
      <c r="S160" s="17">
        <v>44503</v>
      </c>
      <c r="T160" s="18">
        <v>2021</v>
      </c>
      <c r="V160" s="13" t="s">
        <v>29</v>
      </c>
      <c r="X160" s="14">
        <v>5</v>
      </c>
      <c r="Y160" s="14"/>
      <c r="Z160" s="14" t="s">
        <v>3835</v>
      </c>
      <c r="AA160" s="14" t="s">
        <v>3820</v>
      </c>
      <c r="AB160" s="14" t="s">
        <v>3884</v>
      </c>
      <c r="AC160" s="13"/>
      <c r="AD160" s="13" t="s">
        <v>53</v>
      </c>
    </row>
    <row r="161" spans="1:30" hidden="1" x14ac:dyDescent="0.3">
      <c r="A161" s="13" t="s">
        <v>22</v>
      </c>
      <c r="B161" s="13" t="s">
        <v>2814</v>
      </c>
      <c r="C161" s="13" t="s">
        <v>2815</v>
      </c>
      <c r="D161" s="13" t="s">
        <v>2813</v>
      </c>
      <c r="E161" s="13" t="s">
        <v>2817</v>
      </c>
      <c r="F161" s="13" t="s">
        <v>2816</v>
      </c>
      <c r="G161" s="13" t="s">
        <v>2818</v>
      </c>
      <c r="H161" s="13" t="s">
        <v>876</v>
      </c>
      <c r="I161" s="13" t="s">
        <v>191</v>
      </c>
      <c r="K161" s="13" t="s">
        <v>25</v>
      </c>
      <c r="N161" s="13"/>
      <c r="S161" s="17">
        <v>44503</v>
      </c>
      <c r="T161" s="18">
        <v>2021</v>
      </c>
      <c r="V161" s="13" t="s">
        <v>29</v>
      </c>
      <c r="X161" s="14">
        <v>5</v>
      </c>
      <c r="Y161" s="14"/>
      <c r="Z161" s="14" t="s">
        <v>3828</v>
      </c>
      <c r="AA161" s="14" t="s">
        <v>3872</v>
      </c>
      <c r="AB161" s="14" t="s">
        <v>3885</v>
      </c>
      <c r="AD161" s="13" t="s">
        <v>53</v>
      </c>
    </row>
    <row r="162" spans="1:30" hidden="1" x14ac:dyDescent="0.3">
      <c r="A162" s="13" t="s">
        <v>22</v>
      </c>
      <c r="B162" s="13" t="s">
        <v>3432</v>
      </c>
      <c r="C162" s="13" t="s">
        <v>79</v>
      </c>
      <c r="D162" s="13" t="s">
        <v>3431</v>
      </c>
      <c r="E162" s="13" t="s">
        <v>3434</v>
      </c>
      <c r="F162" s="13" t="s">
        <v>3433</v>
      </c>
      <c r="G162" s="13" t="s">
        <v>3435</v>
      </c>
      <c r="H162" s="13" t="s">
        <v>1651</v>
      </c>
      <c r="I162" s="13" t="s">
        <v>191</v>
      </c>
      <c r="J162" s="13" t="s">
        <v>72</v>
      </c>
      <c r="K162" s="13" t="s">
        <v>25</v>
      </c>
      <c r="N162" s="13"/>
      <c r="S162" s="17">
        <v>44503</v>
      </c>
      <c r="T162" s="18">
        <v>2021</v>
      </c>
      <c r="V162" s="13" t="s">
        <v>29</v>
      </c>
      <c r="X162" s="14">
        <v>5</v>
      </c>
      <c r="Y162" s="14"/>
      <c r="Z162" s="14" t="s">
        <v>3828</v>
      </c>
      <c r="AA162" s="14" t="s">
        <v>3872</v>
      </c>
      <c r="AB162" s="14" t="s">
        <v>3887</v>
      </c>
      <c r="AD162" s="13" t="s">
        <v>53</v>
      </c>
    </row>
    <row r="163" spans="1:30" hidden="1" x14ac:dyDescent="0.3">
      <c r="A163" s="13" t="s">
        <v>100</v>
      </c>
      <c r="B163" s="13" t="s">
        <v>353</v>
      </c>
      <c r="C163" s="13" t="s">
        <v>354</v>
      </c>
      <c r="D163" s="13" t="s">
        <v>352</v>
      </c>
      <c r="E163" s="13" t="s">
        <v>357</v>
      </c>
      <c r="F163" s="13" t="s">
        <v>356</v>
      </c>
      <c r="G163" s="13" t="s">
        <v>358</v>
      </c>
      <c r="H163" s="13" t="s">
        <v>355</v>
      </c>
      <c r="I163" s="13" t="s">
        <v>191</v>
      </c>
      <c r="J163" s="13" t="s">
        <v>52</v>
      </c>
      <c r="K163" s="13" t="s">
        <v>25</v>
      </c>
      <c r="N163" s="13"/>
      <c r="S163" s="17">
        <v>44503</v>
      </c>
      <c r="T163" s="18">
        <v>2021</v>
      </c>
      <c r="V163" s="13" t="s">
        <v>29</v>
      </c>
      <c r="X163" s="14">
        <v>5</v>
      </c>
      <c r="Y163" s="14"/>
      <c r="Z163" s="14" t="s">
        <v>3828</v>
      </c>
      <c r="AA163" s="14" t="s">
        <v>3816</v>
      </c>
      <c r="AB163" s="14" t="s">
        <v>3885</v>
      </c>
      <c r="AD163" s="13" t="s">
        <v>53</v>
      </c>
    </row>
    <row r="164" spans="1:30" ht="27.6" hidden="1" x14ac:dyDescent="0.3">
      <c r="A164" s="13" t="s">
        <v>292</v>
      </c>
      <c r="B164" s="13" t="s">
        <v>2213</v>
      </c>
      <c r="C164" s="13" t="s">
        <v>2214</v>
      </c>
      <c r="D164" s="13" t="s">
        <v>2212</v>
      </c>
      <c r="E164" s="13" t="s">
        <v>2219</v>
      </c>
      <c r="F164" s="13" t="s">
        <v>2218</v>
      </c>
      <c r="G164" s="13" t="s">
        <v>2220</v>
      </c>
      <c r="H164" s="13" t="s">
        <v>2215</v>
      </c>
      <c r="I164" s="13" t="s">
        <v>2216</v>
      </c>
      <c r="J164" s="13" t="s">
        <v>72</v>
      </c>
      <c r="K164" s="13" t="s">
        <v>25</v>
      </c>
      <c r="N164" s="13"/>
      <c r="S164" s="17">
        <v>44503</v>
      </c>
      <c r="T164" s="18">
        <v>2021</v>
      </c>
      <c r="V164" s="13" t="s">
        <v>708</v>
      </c>
      <c r="X164" s="14" t="s">
        <v>8498</v>
      </c>
      <c r="Y164" s="14"/>
      <c r="Z164" s="14" t="s">
        <v>2148</v>
      </c>
      <c r="AA164" s="14"/>
      <c r="AB164" s="14"/>
      <c r="AC164" s="13" t="s">
        <v>2217</v>
      </c>
      <c r="AD164" s="13" t="s">
        <v>53</v>
      </c>
    </row>
    <row r="165" spans="1:30" hidden="1" x14ac:dyDescent="0.3">
      <c r="A165" s="13" t="s">
        <v>22</v>
      </c>
      <c r="B165" s="13" t="s">
        <v>2650</v>
      </c>
      <c r="C165" s="13" t="s">
        <v>3881</v>
      </c>
      <c r="D165" s="13" t="s">
        <v>3880</v>
      </c>
      <c r="E165" s="13" t="s">
        <v>2653</v>
      </c>
      <c r="F165" s="13" t="s">
        <v>2652</v>
      </c>
      <c r="J165" s="13" t="s">
        <v>2651</v>
      </c>
      <c r="K165" s="13" t="s">
        <v>25</v>
      </c>
      <c r="N165" s="13"/>
      <c r="S165" s="17">
        <v>44504</v>
      </c>
      <c r="T165" s="18">
        <v>2021</v>
      </c>
      <c r="V165" s="13" t="s">
        <v>29</v>
      </c>
      <c r="W165" s="13" t="s">
        <v>435</v>
      </c>
      <c r="X165" s="14">
        <v>5</v>
      </c>
      <c r="Y165" s="14"/>
      <c r="Z165" s="14" t="s">
        <v>2148</v>
      </c>
      <c r="AA165" s="14" t="s">
        <v>3877</v>
      </c>
      <c r="AB165" s="14" t="s">
        <v>3890</v>
      </c>
      <c r="AD165" s="13" t="s">
        <v>53</v>
      </c>
    </row>
    <row r="166" spans="1:30" hidden="1" x14ac:dyDescent="0.3">
      <c r="A166" s="13" t="s">
        <v>100</v>
      </c>
      <c r="B166" s="13" t="s">
        <v>438</v>
      </c>
      <c r="C166" s="13" t="s">
        <v>439</v>
      </c>
      <c r="D166" s="13" t="s">
        <v>437</v>
      </c>
      <c r="E166" s="13" t="s">
        <v>443</v>
      </c>
      <c r="F166" s="13" t="s">
        <v>442</v>
      </c>
      <c r="G166" s="13" t="s">
        <v>444</v>
      </c>
      <c r="H166" s="13" t="s">
        <v>440</v>
      </c>
      <c r="I166" s="13" t="s">
        <v>441</v>
      </c>
      <c r="J166" s="13" t="s">
        <v>52</v>
      </c>
      <c r="K166" s="13" t="s">
        <v>25</v>
      </c>
      <c r="N166" s="13"/>
      <c r="S166" s="17">
        <v>44504</v>
      </c>
      <c r="T166" s="18">
        <v>2021</v>
      </c>
      <c r="V166" s="13" t="s">
        <v>29</v>
      </c>
      <c r="X166" s="14">
        <v>5</v>
      </c>
      <c r="Y166" s="14"/>
      <c r="Z166" s="14" t="s">
        <v>3828</v>
      </c>
      <c r="AA166" s="14" t="s">
        <v>3807</v>
      </c>
      <c r="AB166" s="14" t="s">
        <v>3888</v>
      </c>
      <c r="AD166" s="13" t="s">
        <v>53</v>
      </c>
    </row>
    <row r="167" spans="1:30" hidden="1" x14ac:dyDescent="0.3">
      <c r="A167" s="13" t="s">
        <v>100</v>
      </c>
      <c r="B167" s="13" t="s">
        <v>3100</v>
      </c>
      <c r="C167" s="13" t="s">
        <v>3101</v>
      </c>
      <c r="D167" s="13" t="s">
        <v>3099</v>
      </c>
      <c r="E167" s="13" t="s">
        <v>3106</v>
      </c>
      <c r="F167" s="13" t="s">
        <v>3105</v>
      </c>
      <c r="G167" s="13" t="s">
        <v>3107</v>
      </c>
      <c r="H167" s="13" t="s">
        <v>3102</v>
      </c>
      <c r="I167" s="13" t="s">
        <v>3103</v>
      </c>
      <c r="J167" s="13" t="s">
        <v>103</v>
      </c>
      <c r="K167" s="13" t="s">
        <v>25</v>
      </c>
      <c r="N167" s="13"/>
      <c r="S167" s="17">
        <v>44504</v>
      </c>
      <c r="T167" s="18">
        <v>2021</v>
      </c>
      <c r="V167" s="13" t="s">
        <v>29</v>
      </c>
      <c r="X167" s="14">
        <v>5</v>
      </c>
      <c r="Y167" s="14"/>
      <c r="Z167" s="14" t="s">
        <v>3828</v>
      </c>
      <c r="AA167" s="14" t="s">
        <v>3812</v>
      </c>
      <c r="AB167" s="14" t="s">
        <v>3887</v>
      </c>
      <c r="AC167" s="13" t="s">
        <v>3104</v>
      </c>
      <c r="AD167" s="13" t="s">
        <v>53</v>
      </c>
    </row>
    <row r="168" spans="1:30" hidden="1" x14ac:dyDescent="0.3">
      <c r="A168" s="13" t="s">
        <v>292</v>
      </c>
      <c r="B168" s="13" t="s">
        <v>720</v>
      </c>
      <c r="C168" s="13" t="s">
        <v>721</v>
      </c>
      <c r="D168" s="13" t="s">
        <v>719</v>
      </c>
      <c r="E168" s="13" t="s">
        <v>724</v>
      </c>
      <c r="F168" s="13" t="s">
        <v>723</v>
      </c>
      <c r="G168" s="13" t="s">
        <v>725</v>
      </c>
      <c r="H168" s="13" t="s">
        <v>50</v>
      </c>
      <c r="I168" s="13" t="s">
        <v>51</v>
      </c>
      <c r="J168" s="13" t="s">
        <v>52</v>
      </c>
      <c r="K168" s="13" t="s">
        <v>25</v>
      </c>
      <c r="N168" s="13"/>
      <c r="S168" s="17">
        <v>44504</v>
      </c>
      <c r="T168" s="18">
        <v>2021</v>
      </c>
      <c r="V168" s="13" t="s">
        <v>29</v>
      </c>
      <c r="X168" s="14">
        <v>5</v>
      </c>
      <c r="Y168" s="14"/>
      <c r="Z168" s="14" t="s">
        <v>3828</v>
      </c>
      <c r="AA168" s="14" t="s">
        <v>3816</v>
      </c>
      <c r="AB168" s="14" t="s">
        <v>3885</v>
      </c>
      <c r="AC168" s="13" t="s">
        <v>722</v>
      </c>
      <c r="AD168" s="13" t="s">
        <v>53</v>
      </c>
    </row>
    <row r="169" spans="1:30" hidden="1" x14ac:dyDescent="0.3">
      <c r="A169" s="13" t="s">
        <v>22</v>
      </c>
      <c r="B169" s="13" t="s">
        <v>3711</v>
      </c>
      <c r="C169" s="13" t="s">
        <v>3712</v>
      </c>
      <c r="D169" s="13" t="s">
        <v>3710</v>
      </c>
      <c r="E169" s="13" t="s">
        <v>3715</v>
      </c>
      <c r="F169" s="13" t="s">
        <v>3714</v>
      </c>
      <c r="G169" s="13" t="s">
        <v>3716</v>
      </c>
      <c r="H169" s="13" t="s">
        <v>3713</v>
      </c>
      <c r="I169" s="13" t="s">
        <v>3412</v>
      </c>
      <c r="J169" s="13" t="s">
        <v>330</v>
      </c>
      <c r="K169" s="13" t="s">
        <v>25</v>
      </c>
      <c r="N169" s="13"/>
      <c r="S169" s="17">
        <v>44505</v>
      </c>
      <c r="T169" s="18">
        <v>2021</v>
      </c>
      <c r="V169" s="13" t="s">
        <v>29</v>
      </c>
      <c r="X169" s="14">
        <v>5</v>
      </c>
      <c r="Y169" s="14"/>
      <c r="Z169" s="14" t="s">
        <v>3828</v>
      </c>
      <c r="AA169" s="14" t="s">
        <v>3874</v>
      </c>
      <c r="AB169" s="14" t="s">
        <v>3888</v>
      </c>
      <c r="AD169" s="13" t="s">
        <v>53</v>
      </c>
    </row>
    <row r="170" spans="1:30" s="14" customFormat="1" ht="41.4" hidden="1" x14ac:dyDescent="0.3">
      <c r="A170" s="26" t="s">
        <v>22</v>
      </c>
      <c r="B170" s="26" t="s">
        <v>453</v>
      </c>
      <c r="C170" s="26" t="s">
        <v>68</v>
      </c>
      <c r="D170" s="26" t="s">
        <v>6147</v>
      </c>
      <c r="E170" s="26" t="s">
        <v>456</v>
      </c>
      <c r="F170" s="26" t="s">
        <v>455</v>
      </c>
      <c r="G170" s="27"/>
      <c r="H170" s="26"/>
      <c r="I170" s="26"/>
      <c r="J170" s="26" t="s">
        <v>52</v>
      </c>
      <c r="K170" s="26" t="s">
        <v>25</v>
      </c>
      <c r="N170" s="26"/>
      <c r="S170" s="28">
        <v>44506</v>
      </c>
      <c r="T170" s="29">
        <v>2021</v>
      </c>
      <c r="V170" s="13" t="s">
        <v>29</v>
      </c>
      <c r="W170" s="14" t="s">
        <v>6148</v>
      </c>
      <c r="X170" s="14">
        <v>10</v>
      </c>
      <c r="Z170" s="14" t="s">
        <v>2148</v>
      </c>
      <c r="AA170" s="14" t="s">
        <v>965</v>
      </c>
      <c r="AB170" s="14" t="s">
        <v>3890</v>
      </c>
      <c r="AC170" s="26" t="s">
        <v>454</v>
      </c>
      <c r="AD170" s="26" t="s">
        <v>53</v>
      </c>
    </row>
    <row r="171" spans="1:30" hidden="1" x14ac:dyDescent="0.3">
      <c r="A171" s="13" t="s">
        <v>100</v>
      </c>
      <c r="B171" s="13" t="s">
        <v>2404</v>
      </c>
      <c r="C171" s="13" t="s">
        <v>60</v>
      </c>
      <c r="D171" s="13" t="s">
        <v>2403</v>
      </c>
      <c r="E171" s="13" t="s">
        <v>2407</v>
      </c>
      <c r="F171" s="13" t="s">
        <v>2406</v>
      </c>
      <c r="G171" s="13" t="s">
        <v>2408</v>
      </c>
      <c r="H171" s="13" t="s">
        <v>2405</v>
      </c>
      <c r="I171" s="13" t="s">
        <v>191</v>
      </c>
      <c r="K171" s="13" t="s">
        <v>25</v>
      </c>
      <c r="N171" s="13"/>
      <c r="S171" s="17">
        <v>44506</v>
      </c>
      <c r="T171" s="18">
        <v>2021</v>
      </c>
      <c r="V171" s="13" t="s">
        <v>29</v>
      </c>
      <c r="X171" s="14">
        <v>5</v>
      </c>
      <c r="Y171" s="14"/>
      <c r="Z171" s="14" t="s">
        <v>3828</v>
      </c>
      <c r="AA171" s="14" t="s">
        <v>3822</v>
      </c>
      <c r="AB171" s="14" t="s">
        <v>3887</v>
      </c>
      <c r="AD171" s="13" t="s">
        <v>53</v>
      </c>
    </row>
    <row r="172" spans="1:30" hidden="1" x14ac:dyDescent="0.3">
      <c r="A172" s="13" t="s">
        <v>22</v>
      </c>
      <c r="B172" s="13" t="s">
        <v>108</v>
      </c>
      <c r="C172" s="13" t="s">
        <v>109</v>
      </c>
      <c r="D172" s="13" t="s">
        <v>107</v>
      </c>
      <c r="E172" s="13" t="s">
        <v>112</v>
      </c>
      <c r="F172" s="19" t="s">
        <v>7282</v>
      </c>
      <c r="G172" s="13" t="s">
        <v>113</v>
      </c>
      <c r="H172" s="13" t="s">
        <v>110</v>
      </c>
      <c r="I172" s="13" t="s">
        <v>111</v>
      </c>
      <c r="J172" s="13" t="s">
        <v>52</v>
      </c>
      <c r="K172" s="13" t="s">
        <v>25</v>
      </c>
      <c r="N172" s="13"/>
      <c r="S172" s="17">
        <v>44507</v>
      </c>
      <c r="T172" s="18">
        <v>2021</v>
      </c>
      <c r="V172" s="13" t="s">
        <v>29</v>
      </c>
      <c r="X172" s="14">
        <v>5</v>
      </c>
      <c r="Y172" s="14"/>
      <c r="Z172" s="14" t="s">
        <v>3835</v>
      </c>
      <c r="AA172" s="14" t="s">
        <v>3813</v>
      </c>
      <c r="AB172" s="14" t="s">
        <v>3884</v>
      </c>
      <c r="AC172" s="13"/>
      <c r="AD172" s="13" t="s">
        <v>53</v>
      </c>
    </row>
    <row r="173" spans="1:30" hidden="1" x14ac:dyDescent="0.3">
      <c r="A173" s="13" t="s">
        <v>22</v>
      </c>
      <c r="B173" s="13" t="s">
        <v>2702</v>
      </c>
      <c r="C173" s="13" t="s">
        <v>447</v>
      </c>
      <c r="D173" s="13" t="s">
        <v>2701</v>
      </c>
      <c r="E173" s="13" t="s">
        <v>2704</v>
      </c>
      <c r="F173" s="13" t="s">
        <v>2703</v>
      </c>
      <c r="G173" s="13" t="s">
        <v>2705</v>
      </c>
      <c r="H173" s="13" t="s">
        <v>2690</v>
      </c>
      <c r="I173" s="13" t="s">
        <v>191</v>
      </c>
      <c r="K173" s="13" t="s">
        <v>25</v>
      </c>
      <c r="N173" s="13"/>
      <c r="S173" s="17">
        <v>44507</v>
      </c>
      <c r="T173" s="18">
        <v>2021</v>
      </c>
      <c r="V173" s="13" t="s">
        <v>29</v>
      </c>
      <c r="X173" s="14">
        <v>5</v>
      </c>
      <c r="Y173" s="14"/>
      <c r="Z173" s="14" t="s">
        <v>3835</v>
      </c>
      <c r="AA173" s="14" t="s">
        <v>3813</v>
      </c>
      <c r="AB173" s="14" t="s">
        <v>3884</v>
      </c>
      <c r="AD173" s="13" t="s">
        <v>53</v>
      </c>
    </row>
    <row r="174" spans="1:30" hidden="1" x14ac:dyDescent="0.3">
      <c r="A174" s="13" t="s">
        <v>100</v>
      </c>
      <c r="B174" s="13" t="s">
        <v>3698</v>
      </c>
      <c r="C174" s="13" t="s">
        <v>1732</v>
      </c>
      <c r="D174" s="13" t="s">
        <v>3697</v>
      </c>
      <c r="E174" s="13" t="s">
        <v>3703</v>
      </c>
      <c r="F174" s="13" t="s">
        <v>3702</v>
      </c>
      <c r="G174" s="13" t="s">
        <v>3704</v>
      </c>
      <c r="H174" s="13" t="s">
        <v>3699</v>
      </c>
      <c r="I174" s="13" t="s">
        <v>3700</v>
      </c>
      <c r="J174" s="13" t="s">
        <v>3701</v>
      </c>
      <c r="K174" s="13" t="s">
        <v>25</v>
      </c>
      <c r="N174" s="13"/>
      <c r="S174" s="17">
        <v>44508</v>
      </c>
      <c r="T174" s="18">
        <v>2021</v>
      </c>
      <c r="V174" s="13" t="s">
        <v>29</v>
      </c>
      <c r="X174" s="14">
        <v>5</v>
      </c>
      <c r="Y174" s="14"/>
      <c r="Z174" s="14" t="s">
        <v>3828</v>
      </c>
      <c r="AA174" s="14" t="s">
        <v>3808</v>
      </c>
      <c r="AB174" s="14" t="s">
        <v>3887</v>
      </c>
      <c r="AD174" s="13" t="s">
        <v>53</v>
      </c>
    </row>
    <row r="175" spans="1:30" hidden="1" x14ac:dyDescent="0.3">
      <c r="A175" s="13" t="s">
        <v>100</v>
      </c>
      <c r="B175" s="13" t="s">
        <v>3151</v>
      </c>
      <c r="C175" s="13" t="s">
        <v>189</v>
      </c>
      <c r="D175" s="13" t="s">
        <v>3150</v>
      </c>
      <c r="E175" s="13" t="s">
        <v>3155</v>
      </c>
      <c r="F175" s="13" t="s">
        <v>3154</v>
      </c>
      <c r="G175" s="13" t="s">
        <v>3156</v>
      </c>
      <c r="H175" s="13" t="s">
        <v>3152</v>
      </c>
      <c r="I175" s="13" t="s">
        <v>3153</v>
      </c>
      <c r="J175" s="13" t="s">
        <v>52</v>
      </c>
      <c r="K175" s="13" t="s">
        <v>25</v>
      </c>
      <c r="N175" s="13"/>
      <c r="S175" s="17">
        <v>44509</v>
      </c>
      <c r="T175" s="18">
        <v>2021</v>
      </c>
      <c r="V175" s="13" t="s">
        <v>29</v>
      </c>
      <c r="X175" s="14">
        <v>5</v>
      </c>
      <c r="Y175" s="14"/>
      <c r="Z175" s="14" t="s">
        <v>3828</v>
      </c>
      <c r="AA175" s="14" t="s">
        <v>3807</v>
      </c>
      <c r="AB175" s="14" t="s">
        <v>3888</v>
      </c>
      <c r="AD175" s="13" t="s">
        <v>53</v>
      </c>
    </row>
    <row r="176" spans="1:30" hidden="1" x14ac:dyDescent="0.3">
      <c r="A176" s="13" t="s">
        <v>22</v>
      </c>
      <c r="B176" s="13" t="s">
        <v>1634</v>
      </c>
      <c r="C176" s="13" t="s">
        <v>1635</v>
      </c>
      <c r="D176" s="13" t="s">
        <v>1633</v>
      </c>
      <c r="E176" s="13" t="s">
        <v>1638</v>
      </c>
      <c r="F176" s="13" t="s">
        <v>1639</v>
      </c>
      <c r="G176" s="13" t="s">
        <v>1640</v>
      </c>
      <c r="H176" s="13" t="s">
        <v>1636</v>
      </c>
      <c r="I176" s="13" t="s">
        <v>1637</v>
      </c>
      <c r="K176" s="13" t="s">
        <v>25</v>
      </c>
      <c r="N176" s="13"/>
      <c r="S176" s="17">
        <v>44511</v>
      </c>
      <c r="T176" s="18">
        <v>2021</v>
      </c>
      <c r="V176" s="13" t="s">
        <v>29</v>
      </c>
      <c r="X176" s="14">
        <v>5</v>
      </c>
      <c r="Y176" s="14"/>
      <c r="Z176" s="14" t="s">
        <v>3835</v>
      </c>
      <c r="AA176" s="14" t="s">
        <v>3817</v>
      </c>
      <c r="AB176" s="14" t="s">
        <v>3884</v>
      </c>
      <c r="AC176" s="13"/>
      <c r="AD176" s="13" t="s">
        <v>53</v>
      </c>
    </row>
    <row r="177" spans="1:30" hidden="1" x14ac:dyDescent="0.3">
      <c r="A177" s="13" t="s">
        <v>100</v>
      </c>
      <c r="B177" s="13" t="s">
        <v>815</v>
      </c>
      <c r="C177" s="13" t="s">
        <v>79</v>
      </c>
      <c r="D177" s="13" t="s">
        <v>814</v>
      </c>
      <c r="E177" s="13" t="s">
        <v>818</v>
      </c>
      <c r="F177" s="13" t="s">
        <v>819</v>
      </c>
      <c r="G177" s="13" t="s">
        <v>820</v>
      </c>
      <c r="H177" s="13" t="s">
        <v>816</v>
      </c>
      <c r="I177" s="13" t="s">
        <v>817</v>
      </c>
      <c r="K177" s="13" t="s">
        <v>25</v>
      </c>
      <c r="N177" s="13"/>
      <c r="S177" s="17">
        <v>44511</v>
      </c>
      <c r="T177" s="18">
        <v>2021</v>
      </c>
      <c r="V177" s="13" t="s">
        <v>29</v>
      </c>
      <c r="X177" s="14">
        <v>5</v>
      </c>
      <c r="Y177" s="14"/>
      <c r="Z177" s="14" t="s">
        <v>3828</v>
      </c>
      <c r="AA177" s="14" t="s">
        <v>3807</v>
      </c>
      <c r="AB177" s="14" t="s">
        <v>3888</v>
      </c>
      <c r="AC177" s="13"/>
      <c r="AD177" s="13" t="s">
        <v>53</v>
      </c>
    </row>
    <row r="178" spans="1:30" hidden="1" x14ac:dyDescent="0.3">
      <c r="A178" s="13" t="s">
        <v>22</v>
      </c>
      <c r="B178" s="13" t="s">
        <v>1949</v>
      </c>
      <c r="C178" s="13" t="s">
        <v>320</v>
      </c>
      <c r="D178" s="13" t="s">
        <v>1948</v>
      </c>
      <c r="E178" s="13" t="s">
        <v>1952</v>
      </c>
      <c r="F178" s="13" t="s">
        <v>1953</v>
      </c>
      <c r="G178" s="13" t="s">
        <v>1954</v>
      </c>
      <c r="H178" s="13" t="s">
        <v>1950</v>
      </c>
      <c r="I178" s="13" t="s">
        <v>1951</v>
      </c>
      <c r="K178" s="13" t="s">
        <v>25</v>
      </c>
      <c r="N178" s="13"/>
      <c r="S178" s="17">
        <v>44512</v>
      </c>
      <c r="T178" s="18">
        <v>2021</v>
      </c>
      <c r="V178" s="13" t="s">
        <v>29</v>
      </c>
      <c r="X178" s="14">
        <v>5</v>
      </c>
      <c r="Y178" s="14"/>
      <c r="Z178" s="14" t="s">
        <v>3870</v>
      </c>
      <c r="AA178" s="14" t="s">
        <v>3833</v>
      </c>
      <c r="AB178" s="14" t="s">
        <v>3886</v>
      </c>
      <c r="AC178" s="13"/>
      <c r="AD178" s="13" t="s">
        <v>53</v>
      </c>
    </row>
    <row r="179" spans="1:30" hidden="1" x14ac:dyDescent="0.3">
      <c r="A179" s="13" t="s">
        <v>22</v>
      </c>
      <c r="B179" s="13" t="s">
        <v>2351</v>
      </c>
      <c r="C179" s="13" t="s">
        <v>229</v>
      </c>
      <c r="D179" s="13" t="s">
        <v>2350</v>
      </c>
      <c r="E179" s="13" t="s">
        <v>2353</v>
      </c>
      <c r="F179" s="13" t="s">
        <v>2352</v>
      </c>
      <c r="G179" s="13" t="s">
        <v>2354</v>
      </c>
      <c r="K179" s="13" t="s">
        <v>25</v>
      </c>
      <c r="L179" s="13" t="s">
        <v>2355</v>
      </c>
      <c r="M179" s="14" t="s">
        <v>141</v>
      </c>
      <c r="N179" s="13"/>
      <c r="O179" s="13" t="s">
        <v>31</v>
      </c>
      <c r="P179" s="13"/>
      <c r="Q179" s="13"/>
      <c r="R179" s="13"/>
      <c r="S179" s="17">
        <v>44512</v>
      </c>
      <c r="T179" s="18">
        <v>2021</v>
      </c>
      <c r="V179" s="13" t="s">
        <v>29</v>
      </c>
      <c r="X179" s="14">
        <v>5</v>
      </c>
      <c r="Y179" s="14"/>
      <c r="Z179" s="14" t="s">
        <v>3835</v>
      </c>
      <c r="AA179" s="14" t="s">
        <v>3814</v>
      </c>
      <c r="AB179" s="14" t="s">
        <v>3884</v>
      </c>
    </row>
    <row r="180" spans="1:30" hidden="1" x14ac:dyDescent="0.3">
      <c r="A180" s="13" t="s">
        <v>100</v>
      </c>
      <c r="B180" s="13" t="s">
        <v>3800</v>
      </c>
      <c r="C180" s="13" t="s">
        <v>3801</v>
      </c>
      <c r="D180" s="13" t="s">
        <v>3799</v>
      </c>
      <c r="E180" s="13" t="s">
        <v>3803</v>
      </c>
      <c r="F180" s="13" t="s">
        <v>3802</v>
      </c>
      <c r="H180" s="13" t="s">
        <v>2389</v>
      </c>
      <c r="I180" s="13" t="s">
        <v>2503</v>
      </c>
      <c r="K180" s="13" t="s">
        <v>25</v>
      </c>
      <c r="N180" s="13"/>
      <c r="S180" s="17">
        <v>44512</v>
      </c>
      <c r="T180" s="18">
        <v>2021</v>
      </c>
      <c r="V180" s="13" t="s">
        <v>29</v>
      </c>
      <c r="X180" s="14">
        <v>5</v>
      </c>
      <c r="Y180" s="14"/>
      <c r="Z180" s="14" t="s">
        <v>3828</v>
      </c>
      <c r="AA180" s="14" t="s">
        <v>3809</v>
      </c>
      <c r="AB180" s="14" t="s">
        <v>3888</v>
      </c>
      <c r="AD180" s="13" t="s">
        <v>53</v>
      </c>
    </row>
    <row r="181" spans="1:30" hidden="1" x14ac:dyDescent="0.3">
      <c r="A181" s="13" t="s">
        <v>100</v>
      </c>
      <c r="B181" s="13" t="s">
        <v>422</v>
      </c>
      <c r="C181" s="13" t="s">
        <v>423</v>
      </c>
      <c r="D181" s="13" t="s">
        <v>421</v>
      </c>
      <c r="E181" s="13" t="s">
        <v>427</v>
      </c>
      <c r="F181" s="13" t="s">
        <v>426</v>
      </c>
      <c r="G181" s="13" t="s">
        <v>428</v>
      </c>
      <c r="H181" s="13" t="s">
        <v>424</v>
      </c>
      <c r="I181" s="13" t="s">
        <v>425</v>
      </c>
      <c r="J181" s="13" t="s">
        <v>52</v>
      </c>
      <c r="K181" s="13" t="s">
        <v>25</v>
      </c>
      <c r="N181" s="13"/>
      <c r="S181" s="17">
        <v>44514</v>
      </c>
      <c r="T181" s="18">
        <v>2021</v>
      </c>
      <c r="V181" s="13" t="s">
        <v>29</v>
      </c>
      <c r="X181" s="14">
        <v>5</v>
      </c>
      <c r="Y181" s="14"/>
      <c r="Z181" s="14" t="s">
        <v>3828</v>
      </c>
      <c r="AA181" s="14" t="s">
        <v>3807</v>
      </c>
      <c r="AB181" s="14" t="s">
        <v>3888</v>
      </c>
      <c r="AD181" s="13" t="s">
        <v>53</v>
      </c>
    </row>
    <row r="182" spans="1:30" hidden="1" x14ac:dyDescent="0.3">
      <c r="A182" s="13" t="s">
        <v>100</v>
      </c>
      <c r="B182" s="13" t="s">
        <v>1474</v>
      </c>
      <c r="C182" s="13" t="s">
        <v>466</v>
      </c>
      <c r="D182" s="13" t="s">
        <v>1473</v>
      </c>
      <c r="E182" s="13" t="s">
        <v>1478</v>
      </c>
      <c r="F182" s="13" t="s">
        <v>1477</v>
      </c>
      <c r="G182" s="13" t="s">
        <v>1479</v>
      </c>
      <c r="H182" s="13" t="s">
        <v>1475</v>
      </c>
      <c r="I182" s="13" t="s">
        <v>1476</v>
      </c>
      <c r="K182" s="13" t="s">
        <v>25</v>
      </c>
      <c r="N182" s="13"/>
      <c r="S182" s="17">
        <v>44514</v>
      </c>
      <c r="T182" s="18">
        <v>2021</v>
      </c>
      <c r="V182" s="13" t="s">
        <v>29</v>
      </c>
      <c r="X182" s="14">
        <v>5</v>
      </c>
      <c r="Y182" s="14"/>
      <c r="Z182" s="14" t="s">
        <v>3828</v>
      </c>
      <c r="AA182" s="14" t="s">
        <v>3811</v>
      </c>
      <c r="AB182" s="14" t="s">
        <v>3887</v>
      </c>
      <c r="AD182" s="13" t="s">
        <v>53</v>
      </c>
    </row>
    <row r="183" spans="1:30" hidden="1" x14ac:dyDescent="0.3">
      <c r="A183" s="13" t="s">
        <v>22</v>
      </c>
      <c r="B183" s="13" t="s">
        <v>2470</v>
      </c>
      <c r="C183" s="13" t="s">
        <v>523</v>
      </c>
      <c r="D183" s="13" t="s">
        <v>2469</v>
      </c>
      <c r="E183" s="13" t="s">
        <v>2474</v>
      </c>
      <c r="F183" s="13" t="s">
        <v>2473</v>
      </c>
      <c r="G183" s="13" t="s">
        <v>2475</v>
      </c>
      <c r="H183" s="13" t="s">
        <v>2471</v>
      </c>
      <c r="I183" s="13" t="s">
        <v>2472</v>
      </c>
      <c r="K183" s="13" t="s">
        <v>25</v>
      </c>
      <c r="N183" s="13"/>
      <c r="S183" s="17">
        <v>44515</v>
      </c>
      <c r="T183" s="18">
        <v>2021</v>
      </c>
      <c r="V183" s="13" t="s">
        <v>29</v>
      </c>
      <c r="X183" s="14">
        <v>5</v>
      </c>
      <c r="Y183" s="14"/>
      <c r="Z183" s="14" t="s">
        <v>3835</v>
      </c>
      <c r="AA183" s="14" t="s">
        <v>3813</v>
      </c>
      <c r="AB183" s="14" t="s">
        <v>3884</v>
      </c>
      <c r="AD183" s="13" t="s">
        <v>53</v>
      </c>
    </row>
    <row r="184" spans="1:30" hidden="1" x14ac:dyDescent="0.3">
      <c r="A184" s="13" t="s">
        <v>100</v>
      </c>
      <c r="B184" s="13" t="s">
        <v>2418</v>
      </c>
      <c r="C184" s="13" t="s">
        <v>1387</v>
      </c>
      <c r="D184" s="13" t="s">
        <v>2417</v>
      </c>
      <c r="E184" s="13" t="s">
        <v>2421</v>
      </c>
      <c r="F184" s="13" t="s">
        <v>2422</v>
      </c>
      <c r="G184" s="13" t="s">
        <v>2423</v>
      </c>
      <c r="H184" s="13" t="s">
        <v>2419</v>
      </c>
      <c r="I184" s="13" t="s">
        <v>2420</v>
      </c>
      <c r="K184" s="13" t="s">
        <v>25</v>
      </c>
      <c r="N184" s="13"/>
      <c r="S184" s="17">
        <v>44516</v>
      </c>
      <c r="T184" s="18">
        <v>2021</v>
      </c>
      <c r="V184" s="13" t="s">
        <v>29</v>
      </c>
      <c r="X184" s="14">
        <v>5</v>
      </c>
      <c r="Y184" s="14"/>
      <c r="Z184" s="14" t="s">
        <v>3828</v>
      </c>
      <c r="AA184" s="14" t="s">
        <v>3807</v>
      </c>
      <c r="AB184" s="14" t="s">
        <v>3888</v>
      </c>
      <c r="AC184" s="13"/>
      <c r="AD184" s="13" t="s">
        <v>53</v>
      </c>
    </row>
    <row r="185" spans="1:30" ht="27.6" hidden="1" x14ac:dyDescent="0.3">
      <c r="A185" s="13" t="s">
        <v>22</v>
      </c>
      <c r="B185" s="13" t="s">
        <v>2688</v>
      </c>
      <c r="C185" s="13" t="s">
        <v>2689</v>
      </c>
      <c r="D185" s="13" t="s">
        <v>2687</v>
      </c>
      <c r="E185" s="13" t="s">
        <v>2692</v>
      </c>
      <c r="F185" s="13" t="s">
        <v>2691</v>
      </c>
      <c r="G185" s="13" t="s">
        <v>2693</v>
      </c>
      <c r="H185" s="13" t="s">
        <v>2690</v>
      </c>
      <c r="I185" s="13" t="s">
        <v>2216</v>
      </c>
      <c r="K185" s="13" t="s">
        <v>25</v>
      </c>
      <c r="N185" s="13"/>
      <c r="S185" s="17">
        <v>44517</v>
      </c>
      <c r="T185" s="18">
        <v>2021</v>
      </c>
      <c r="V185" s="13" t="s">
        <v>29</v>
      </c>
      <c r="X185" s="14">
        <v>5</v>
      </c>
      <c r="Y185" s="14"/>
      <c r="Z185" s="14" t="s">
        <v>2148</v>
      </c>
      <c r="AA185" s="14" t="s">
        <v>3823</v>
      </c>
      <c r="AB185" s="14" t="s">
        <v>3891</v>
      </c>
      <c r="AD185" s="13" t="s">
        <v>53</v>
      </c>
    </row>
    <row r="186" spans="1:30" hidden="1" x14ac:dyDescent="0.3">
      <c r="A186" s="13" t="s">
        <v>100</v>
      </c>
      <c r="B186" s="13" t="s">
        <v>1509</v>
      </c>
      <c r="C186" s="13" t="s">
        <v>229</v>
      </c>
      <c r="D186" s="13" t="s">
        <v>1508</v>
      </c>
      <c r="E186" s="13" t="s">
        <v>1513</v>
      </c>
      <c r="F186" s="13" t="s">
        <v>1512</v>
      </c>
      <c r="G186" s="13" t="s">
        <v>1514</v>
      </c>
      <c r="H186" s="13" t="s">
        <v>1510</v>
      </c>
      <c r="I186" s="13" t="s">
        <v>1511</v>
      </c>
      <c r="K186" s="13" t="s">
        <v>25</v>
      </c>
      <c r="N186" s="13"/>
      <c r="S186" s="17">
        <v>44517</v>
      </c>
      <c r="T186" s="18">
        <v>2021</v>
      </c>
      <c r="V186" s="13" t="s">
        <v>29</v>
      </c>
      <c r="X186" s="14">
        <v>5</v>
      </c>
      <c r="Y186" s="14"/>
      <c r="Z186" s="14" t="s">
        <v>3828</v>
      </c>
      <c r="AA186" s="14" t="s">
        <v>3807</v>
      </c>
      <c r="AB186" s="14" t="s">
        <v>3888</v>
      </c>
      <c r="AD186" s="13" t="s">
        <v>53</v>
      </c>
    </row>
    <row r="187" spans="1:30" hidden="1" x14ac:dyDescent="0.3">
      <c r="A187" s="13" t="s">
        <v>22</v>
      </c>
      <c r="B187" s="13" t="s">
        <v>975</v>
      </c>
      <c r="C187" s="13" t="s">
        <v>346</v>
      </c>
      <c r="D187" s="13" t="s">
        <v>974</v>
      </c>
      <c r="E187" s="13" t="s">
        <v>977</v>
      </c>
      <c r="F187" s="13" t="s">
        <v>976</v>
      </c>
      <c r="K187" s="13" t="s">
        <v>25</v>
      </c>
      <c r="N187" s="13"/>
      <c r="S187" s="17">
        <v>44519</v>
      </c>
      <c r="T187" s="18">
        <v>2021</v>
      </c>
      <c r="V187" s="13" t="s">
        <v>29</v>
      </c>
      <c r="X187" s="14">
        <v>5</v>
      </c>
      <c r="Y187" s="14"/>
      <c r="Z187" s="14" t="s">
        <v>3835</v>
      </c>
      <c r="AA187" s="14" t="s">
        <v>3814</v>
      </c>
      <c r="AB187" s="14" t="s">
        <v>3884</v>
      </c>
      <c r="AD187" s="13" t="s">
        <v>53</v>
      </c>
    </row>
    <row r="188" spans="1:30" hidden="1" x14ac:dyDescent="0.3">
      <c r="A188" s="13" t="s">
        <v>22</v>
      </c>
      <c r="B188" s="13" t="s">
        <v>1523</v>
      </c>
      <c r="C188" s="13" t="s">
        <v>390</v>
      </c>
      <c r="D188" s="13" t="s">
        <v>1522</v>
      </c>
      <c r="E188" s="13" t="s">
        <v>1526</v>
      </c>
      <c r="F188" s="19" t="s">
        <v>5443</v>
      </c>
      <c r="G188" s="13" t="s">
        <v>1527</v>
      </c>
      <c r="H188" s="13" t="s">
        <v>1524</v>
      </c>
      <c r="I188" s="13" t="s">
        <v>1525</v>
      </c>
      <c r="J188" s="13" t="s">
        <v>52</v>
      </c>
      <c r="K188" s="13" t="s">
        <v>25</v>
      </c>
      <c r="N188" s="13"/>
      <c r="S188" s="17">
        <v>44519</v>
      </c>
      <c r="T188" s="18">
        <v>2021</v>
      </c>
      <c r="V188" s="13" t="s">
        <v>29</v>
      </c>
      <c r="X188" s="14">
        <v>5</v>
      </c>
      <c r="Y188" s="14"/>
      <c r="Z188" s="14" t="s">
        <v>3835</v>
      </c>
      <c r="AA188" s="14" t="s">
        <v>3817</v>
      </c>
      <c r="AB188" s="14" t="s">
        <v>3884</v>
      </c>
      <c r="AD188" s="13" t="s">
        <v>53</v>
      </c>
    </row>
    <row r="189" spans="1:30" hidden="1" x14ac:dyDescent="0.3">
      <c r="A189" s="13" t="s">
        <v>100</v>
      </c>
      <c r="B189" s="13" t="s">
        <v>999</v>
      </c>
      <c r="C189" s="13" t="s">
        <v>1000</v>
      </c>
      <c r="D189" s="13" t="s">
        <v>998</v>
      </c>
      <c r="E189" s="13" t="s">
        <v>1003</v>
      </c>
      <c r="F189" s="13" t="s">
        <v>1002</v>
      </c>
      <c r="K189" s="13" t="s">
        <v>25</v>
      </c>
      <c r="N189" s="13"/>
      <c r="S189" s="17">
        <v>44519</v>
      </c>
      <c r="T189" s="18">
        <v>2021</v>
      </c>
      <c r="V189" s="13" t="s">
        <v>29</v>
      </c>
      <c r="X189" s="14">
        <v>5</v>
      </c>
      <c r="Y189" s="14"/>
      <c r="Z189" s="14" t="s">
        <v>3828</v>
      </c>
      <c r="AA189" s="14" t="s">
        <v>3809</v>
      </c>
      <c r="AB189" s="14" t="s">
        <v>3888</v>
      </c>
      <c r="AC189" s="13" t="s">
        <v>1001</v>
      </c>
      <c r="AD189" s="13" t="s">
        <v>53</v>
      </c>
    </row>
    <row r="190" spans="1:30" hidden="1" x14ac:dyDescent="0.3">
      <c r="A190" s="13" t="s">
        <v>100</v>
      </c>
      <c r="B190" s="13" t="s">
        <v>3445</v>
      </c>
      <c r="C190" s="13" t="s">
        <v>3446</v>
      </c>
      <c r="D190" s="13" t="s">
        <v>3444</v>
      </c>
      <c r="E190" s="13" t="s">
        <v>3450</v>
      </c>
      <c r="F190" s="13" t="s">
        <v>3451</v>
      </c>
      <c r="H190" s="13" t="s">
        <v>2502</v>
      </c>
      <c r="I190" s="13" t="s">
        <v>2503</v>
      </c>
      <c r="J190" s="13" t="s">
        <v>3447</v>
      </c>
      <c r="K190" s="13" t="s">
        <v>3448</v>
      </c>
      <c r="N190" s="13"/>
      <c r="S190" s="17">
        <v>44519</v>
      </c>
      <c r="T190" s="18">
        <v>2021</v>
      </c>
      <c r="V190" s="13" t="s">
        <v>29</v>
      </c>
      <c r="X190" s="14">
        <v>5</v>
      </c>
      <c r="Y190" s="14"/>
      <c r="Z190" s="14" t="s">
        <v>3828</v>
      </c>
      <c r="AA190" s="14" t="s">
        <v>3809</v>
      </c>
      <c r="AB190" s="14" t="s">
        <v>3888</v>
      </c>
      <c r="AC190" s="13"/>
      <c r="AD190" s="13" t="s">
        <v>3449</v>
      </c>
    </row>
    <row r="191" spans="1:30" hidden="1" x14ac:dyDescent="0.3">
      <c r="A191" s="13" t="s">
        <v>22</v>
      </c>
      <c r="B191" s="13" t="s">
        <v>1462</v>
      </c>
      <c r="C191" s="13" t="s">
        <v>1463</v>
      </c>
      <c r="D191" s="13" t="s">
        <v>1461</v>
      </c>
      <c r="E191" s="13" t="s">
        <v>1465</v>
      </c>
      <c r="F191" s="13" t="s">
        <v>1464</v>
      </c>
      <c r="K191" s="13" t="s">
        <v>25</v>
      </c>
      <c r="N191" s="13"/>
      <c r="S191" s="17">
        <v>44520</v>
      </c>
      <c r="T191" s="18">
        <v>2021</v>
      </c>
      <c r="V191" s="13" t="s">
        <v>29</v>
      </c>
      <c r="X191" s="14">
        <v>5</v>
      </c>
      <c r="Y191" s="14"/>
      <c r="Z191" s="14" t="s">
        <v>2148</v>
      </c>
      <c r="AA191" s="14" t="s">
        <v>3818</v>
      </c>
      <c r="AB191" s="14" t="s">
        <v>3890</v>
      </c>
      <c r="AD191" s="13" t="s">
        <v>53</v>
      </c>
    </row>
    <row r="192" spans="1:30" hidden="1" x14ac:dyDescent="0.3">
      <c r="A192" s="13" t="s">
        <v>22</v>
      </c>
      <c r="B192" s="13" t="s">
        <v>3684</v>
      </c>
      <c r="C192" s="13" t="s">
        <v>157</v>
      </c>
      <c r="D192" s="13" t="s">
        <v>3683</v>
      </c>
      <c r="E192" s="13" t="s">
        <v>3687</v>
      </c>
      <c r="F192" s="13" t="s">
        <v>3688</v>
      </c>
      <c r="G192" s="13" t="s">
        <v>3689</v>
      </c>
      <c r="H192" s="13" t="s">
        <v>3685</v>
      </c>
      <c r="I192" s="13" t="s">
        <v>2629</v>
      </c>
      <c r="J192" s="13" t="s">
        <v>3686</v>
      </c>
      <c r="K192" s="13" t="s">
        <v>25</v>
      </c>
      <c r="N192" s="13"/>
      <c r="S192" s="17">
        <v>44520</v>
      </c>
      <c r="T192" s="18">
        <v>2021</v>
      </c>
      <c r="V192" s="13" t="s">
        <v>29</v>
      </c>
      <c r="X192" s="14">
        <v>5</v>
      </c>
      <c r="Y192" s="14"/>
      <c r="Z192" s="14" t="s">
        <v>3835</v>
      </c>
      <c r="AA192" s="14" t="s">
        <v>3813</v>
      </c>
      <c r="AB192" s="14" t="s">
        <v>3884</v>
      </c>
      <c r="AC192" s="13"/>
      <c r="AD192" s="13" t="s">
        <v>53</v>
      </c>
    </row>
    <row r="193" spans="1:30" hidden="1" x14ac:dyDescent="0.3">
      <c r="A193" s="13" t="s">
        <v>100</v>
      </c>
      <c r="B193" s="13" t="s">
        <v>500</v>
      </c>
      <c r="C193" s="13" t="s">
        <v>501</v>
      </c>
      <c r="D193" s="13" t="s">
        <v>499</v>
      </c>
      <c r="E193" s="13" t="s">
        <v>506</v>
      </c>
      <c r="F193" s="13" t="s">
        <v>505</v>
      </c>
      <c r="G193" s="13" t="s">
        <v>507</v>
      </c>
      <c r="H193" s="13" t="s">
        <v>502</v>
      </c>
      <c r="I193" s="13" t="s">
        <v>503</v>
      </c>
      <c r="J193" s="13" t="s">
        <v>504</v>
      </c>
      <c r="K193" s="13" t="s">
        <v>25</v>
      </c>
      <c r="N193" s="13"/>
      <c r="S193" s="17">
        <v>44520</v>
      </c>
      <c r="T193" s="18">
        <v>2021</v>
      </c>
      <c r="V193" s="13" t="s">
        <v>29</v>
      </c>
      <c r="X193" s="14">
        <v>5</v>
      </c>
      <c r="Y193" s="14"/>
      <c r="Z193" s="14" t="s">
        <v>3828</v>
      </c>
      <c r="AA193" s="14" t="s">
        <v>3807</v>
      </c>
      <c r="AB193" s="14" t="s">
        <v>3888</v>
      </c>
      <c r="AD193" s="13" t="s">
        <v>53</v>
      </c>
    </row>
    <row r="194" spans="1:30" ht="27.6" hidden="1" x14ac:dyDescent="0.3">
      <c r="A194" s="13" t="s">
        <v>100</v>
      </c>
      <c r="B194" s="13" t="s">
        <v>923</v>
      </c>
      <c r="C194" s="13" t="s">
        <v>466</v>
      </c>
      <c r="D194" s="13" t="s">
        <v>922</v>
      </c>
      <c r="E194" s="13" t="s">
        <v>927</v>
      </c>
      <c r="F194" s="13" t="s">
        <v>926</v>
      </c>
      <c r="G194" s="13" t="s">
        <v>928</v>
      </c>
      <c r="H194" s="13" t="s">
        <v>924</v>
      </c>
      <c r="I194" s="13" t="s">
        <v>925</v>
      </c>
      <c r="J194" s="13" t="s">
        <v>330</v>
      </c>
      <c r="K194" s="13" t="s">
        <v>25</v>
      </c>
      <c r="N194" s="13"/>
      <c r="S194" s="17">
        <v>44520</v>
      </c>
      <c r="T194" s="18">
        <v>2021</v>
      </c>
      <c r="V194" s="13" t="s">
        <v>29</v>
      </c>
      <c r="X194" s="14">
        <v>5</v>
      </c>
      <c r="Y194" s="14"/>
      <c r="Z194" s="14" t="s">
        <v>3828</v>
      </c>
      <c r="AA194" s="14" t="s">
        <v>3816</v>
      </c>
      <c r="AB194" s="14" t="s">
        <v>3885</v>
      </c>
      <c r="AD194" s="13" t="s">
        <v>53</v>
      </c>
    </row>
    <row r="195" spans="1:30" hidden="1" x14ac:dyDescent="0.3">
      <c r="A195" s="13" t="s">
        <v>100</v>
      </c>
      <c r="B195" s="13" t="s">
        <v>1431</v>
      </c>
      <c r="C195" s="13" t="s">
        <v>124</v>
      </c>
      <c r="D195" s="13" t="s">
        <v>1430</v>
      </c>
      <c r="E195" s="13" t="s">
        <v>1435</v>
      </c>
      <c r="F195" s="13" t="s">
        <v>1434</v>
      </c>
      <c r="G195" s="13" t="s">
        <v>1436</v>
      </c>
      <c r="H195" s="13" t="s">
        <v>1432</v>
      </c>
      <c r="I195" s="13" t="s">
        <v>1433</v>
      </c>
      <c r="J195" s="13" t="s">
        <v>660</v>
      </c>
      <c r="K195" s="13" t="s">
        <v>25</v>
      </c>
      <c r="N195" s="13"/>
      <c r="S195" s="17">
        <v>44520</v>
      </c>
      <c r="T195" s="18">
        <v>2021</v>
      </c>
      <c r="V195" s="13" t="s">
        <v>29</v>
      </c>
      <c r="X195" s="14">
        <v>5</v>
      </c>
      <c r="Y195" s="14"/>
      <c r="Z195" s="14" t="s">
        <v>3828</v>
      </c>
      <c r="AA195" s="14" t="s">
        <v>3807</v>
      </c>
      <c r="AB195" s="14" t="s">
        <v>3888</v>
      </c>
      <c r="AD195" s="13" t="s">
        <v>53</v>
      </c>
    </row>
    <row r="196" spans="1:30" hidden="1" x14ac:dyDescent="0.3">
      <c r="A196" s="13" t="s">
        <v>100</v>
      </c>
      <c r="B196" s="13" t="s">
        <v>3226</v>
      </c>
      <c r="C196" s="13" t="s">
        <v>3227</v>
      </c>
      <c r="D196" s="13" t="s">
        <v>3225</v>
      </c>
      <c r="E196" s="13" t="s">
        <v>3231</v>
      </c>
      <c r="F196" s="13" t="s">
        <v>3230</v>
      </c>
      <c r="G196" s="13" t="s">
        <v>3232</v>
      </c>
      <c r="H196" s="13" t="s">
        <v>3228</v>
      </c>
      <c r="I196" s="13" t="s">
        <v>3229</v>
      </c>
      <c r="J196" s="13" t="s">
        <v>52</v>
      </c>
      <c r="K196" s="13" t="s">
        <v>25</v>
      </c>
      <c r="N196" s="13"/>
      <c r="S196" s="17">
        <v>44520</v>
      </c>
      <c r="T196" s="18">
        <v>2021</v>
      </c>
      <c r="V196" s="13" t="s">
        <v>29</v>
      </c>
      <c r="X196" s="14">
        <v>5</v>
      </c>
      <c r="Y196" s="14"/>
      <c r="Z196" s="14" t="s">
        <v>3828</v>
      </c>
      <c r="AA196" s="14" t="s">
        <v>3809</v>
      </c>
      <c r="AB196" s="14" t="s">
        <v>3888</v>
      </c>
      <c r="AD196" s="13" t="s">
        <v>53</v>
      </c>
    </row>
    <row r="197" spans="1:30" hidden="1" x14ac:dyDescent="0.3">
      <c r="A197" s="13" t="s">
        <v>100</v>
      </c>
      <c r="B197" s="13" t="s">
        <v>3268</v>
      </c>
      <c r="C197" s="13" t="s">
        <v>189</v>
      </c>
      <c r="D197" s="13" t="s">
        <v>3267</v>
      </c>
      <c r="E197" s="13" t="s">
        <v>3271</v>
      </c>
      <c r="F197" s="13" t="s">
        <v>3272</v>
      </c>
      <c r="G197" s="13" t="s">
        <v>3273</v>
      </c>
      <c r="H197" s="13" t="s">
        <v>3269</v>
      </c>
      <c r="I197" s="13" t="s">
        <v>3270</v>
      </c>
      <c r="K197" s="13" t="s">
        <v>25</v>
      </c>
      <c r="N197" s="13"/>
      <c r="S197" s="17">
        <v>44520</v>
      </c>
      <c r="T197" s="18">
        <v>2021</v>
      </c>
      <c r="V197" s="13" t="s">
        <v>29</v>
      </c>
      <c r="X197" s="14">
        <v>5</v>
      </c>
      <c r="Y197" s="14"/>
      <c r="Z197" s="14" t="s">
        <v>3828</v>
      </c>
      <c r="AA197" s="14" t="s">
        <v>3815</v>
      </c>
      <c r="AB197" s="14" t="s">
        <v>3888</v>
      </c>
      <c r="AC197" s="13"/>
      <c r="AD197" s="13" t="s">
        <v>53</v>
      </c>
    </row>
    <row r="198" spans="1:30" hidden="1" x14ac:dyDescent="0.3">
      <c r="A198" s="13" t="s">
        <v>49</v>
      </c>
      <c r="B198" s="13" t="s">
        <v>345</v>
      </c>
      <c r="C198" s="13" t="s">
        <v>346</v>
      </c>
      <c r="D198" s="13" t="s">
        <v>344</v>
      </c>
      <c r="E198" s="13" t="s">
        <v>349</v>
      </c>
      <c r="F198" s="13" t="s">
        <v>350</v>
      </c>
      <c r="G198" s="13" t="s">
        <v>351</v>
      </c>
      <c r="H198" s="13" t="s">
        <v>347</v>
      </c>
      <c r="I198" s="13" t="s">
        <v>348</v>
      </c>
      <c r="J198" s="13" t="s">
        <v>52</v>
      </c>
      <c r="K198" s="13" t="s">
        <v>25</v>
      </c>
      <c r="N198" s="13"/>
      <c r="S198" s="17">
        <v>44520</v>
      </c>
      <c r="T198" s="18">
        <v>2021</v>
      </c>
      <c r="V198" s="13" t="s">
        <v>29</v>
      </c>
      <c r="X198" s="14">
        <v>5</v>
      </c>
      <c r="Y198" s="14"/>
      <c r="Z198" s="14" t="s">
        <v>3828</v>
      </c>
      <c r="AA198" s="14" t="s">
        <v>3812</v>
      </c>
      <c r="AB198" s="14" t="s">
        <v>3887</v>
      </c>
      <c r="AC198" s="13"/>
      <c r="AD198" s="13" t="s">
        <v>53</v>
      </c>
    </row>
    <row r="199" spans="1:30" hidden="1" x14ac:dyDescent="0.3">
      <c r="A199" s="13" t="s">
        <v>22</v>
      </c>
      <c r="B199" s="13" t="s">
        <v>2588</v>
      </c>
      <c r="C199" s="13" t="s">
        <v>2589</v>
      </c>
      <c r="D199" s="13" t="s">
        <v>2587</v>
      </c>
      <c r="E199" s="13" t="s">
        <v>2592</v>
      </c>
      <c r="F199" s="13" t="s">
        <v>9954</v>
      </c>
      <c r="G199" s="13" t="s">
        <v>2593</v>
      </c>
      <c r="H199" s="13" t="s">
        <v>2590</v>
      </c>
      <c r="I199" s="13" t="s">
        <v>2591</v>
      </c>
      <c r="K199" s="13" t="s">
        <v>25</v>
      </c>
      <c r="N199" s="13"/>
      <c r="S199" s="17">
        <v>44521</v>
      </c>
      <c r="T199" s="18">
        <v>2021</v>
      </c>
      <c r="V199" s="13" t="s">
        <v>29</v>
      </c>
      <c r="X199" s="14">
        <v>5</v>
      </c>
      <c r="Y199" s="14"/>
      <c r="Z199" s="14" t="s">
        <v>3835</v>
      </c>
      <c r="AA199" s="14" t="s">
        <v>3814</v>
      </c>
      <c r="AB199" s="14" t="s">
        <v>3884</v>
      </c>
      <c r="AC199" s="13"/>
      <c r="AD199" s="13" t="s">
        <v>53</v>
      </c>
    </row>
    <row r="200" spans="1:30" hidden="1" x14ac:dyDescent="0.3">
      <c r="A200" s="13" t="s">
        <v>100</v>
      </c>
      <c r="B200" s="13" t="s">
        <v>171</v>
      </c>
      <c r="C200" s="13" t="s">
        <v>172</v>
      </c>
      <c r="D200" s="13" t="s">
        <v>170</v>
      </c>
      <c r="E200" s="13" t="s">
        <v>177</v>
      </c>
      <c r="F200" s="13" t="s">
        <v>176</v>
      </c>
      <c r="G200" s="13" t="s">
        <v>178</v>
      </c>
      <c r="H200" s="13" t="s">
        <v>173</v>
      </c>
      <c r="I200" s="13" t="s">
        <v>174</v>
      </c>
      <c r="J200" s="13" t="s">
        <v>175</v>
      </c>
      <c r="K200" s="13" t="s">
        <v>25</v>
      </c>
      <c r="N200" s="13"/>
      <c r="S200" s="17">
        <v>44521</v>
      </c>
      <c r="T200" s="18">
        <v>2021</v>
      </c>
      <c r="V200" s="13" t="s">
        <v>29</v>
      </c>
      <c r="X200" s="14">
        <v>5</v>
      </c>
      <c r="Y200" s="14"/>
      <c r="Z200" s="14" t="s">
        <v>3828</v>
      </c>
      <c r="AA200" s="14" t="s">
        <v>3815</v>
      </c>
      <c r="AB200" s="14" t="s">
        <v>3888</v>
      </c>
      <c r="AD200" s="13" t="s">
        <v>53</v>
      </c>
    </row>
    <row r="201" spans="1:30" hidden="1" x14ac:dyDescent="0.3">
      <c r="A201" s="13" t="s">
        <v>100</v>
      </c>
      <c r="B201" s="13" t="s">
        <v>898</v>
      </c>
      <c r="C201" s="13" t="s">
        <v>557</v>
      </c>
      <c r="D201" s="13" t="s">
        <v>897</v>
      </c>
      <c r="E201" s="13" t="s">
        <v>902</v>
      </c>
      <c r="F201" s="13" t="s">
        <v>901</v>
      </c>
      <c r="G201" s="13" t="s">
        <v>903</v>
      </c>
      <c r="H201" s="13" t="s">
        <v>899</v>
      </c>
      <c r="I201" s="13" t="s">
        <v>900</v>
      </c>
      <c r="J201" s="13" t="s">
        <v>52</v>
      </c>
      <c r="K201" s="13" t="s">
        <v>25</v>
      </c>
      <c r="N201" s="13"/>
      <c r="S201" s="17">
        <v>44521</v>
      </c>
      <c r="T201" s="18">
        <v>2021</v>
      </c>
      <c r="V201" s="13" t="s">
        <v>29</v>
      </c>
      <c r="X201" s="14">
        <v>5</v>
      </c>
      <c r="Y201" s="14"/>
      <c r="Z201" s="14" t="s">
        <v>3828</v>
      </c>
      <c r="AA201" s="14" t="s">
        <v>3811</v>
      </c>
      <c r="AB201" s="14" t="s">
        <v>3887</v>
      </c>
      <c r="AD201" s="13" t="s">
        <v>53</v>
      </c>
    </row>
    <row r="202" spans="1:30" hidden="1" x14ac:dyDescent="0.3">
      <c r="A202" s="13" t="s">
        <v>22</v>
      </c>
      <c r="B202" s="13" t="s">
        <v>612</v>
      </c>
      <c r="C202" s="13" t="s">
        <v>613</v>
      </c>
      <c r="D202" s="13" t="s">
        <v>611</v>
      </c>
      <c r="E202" s="13" t="s">
        <v>617</v>
      </c>
      <c r="F202" s="13" t="s">
        <v>616</v>
      </c>
      <c r="G202" s="13" t="s">
        <v>618</v>
      </c>
      <c r="H202" s="13" t="s">
        <v>614</v>
      </c>
      <c r="I202" s="13" t="s">
        <v>615</v>
      </c>
      <c r="J202" s="13" t="s">
        <v>488</v>
      </c>
      <c r="K202" s="13" t="s">
        <v>25</v>
      </c>
      <c r="N202" s="13"/>
      <c r="S202" s="17">
        <v>44522</v>
      </c>
      <c r="T202" s="18">
        <v>2021</v>
      </c>
      <c r="V202" s="13" t="s">
        <v>29</v>
      </c>
      <c r="X202" s="14">
        <v>5</v>
      </c>
      <c r="Y202" s="14"/>
      <c r="Z202" s="14" t="s">
        <v>3835</v>
      </c>
      <c r="AA202" s="14" t="s">
        <v>3814</v>
      </c>
      <c r="AB202" s="14" t="s">
        <v>3884</v>
      </c>
      <c r="AD202" s="13" t="s">
        <v>53</v>
      </c>
    </row>
    <row r="203" spans="1:30" hidden="1" x14ac:dyDescent="0.3">
      <c r="A203" s="13" t="s">
        <v>22</v>
      </c>
      <c r="B203" s="13" t="s">
        <v>2278</v>
      </c>
      <c r="C203" s="13" t="s">
        <v>124</v>
      </c>
      <c r="D203" s="13" t="s">
        <v>2277</v>
      </c>
      <c r="E203" s="13" t="s">
        <v>2282</v>
      </c>
      <c r="F203" s="13" t="s">
        <v>2281</v>
      </c>
      <c r="G203" s="13" t="s">
        <v>2283</v>
      </c>
      <c r="H203" s="13" t="s">
        <v>2279</v>
      </c>
      <c r="I203" s="13" t="s">
        <v>2280</v>
      </c>
      <c r="K203" s="13" t="s">
        <v>25</v>
      </c>
      <c r="N203" s="13"/>
      <c r="S203" s="17">
        <v>44522</v>
      </c>
      <c r="T203" s="18">
        <v>2021</v>
      </c>
      <c r="V203" s="13" t="s">
        <v>29</v>
      </c>
      <c r="X203" s="14">
        <v>5</v>
      </c>
      <c r="Y203" s="14"/>
      <c r="Z203" s="14" t="s">
        <v>3835</v>
      </c>
      <c r="AA203" s="14" t="s">
        <v>3817</v>
      </c>
      <c r="AB203" s="14" t="s">
        <v>3884</v>
      </c>
      <c r="AD203" s="13" t="s">
        <v>53</v>
      </c>
    </row>
    <row r="204" spans="1:30" ht="27.6" hidden="1" x14ac:dyDescent="0.3">
      <c r="A204" s="13" t="s">
        <v>100</v>
      </c>
      <c r="B204" s="13" t="s">
        <v>3668</v>
      </c>
      <c r="C204" s="13" t="s">
        <v>3669</v>
      </c>
      <c r="D204" s="13" t="s">
        <v>3667</v>
      </c>
      <c r="E204" s="13" t="s">
        <v>3673</v>
      </c>
      <c r="F204" s="13" t="s">
        <v>3672</v>
      </c>
      <c r="G204" s="13" t="s">
        <v>3674</v>
      </c>
      <c r="H204" s="13" t="s">
        <v>3670</v>
      </c>
      <c r="I204" s="13" t="s">
        <v>3671</v>
      </c>
      <c r="J204" s="13" t="s">
        <v>52</v>
      </c>
      <c r="K204" s="13" t="s">
        <v>25</v>
      </c>
      <c r="N204" s="13"/>
      <c r="S204" s="17">
        <v>44522</v>
      </c>
      <c r="T204" s="18">
        <v>2021</v>
      </c>
      <c r="V204" s="13" t="s">
        <v>29</v>
      </c>
      <c r="X204" s="14">
        <v>5</v>
      </c>
      <c r="Y204" s="14"/>
      <c r="Z204" s="14" t="s">
        <v>3828</v>
      </c>
      <c r="AA204" s="14" t="s">
        <v>3809</v>
      </c>
      <c r="AB204" s="14" t="s">
        <v>3888</v>
      </c>
      <c r="AD204" s="13" t="s">
        <v>53</v>
      </c>
    </row>
    <row r="205" spans="1:30" hidden="1" x14ac:dyDescent="0.3">
      <c r="A205" s="13" t="s">
        <v>100</v>
      </c>
      <c r="B205" s="13" t="s">
        <v>196</v>
      </c>
      <c r="C205" s="13" t="s">
        <v>99</v>
      </c>
      <c r="D205" s="13" t="s">
        <v>195</v>
      </c>
      <c r="E205" s="13" t="s">
        <v>200</v>
      </c>
      <c r="F205" s="13" t="s">
        <v>199</v>
      </c>
      <c r="G205" s="13" t="s">
        <v>201</v>
      </c>
      <c r="H205" s="13" t="s">
        <v>197</v>
      </c>
      <c r="J205" s="13" t="s">
        <v>52</v>
      </c>
      <c r="K205" s="13" t="s">
        <v>25</v>
      </c>
      <c r="N205" s="13"/>
      <c r="S205" s="17">
        <v>44523</v>
      </c>
      <c r="T205" s="18">
        <v>2021</v>
      </c>
      <c r="V205" s="13" t="s">
        <v>29</v>
      </c>
      <c r="X205" s="14">
        <v>5</v>
      </c>
      <c r="Y205" s="14"/>
      <c r="Z205" s="14" t="s">
        <v>3828</v>
      </c>
      <c r="AA205" s="14" t="s">
        <v>3816</v>
      </c>
      <c r="AB205" s="14" t="s">
        <v>3885</v>
      </c>
      <c r="AC205" s="13" t="s">
        <v>198</v>
      </c>
      <c r="AD205" s="13" t="s">
        <v>53</v>
      </c>
    </row>
    <row r="206" spans="1:30" hidden="1" x14ac:dyDescent="0.3">
      <c r="A206" s="13" t="s">
        <v>49</v>
      </c>
      <c r="B206" s="13" t="s">
        <v>319</v>
      </c>
      <c r="C206" s="13" t="s">
        <v>320</v>
      </c>
      <c r="D206" s="13" t="s">
        <v>318</v>
      </c>
      <c r="E206" s="13" t="s">
        <v>323</v>
      </c>
      <c r="F206" s="13" t="s">
        <v>322</v>
      </c>
      <c r="G206" s="13" t="s">
        <v>324</v>
      </c>
      <c r="H206" s="13" t="s">
        <v>321</v>
      </c>
      <c r="I206" s="13" t="s">
        <v>51</v>
      </c>
      <c r="J206" s="13" t="s">
        <v>52</v>
      </c>
      <c r="K206" s="13" t="s">
        <v>25</v>
      </c>
      <c r="N206" s="13"/>
      <c r="S206" s="17">
        <v>44524</v>
      </c>
      <c r="T206" s="18">
        <v>2021</v>
      </c>
      <c r="V206" s="13" t="s">
        <v>29</v>
      </c>
      <c r="X206" s="14">
        <v>5</v>
      </c>
      <c r="Y206" s="14"/>
      <c r="Z206" s="14" t="s">
        <v>3828</v>
      </c>
      <c r="AA206" s="14" t="s">
        <v>3808</v>
      </c>
      <c r="AB206" s="14" t="s">
        <v>3885</v>
      </c>
      <c r="AD206" s="13" t="s">
        <v>53</v>
      </c>
    </row>
    <row r="207" spans="1:30" ht="27.6" hidden="1" x14ac:dyDescent="0.3">
      <c r="A207" s="13" t="s">
        <v>292</v>
      </c>
      <c r="B207" s="13" t="s">
        <v>290</v>
      </c>
      <c r="C207" s="13" t="s">
        <v>291</v>
      </c>
      <c r="D207" s="13" t="s">
        <v>289</v>
      </c>
      <c r="E207" s="13" t="s">
        <v>294</v>
      </c>
      <c r="F207" s="13" t="s">
        <v>295</v>
      </c>
      <c r="G207" s="13" t="s">
        <v>296</v>
      </c>
      <c r="H207" s="13" t="s">
        <v>293</v>
      </c>
      <c r="I207" s="13" t="s">
        <v>191</v>
      </c>
      <c r="J207" s="13" t="s">
        <v>52</v>
      </c>
      <c r="K207" s="13" t="s">
        <v>25</v>
      </c>
      <c r="N207" s="13"/>
      <c r="S207" s="17">
        <v>44524</v>
      </c>
      <c r="T207" s="18">
        <v>2021</v>
      </c>
      <c r="V207" s="13" t="s">
        <v>29</v>
      </c>
      <c r="X207" s="14">
        <v>5</v>
      </c>
      <c r="Y207" s="14"/>
      <c r="Z207" s="14" t="s">
        <v>3828</v>
      </c>
      <c r="AA207" s="14" t="s">
        <v>3819</v>
      </c>
      <c r="AB207" s="14" t="s">
        <v>3888</v>
      </c>
      <c r="AC207" s="13"/>
      <c r="AD207" s="13" t="s">
        <v>53</v>
      </c>
    </row>
    <row r="208" spans="1:30" hidden="1" x14ac:dyDescent="0.3">
      <c r="A208" s="13" t="s">
        <v>100</v>
      </c>
      <c r="B208" s="13" t="s">
        <v>2239</v>
      </c>
      <c r="C208" s="13" t="s">
        <v>157</v>
      </c>
      <c r="D208" s="13" t="s">
        <v>2238</v>
      </c>
      <c r="E208" s="13" t="s">
        <v>2241</v>
      </c>
      <c r="F208" s="13" t="s">
        <v>2242</v>
      </c>
      <c r="G208" s="13" t="s">
        <v>2243</v>
      </c>
      <c r="H208" s="13" t="s">
        <v>2240</v>
      </c>
      <c r="I208" s="13" t="s">
        <v>549</v>
      </c>
      <c r="K208" s="13" t="s">
        <v>25</v>
      </c>
      <c r="N208" s="13"/>
      <c r="S208" s="17">
        <v>44527</v>
      </c>
      <c r="T208" s="18">
        <v>2021</v>
      </c>
      <c r="V208" s="13" t="s">
        <v>29</v>
      </c>
      <c r="X208" s="14">
        <v>5</v>
      </c>
      <c r="Y208" s="14"/>
      <c r="Z208" s="14" t="s">
        <v>3828</v>
      </c>
      <c r="AA208" s="14" t="s">
        <v>3812</v>
      </c>
      <c r="AB208" s="14" t="s">
        <v>3887</v>
      </c>
      <c r="AC208" s="13"/>
      <c r="AD208" s="13" t="s">
        <v>53</v>
      </c>
    </row>
    <row r="209" spans="1:30" ht="27.6" hidden="1" x14ac:dyDescent="0.3">
      <c r="A209" s="13" t="s">
        <v>22</v>
      </c>
      <c r="B209" s="13" t="s">
        <v>59</v>
      </c>
      <c r="C209" s="13" t="s">
        <v>60</v>
      </c>
      <c r="D209" s="13" t="s">
        <v>58</v>
      </c>
      <c r="E209" s="13" t="s">
        <v>64</v>
      </c>
      <c r="F209" s="13" t="s">
        <v>63</v>
      </c>
      <c r="G209" s="13" t="s">
        <v>65</v>
      </c>
      <c r="H209" s="13" t="s">
        <v>61</v>
      </c>
      <c r="I209" s="13" t="s">
        <v>62</v>
      </c>
      <c r="J209" s="13" t="s">
        <v>52</v>
      </c>
      <c r="K209" s="13" t="s">
        <v>25</v>
      </c>
      <c r="N209" s="13"/>
      <c r="S209" s="17">
        <v>44529</v>
      </c>
      <c r="T209" s="18">
        <v>2021</v>
      </c>
      <c r="V209" s="13" t="s">
        <v>29</v>
      </c>
      <c r="X209" s="14">
        <v>5</v>
      </c>
      <c r="Y209" s="14"/>
      <c r="Z209" s="14" t="s">
        <v>3828</v>
      </c>
      <c r="AA209" s="14" t="s">
        <v>3871</v>
      </c>
      <c r="AB209" s="14" t="s">
        <v>3888</v>
      </c>
      <c r="AD209" s="13" t="s">
        <v>53</v>
      </c>
    </row>
    <row r="210" spans="1:30" ht="27.6" hidden="1" x14ac:dyDescent="0.3">
      <c r="A210" s="13" t="s">
        <v>22</v>
      </c>
      <c r="B210" s="13" t="s">
        <v>228</v>
      </c>
      <c r="C210" s="13" t="s">
        <v>229</v>
      </c>
      <c r="D210" s="13" t="s">
        <v>227</v>
      </c>
      <c r="E210" s="13" t="s">
        <v>232</v>
      </c>
      <c r="F210" s="13" t="s">
        <v>233</v>
      </c>
      <c r="G210" s="13" t="s">
        <v>234</v>
      </c>
      <c r="H210" s="13" t="s">
        <v>230</v>
      </c>
      <c r="I210" s="13" t="s">
        <v>231</v>
      </c>
      <c r="J210" s="13" t="s">
        <v>52</v>
      </c>
      <c r="K210" s="13" t="s">
        <v>25</v>
      </c>
      <c r="N210" s="13"/>
      <c r="S210" s="17">
        <v>44529</v>
      </c>
      <c r="T210" s="18">
        <v>2021</v>
      </c>
      <c r="V210" s="13" t="s">
        <v>29</v>
      </c>
      <c r="X210" s="14">
        <v>5</v>
      </c>
      <c r="Y210" s="16">
        <v>45012</v>
      </c>
      <c r="Z210" s="14" t="s">
        <v>3828</v>
      </c>
      <c r="AA210" s="14" t="s">
        <v>3871</v>
      </c>
      <c r="AB210" s="14" t="s">
        <v>3888</v>
      </c>
      <c r="AC210" s="13"/>
      <c r="AD210" s="13" t="s">
        <v>53</v>
      </c>
    </row>
    <row r="211" spans="1:30" ht="27.6" hidden="1" x14ac:dyDescent="0.3">
      <c r="A211" s="13" t="s">
        <v>22</v>
      </c>
      <c r="B211" s="13" t="s">
        <v>1219</v>
      </c>
      <c r="C211" s="13" t="s">
        <v>1220</v>
      </c>
      <c r="D211" s="13" t="s">
        <v>1218</v>
      </c>
      <c r="E211" s="13" t="s">
        <v>1224</v>
      </c>
      <c r="F211" s="13" t="s">
        <v>1223</v>
      </c>
      <c r="G211" s="13" t="s">
        <v>1225</v>
      </c>
      <c r="H211" s="13" t="s">
        <v>1221</v>
      </c>
      <c r="I211" s="13" t="s">
        <v>1222</v>
      </c>
      <c r="K211" s="13" t="s">
        <v>25</v>
      </c>
      <c r="N211" s="13"/>
      <c r="S211" s="17">
        <v>44529</v>
      </c>
      <c r="T211" s="18">
        <v>2021</v>
      </c>
      <c r="V211" s="13" t="s">
        <v>29</v>
      </c>
      <c r="X211" s="14">
        <v>5</v>
      </c>
      <c r="Y211" s="14"/>
      <c r="Z211" s="14" t="s">
        <v>2148</v>
      </c>
      <c r="AA211" s="14" t="s">
        <v>3826</v>
      </c>
      <c r="AB211" s="14" t="s">
        <v>3891</v>
      </c>
      <c r="AD211" s="13" t="s">
        <v>53</v>
      </c>
    </row>
    <row r="212" spans="1:30" hidden="1" x14ac:dyDescent="0.3">
      <c r="A212" s="13" t="s">
        <v>100</v>
      </c>
      <c r="B212" s="13" t="s">
        <v>586</v>
      </c>
      <c r="C212" s="13" t="s">
        <v>587</v>
      </c>
      <c r="D212" s="13" t="s">
        <v>585</v>
      </c>
      <c r="E212" s="13" t="s">
        <v>590</v>
      </c>
      <c r="F212" s="13" t="s">
        <v>591</v>
      </c>
      <c r="G212" s="13" t="s">
        <v>592</v>
      </c>
      <c r="H212" s="13" t="s">
        <v>588</v>
      </c>
      <c r="I212" s="13" t="s">
        <v>589</v>
      </c>
      <c r="J212" s="13" t="s">
        <v>488</v>
      </c>
      <c r="K212" s="13" t="s">
        <v>25</v>
      </c>
      <c r="N212" s="13"/>
      <c r="S212" s="17">
        <v>44530</v>
      </c>
      <c r="T212" s="18">
        <v>2021</v>
      </c>
      <c r="V212" s="13" t="s">
        <v>29</v>
      </c>
      <c r="X212" s="14">
        <v>5</v>
      </c>
      <c r="Y212" s="14"/>
      <c r="Z212" s="14" t="s">
        <v>3828</v>
      </c>
      <c r="AA212" s="14" t="s">
        <v>3819</v>
      </c>
      <c r="AB212" s="14" t="s">
        <v>3888</v>
      </c>
      <c r="AC212" s="13"/>
      <c r="AD212" s="13" t="s">
        <v>53</v>
      </c>
    </row>
    <row r="213" spans="1:30" hidden="1" x14ac:dyDescent="0.3">
      <c r="A213" s="13" t="s">
        <v>22</v>
      </c>
      <c r="B213" s="13" t="s">
        <v>264</v>
      </c>
      <c r="C213" s="13" t="s">
        <v>265</v>
      </c>
      <c r="D213" s="13" t="s">
        <v>263</v>
      </c>
      <c r="E213" s="13" t="s">
        <v>269</v>
      </c>
      <c r="F213" s="13" t="s">
        <v>268</v>
      </c>
      <c r="G213" s="13" t="s">
        <v>270</v>
      </c>
      <c r="H213" s="13" t="s">
        <v>266</v>
      </c>
      <c r="I213" s="13" t="s">
        <v>267</v>
      </c>
      <c r="J213" s="13" t="s">
        <v>52</v>
      </c>
      <c r="K213" s="13" t="s">
        <v>25</v>
      </c>
      <c r="N213" s="13"/>
      <c r="S213" s="17">
        <v>44532</v>
      </c>
      <c r="T213" s="18">
        <v>2021</v>
      </c>
      <c r="V213" s="13" t="s">
        <v>29</v>
      </c>
      <c r="X213" s="14">
        <v>5</v>
      </c>
      <c r="Y213" s="14"/>
      <c r="Z213" s="14" t="s">
        <v>3870</v>
      </c>
      <c r="AA213" s="14" t="s">
        <v>3806</v>
      </c>
      <c r="AB213" s="14" t="s">
        <v>3886</v>
      </c>
      <c r="AD213" s="13" t="s">
        <v>53</v>
      </c>
    </row>
    <row r="214" spans="1:30" ht="27.6" hidden="1" x14ac:dyDescent="0.3">
      <c r="A214" s="13" t="s">
        <v>22</v>
      </c>
      <c r="B214" s="13" t="s">
        <v>1191</v>
      </c>
      <c r="C214" s="13" t="s">
        <v>397</v>
      </c>
      <c r="D214" s="13" t="s">
        <v>1201</v>
      </c>
      <c r="E214" s="13" t="s">
        <v>1205</v>
      </c>
      <c r="F214" s="13" t="s">
        <v>1204</v>
      </c>
      <c r="G214" s="13" t="s">
        <v>1206</v>
      </c>
      <c r="H214" s="13" t="s">
        <v>1202</v>
      </c>
      <c r="I214" s="13" t="s">
        <v>1203</v>
      </c>
      <c r="K214" s="13" t="s">
        <v>25</v>
      </c>
      <c r="N214" s="13"/>
      <c r="S214" s="17">
        <v>44532</v>
      </c>
      <c r="T214" s="18">
        <v>2021</v>
      </c>
      <c r="V214" s="13" t="s">
        <v>29</v>
      </c>
      <c r="X214" s="14">
        <v>5</v>
      </c>
      <c r="Y214" s="14"/>
      <c r="Z214" s="14" t="s">
        <v>3828</v>
      </c>
      <c r="AA214" s="14" t="s">
        <v>3837</v>
      </c>
      <c r="AB214" s="14" t="s">
        <v>3885</v>
      </c>
      <c r="AD214" s="13" t="s">
        <v>53</v>
      </c>
    </row>
    <row r="215" spans="1:30" ht="27.6" hidden="1" x14ac:dyDescent="0.3">
      <c r="A215" s="13" t="s">
        <v>22</v>
      </c>
      <c r="B215" s="13" t="s">
        <v>1845</v>
      </c>
      <c r="C215" s="13" t="s">
        <v>229</v>
      </c>
      <c r="D215" s="13" t="s">
        <v>1844</v>
      </c>
      <c r="E215" s="13" t="s">
        <v>1848</v>
      </c>
      <c r="F215" s="13" t="s">
        <v>1849</v>
      </c>
      <c r="G215" s="13" t="s">
        <v>1850</v>
      </c>
      <c r="H215" s="13" t="s">
        <v>1846</v>
      </c>
      <c r="I215" s="13" t="s">
        <v>1847</v>
      </c>
      <c r="K215" s="13" t="s">
        <v>25</v>
      </c>
      <c r="N215" s="13"/>
      <c r="S215" s="17">
        <v>44532</v>
      </c>
      <c r="T215" s="18">
        <v>2021</v>
      </c>
      <c r="V215" s="13" t="s">
        <v>29</v>
      </c>
      <c r="X215" s="14">
        <v>5</v>
      </c>
      <c r="Y215" s="14"/>
      <c r="Z215" s="14" t="s">
        <v>3828</v>
      </c>
      <c r="AA215" s="14" t="s">
        <v>3837</v>
      </c>
      <c r="AB215" s="14" t="s">
        <v>3885</v>
      </c>
      <c r="AC215" s="13"/>
      <c r="AD215" s="13" t="s">
        <v>53</v>
      </c>
    </row>
    <row r="216" spans="1:30" ht="27.6" hidden="1" x14ac:dyDescent="0.3">
      <c r="A216" s="13" t="s">
        <v>22</v>
      </c>
      <c r="B216" s="13" t="s">
        <v>3536</v>
      </c>
      <c r="C216" s="13" t="s">
        <v>48</v>
      </c>
      <c r="D216" s="13" t="s">
        <v>3535</v>
      </c>
      <c r="E216" s="13" t="s">
        <v>3540</v>
      </c>
      <c r="F216" s="13" t="s">
        <v>3539</v>
      </c>
      <c r="G216" s="13" t="s">
        <v>3541</v>
      </c>
      <c r="H216" s="13" t="s">
        <v>3537</v>
      </c>
      <c r="I216" s="13" t="s">
        <v>3538</v>
      </c>
      <c r="K216" s="13" t="s">
        <v>25</v>
      </c>
      <c r="N216" s="13"/>
      <c r="S216" s="17">
        <v>44532</v>
      </c>
      <c r="T216" s="18">
        <v>2021</v>
      </c>
      <c r="V216" s="13" t="s">
        <v>29</v>
      </c>
      <c r="X216" s="14">
        <v>5</v>
      </c>
      <c r="Y216" s="14"/>
      <c r="Z216" s="14" t="s">
        <v>3835</v>
      </c>
      <c r="AA216" s="14" t="s">
        <v>3814</v>
      </c>
      <c r="AB216" s="14" t="s">
        <v>3884</v>
      </c>
      <c r="AD216" s="13" t="s">
        <v>53</v>
      </c>
    </row>
    <row r="217" spans="1:30" hidden="1" x14ac:dyDescent="0.3">
      <c r="A217" s="13" t="s">
        <v>100</v>
      </c>
      <c r="B217" s="13" t="s">
        <v>2073</v>
      </c>
      <c r="C217" s="13" t="s">
        <v>229</v>
      </c>
      <c r="D217" s="13" t="s">
        <v>2072</v>
      </c>
      <c r="E217" s="13" t="s">
        <v>2076</v>
      </c>
      <c r="F217" s="13" t="s">
        <v>2077</v>
      </c>
      <c r="G217" s="13" t="s">
        <v>2078</v>
      </c>
      <c r="H217" s="13" t="s">
        <v>2074</v>
      </c>
      <c r="I217" s="13" t="s">
        <v>2075</v>
      </c>
      <c r="K217" s="13" t="s">
        <v>25</v>
      </c>
      <c r="N217" s="13"/>
      <c r="S217" s="17">
        <v>44532</v>
      </c>
      <c r="T217" s="18">
        <v>2021</v>
      </c>
      <c r="V217" s="13" t="s">
        <v>29</v>
      </c>
      <c r="X217" s="14">
        <v>5</v>
      </c>
      <c r="Y217" s="14"/>
      <c r="Z217" s="14" t="s">
        <v>3828</v>
      </c>
      <c r="AA217" s="14" t="s">
        <v>3807</v>
      </c>
      <c r="AB217" s="14" t="s">
        <v>3888</v>
      </c>
      <c r="AC217" s="13"/>
      <c r="AD217" s="13" t="s">
        <v>53</v>
      </c>
    </row>
    <row r="218" spans="1:30" hidden="1" x14ac:dyDescent="0.3">
      <c r="A218" s="13" t="s">
        <v>100</v>
      </c>
      <c r="B218" s="13" t="s">
        <v>2449</v>
      </c>
      <c r="C218" s="13" t="s">
        <v>124</v>
      </c>
      <c r="D218" s="13" t="s">
        <v>2448</v>
      </c>
      <c r="E218" s="13" t="s">
        <v>2453</v>
      </c>
      <c r="F218" s="13" t="s">
        <v>2452</v>
      </c>
      <c r="G218" s="13" t="s">
        <v>2454</v>
      </c>
      <c r="H218" s="13" t="s">
        <v>2450</v>
      </c>
      <c r="I218" s="13" t="s">
        <v>2451</v>
      </c>
      <c r="K218" s="13" t="s">
        <v>25</v>
      </c>
      <c r="N218" s="13"/>
      <c r="S218" s="17">
        <v>44532</v>
      </c>
      <c r="T218" s="18">
        <v>2021</v>
      </c>
      <c r="V218" s="13" t="s">
        <v>29</v>
      </c>
      <c r="X218" s="14">
        <v>5</v>
      </c>
      <c r="Y218" s="14"/>
      <c r="Z218" s="14" t="s">
        <v>3828</v>
      </c>
      <c r="AA218" s="14" t="s">
        <v>3811</v>
      </c>
      <c r="AB218" s="14" t="s">
        <v>3887</v>
      </c>
      <c r="AD218" s="13" t="s">
        <v>53</v>
      </c>
    </row>
    <row r="219" spans="1:30" hidden="1" x14ac:dyDescent="0.3">
      <c r="A219" s="13" t="s">
        <v>100</v>
      </c>
      <c r="B219" s="13" t="s">
        <v>2836</v>
      </c>
      <c r="C219" s="13" t="s">
        <v>346</v>
      </c>
      <c r="D219" s="13" t="s">
        <v>2842</v>
      </c>
      <c r="E219" s="13" t="s">
        <v>2845</v>
      </c>
      <c r="F219" s="13" t="s">
        <v>2844</v>
      </c>
      <c r="G219" s="13" t="s">
        <v>2846</v>
      </c>
      <c r="H219" s="13" t="s">
        <v>2843</v>
      </c>
      <c r="I219" s="13" t="s">
        <v>191</v>
      </c>
      <c r="K219" s="13" t="s">
        <v>25</v>
      </c>
      <c r="N219" s="13"/>
      <c r="S219" s="17">
        <v>44532</v>
      </c>
      <c r="T219" s="18">
        <v>2021</v>
      </c>
      <c r="V219" s="13" t="s">
        <v>29</v>
      </c>
      <c r="X219" s="14">
        <v>5</v>
      </c>
      <c r="Y219" s="14"/>
      <c r="Z219" s="14" t="s">
        <v>3828</v>
      </c>
      <c r="AA219" s="14" t="s">
        <v>3830</v>
      </c>
      <c r="AB219" s="14" t="s">
        <v>3887</v>
      </c>
      <c r="AD219" s="13" t="s">
        <v>53</v>
      </c>
    </row>
    <row r="220" spans="1:30" hidden="1" x14ac:dyDescent="0.3">
      <c r="A220" s="13" t="s">
        <v>100</v>
      </c>
      <c r="B220" s="13" t="s">
        <v>3499</v>
      </c>
      <c r="C220" s="13" t="s">
        <v>346</v>
      </c>
      <c r="D220" s="13" t="s">
        <v>3498</v>
      </c>
      <c r="E220" s="13" t="s">
        <v>3503</v>
      </c>
      <c r="F220" s="13" t="s">
        <v>3502</v>
      </c>
      <c r="G220" s="13" t="s">
        <v>3504</v>
      </c>
      <c r="H220" s="13" t="s">
        <v>3500</v>
      </c>
      <c r="I220" s="13" t="s">
        <v>3501</v>
      </c>
      <c r="J220" s="13" t="s">
        <v>52</v>
      </c>
      <c r="K220" s="13" t="s">
        <v>25</v>
      </c>
      <c r="N220" s="13"/>
      <c r="S220" s="17">
        <v>44532</v>
      </c>
      <c r="T220" s="18">
        <v>2021</v>
      </c>
      <c r="V220" s="13" t="s">
        <v>29</v>
      </c>
      <c r="X220" s="14">
        <v>5</v>
      </c>
      <c r="Y220" s="14"/>
      <c r="Z220" s="14" t="s">
        <v>3828</v>
      </c>
      <c r="AA220" s="14" t="s">
        <v>3812</v>
      </c>
      <c r="AB220" s="14" t="s">
        <v>3887</v>
      </c>
      <c r="AD220" s="13" t="s">
        <v>53</v>
      </c>
    </row>
    <row r="221" spans="1:30" hidden="1" x14ac:dyDescent="0.3">
      <c r="A221" s="13" t="s">
        <v>100</v>
      </c>
      <c r="B221" s="13" t="s">
        <v>522</v>
      </c>
      <c r="C221" s="13" t="s">
        <v>523</v>
      </c>
      <c r="D221" s="13" t="s">
        <v>521</v>
      </c>
      <c r="E221" s="13" t="s">
        <v>527</v>
      </c>
      <c r="F221" s="13" t="s">
        <v>526</v>
      </c>
      <c r="G221" s="13" t="s">
        <v>528</v>
      </c>
      <c r="H221" s="13" t="s">
        <v>524</v>
      </c>
      <c r="I221" s="13" t="s">
        <v>525</v>
      </c>
      <c r="J221" s="13" t="s">
        <v>330</v>
      </c>
      <c r="K221" s="13" t="s">
        <v>25</v>
      </c>
      <c r="N221" s="13"/>
      <c r="S221" s="17">
        <v>44533</v>
      </c>
      <c r="T221" s="18">
        <v>2021</v>
      </c>
      <c r="V221" s="13" t="s">
        <v>29</v>
      </c>
      <c r="X221" s="14">
        <v>5</v>
      </c>
      <c r="Y221" s="14"/>
      <c r="Z221" s="14" t="s">
        <v>3828</v>
      </c>
      <c r="AA221" s="14" t="s">
        <v>3812</v>
      </c>
      <c r="AB221" s="14" t="s">
        <v>3887</v>
      </c>
      <c r="AD221" s="13" t="s">
        <v>53</v>
      </c>
    </row>
    <row r="222" spans="1:30" ht="27.6" hidden="1" x14ac:dyDescent="0.3">
      <c r="A222" s="13" t="s">
        <v>100</v>
      </c>
      <c r="B222" s="13" t="s">
        <v>1502</v>
      </c>
      <c r="C222" s="13" t="s">
        <v>229</v>
      </c>
      <c r="D222" s="13" t="s">
        <v>1501</v>
      </c>
      <c r="E222" s="13" t="s">
        <v>1506</v>
      </c>
      <c r="F222" s="13" t="s">
        <v>1505</v>
      </c>
      <c r="G222" s="13" t="s">
        <v>1507</v>
      </c>
      <c r="H222" s="13" t="s">
        <v>1503</v>
      </c>
      <c r="I222" s="13" t="s">
        <v>1504</v>
      </c>
      <c r="K222" s="13" t="s">
        <v>25</v>
      </c>
      <c r="N222" s="13"/>
      <c r="S222" s="17">
        <v>44533</v>
      </c>
      <c r="T222" s="18">
        <v>2021</v>
      </c>
      <c r="V222" s="13" t="s">
        <v>29</v>
      </c>
      <c r="X222" s="14">
        <v>5</v>
      </c>
      <c r="Y222" s="14"/>
      <c r="Z222" s="14" t="s">
        <v>3828</v>
      </c>
      <c r="AA222" s="14" t="s">
        <v>3807</v>
      </c>
      <c r="AB222" s="14" t="s">
        <v>3888</v>
      </c>
      <c r="AD222" s="13" t="s">
        <v>53</v>
      </c>
    </row>
    <row r="223" spans="1:30" hidden="1" x14ac:dyDescent="0.3">
      <c r="A223" s="13" t="s">
        <v>22</v>
      </c>
      <c r="B223" s="13" t="s">
        <v>1027</v>
      </c>
      <c r="C223" s="13" t="s">
        <v>79</v>
      </c>
      <c r="D223" s="13" t="s">
        <v>1026</v>
      </c>
      <c r="E223" s="13" t="s">
        <v>1031</v>
      </c>
      <c r="F223" s="13" t="s">
        <v>1030</v>
      </c>
      <c r="G223" s="13" t="s">
        <v>1032</v>
      </c>
      <c r="H223" s="13" t="s">
        <v>1028</v>
      </c>
      <c r="I223" s="13" t="s">
        <v>1029</v>
      </c>
      <c r="K223" s="13" t="s">
        <v>25</v>
      </c>
      <c r="N223" s="13"/>
      <c r="S223" s="17">
        <v>44534</v>
      </c>
      <c r="T223" s="18">
        <v>2021</v>
      </c>
      <c r="V223" s="13" t="s">
        <v>29</v>
      </c>
      <c r="X223" s="14">
        <v>5</v>
      </c>
      <c r="Y223" s="14"/>
      <c r="Z223" s="14" t="s">
        <v>3835</v>
      </c>
      <c r="AA223" s="14" t="s">
        <v>3813</v>
      </c>
      <c r="AB223" s="14" t="s">
        <v>3884</v>
      </c>
      <c r="AD223" s="13" t="s">
        <v>53</v>
      </c>
    </row>
    <row r="224" spans="1:30" ht="27.6" hidden="1" x14ac:dyDescent="0.3">
      <c r="A224" s="13" t="s">
        <v>22</v>
      </c>
      <c r="B224" s="13" t="s">
        <v>1130</v>
      </c>
      <c r="C224" s="13" t="s">
        <v>1131</v>
      </c>
      <c r="D224" s="13" t="s">
        <v>1129</v>
      </c>
      <c r="E224" s="13" t="s">
        <v>1136</v>
      </c>
      <c r="F224" s="13" t="s">
        <v>1135</v>
      </c>
      <c r="G224" s="13" t="s">
        <v>1137</v>
      </c>
      <c r="H224" s="13" t="s">
        <v>1132</v>
      </c>
      <c r="I224" s="13" t="s">
        <v>1133</v>
      </c>
      <c r="K224" s="13" t="s">
        <v>25</v>
      </c>
      <c r="N224" s="13"/>
      <c r="S224" s="17">
        <v>44536</v>
      </c>
      <c r="T224" s="18">
        <v>2021</v>
      </c>
      <c r="V224" s="13" t="s">
        <v>29</v>
      </c>
      <c r="X224" s="14">
        <v>20</v>
      </c>
      <c r="Y224" s="14"/>
      <c r="Z224" s="14" t="s">
        <v>3835</v>
      </c>
      <c r="AA224" s="14" t="s">
        <v>3817</v>
      </c>
      <c r="AB224" s="14" t="s">
        <v>3884</v>
      </c>
      <c r="AC224" s="13" t="s">
        <v>1134</v>
      </c>
      <c r="AD224" s="13" t="s">
        <v>53</v>
      </c>
    </row>
    <row r="225" spans="1:30" hidden="1" x14ac:dyDescent="0.3">
      <c r="A225" s="13" t="s">
        <v>100</v>
      </c>
      <c r="B225" s="13" t="s">
        <v>2337</v>
      </c>
      <c r="C225" s="13" t="s">
        <v>354</v>
      </c>
      <c r="D225" s="13" t="s">
        <v>2336</v>
      </c>
      <c r="E225" s="13" t="s">
        <v>2341</v>
      </c>
      <c r="F225" s="13" t="s">
        <v>2340</v>
      </c>
      <c r="G225" s="13" t="s">
        <v>2342</v>
      </c>
      <c r="H225" s="13" t="s">
        <v>2338</v>
      </c>
      <c r="I225" s="13" t="s">
        <v>2339</v>
      </c>
      <c r="K225" s="13" t="s">
        <v>25</v>
      </c>
      <c r="N225" s="13"/>
      <c r="S225" s="17">
        <v>44536</v>
      </c>
      <c r="T225" s="18">
        <v>2021</v>
      </c>
      <c r="V225" s="13" t="s">
        <v>29</v>
      </c>
      <c r="X225" s="14">
        <v>5</v>
      </c>
      <c r="Y225" s="14"/>
      <c r="Z225" s="14" t="s">
        <v>3828</v>
      </c>
      <c r="AA225" s="14" t="s">
        <v>3812</v>
      </c>
      <c r="AB225" s="14" t="s">
        <v>3887</v>
      </c>
      <c r="AD225" s="13" t="s">
        <v>53</v>
      </c>
    </row>
    <row r="226" spans="1:30" hidden="1" x14ac:dyDescent="0.3">
      <c r="A226" s="13" t="s">
        <v>100</v>
      </c>
      <c r="B226" s="13" t="s">
        <v>2357</v>
      </c>
      <c r="C226" s="13" t="s">
        <v>2358</v>
      </c>
      <c r="D226" s="13" t="s">
        <v>2356</v>
      </c>
      <c r="E226" s="13" t="s">
        <v>2362</v>
      </c>
      <c r="F226" s="13" t="s">
        <v>2361</v>
      </c>
      <c r="G226" s="13" t="s">
        <v>2363</v>
      </c>
      <c r="H226" s="13" t="s">
        <v>2359</v>
      </c>
      <c r="I226" s="13" t="s">
        <v>2360</v>
      </c>
      <c r="K226" s="13" t="s">
        <v>25</v>
      </c>
      <c r="N226" s="13"/>
      <c r="S226" s="17">
        <v>44536</v>
      </c>
      <c r="T226" s="18">
        <v>2021</v>
      </c>
      <c r="V226" s="13" t="s">
        <v>29</v>
      </c>
      <c r="X226" s="14">
        <v>5</v>
      </c>
      <c r="Y226" s="14"/>
      <c r="Z226" s="14" t="s">
        <v>3828</v>
      </c>
      <c r="AA226" s="14" t="s">
        <v>3807</v>
      </c>
      <c r="AB226" s="14" t="s">
        <v>3888</v>
      </c>
      <c r="AD226" s="13" t="s">
        <v>53</v>
      </c>
    </row>
    <row r="227" spans="1:30" hidden="1" x14ac:dyDescent="0.3">
      <c r="A227" s="13" t="s">
        <v>22</v>
      </c>
      <c r="B227" s="13" t="s">
        <v>3521</v>
      </c>
      <c r="C227" s="13" t="s">
        <v>523</v>
      </c>
      <c r="D227" s="13" t="s">
        <v>3520</v>
      </c>
      <c r="E227" s="13" t="s">
        <v>3525</v>
      </c>
      <c r="F227" s="13" t="s">
        <v>3524</v>
      </c>
      <c r="G227" s="13" t="s">
        <v>3526</v>
      </c>
      <c r="H227" s="13" t="s">
        <v>3522</v>
      </c>
      <c r="I227" s="13" t="s">
        <v>3523</v>
      </c>
      <c r="K227" s="13" t="s">
        <v>25</v>
      </c>
      <c r="N227" s="13"/>
      <c r="S227" s="17">
        <v>44538</v>
      </c>
      <c r="T227" s="18">
        <v>2021</v>
      </c>
      <c r="V227" s="13" t="s">
        <v>29</v>
      </c>
      <c r="X227" s="14">
        <v>5</v>
      </c>
      <c r="Y227" s="14"/>
      <c r="Z227" s="14" t="s">
        <v>3835</v>
      </c>
      <c r="AA227" s="14" t="s">
        <v>3814</v>
      </c>
      <c r="AB227" s="14" t="s">
        <v>3884</v>
      </c>
      <c r="AD227" s="13" t="s">
        <v>53</v>
      </c>
    </row>
    <row r="228" spans="1:30" hidden="1" x14ac:dyDescent="0.3">
      <c r="A228" s="13" t="s">
        <v>100</v>
      </c>
      <c r="B228" s="13" t="s">
        <v>212</v>
      </c>
      <c r="C228" s="13" t="s">
        <v>213</v>
      </c>
      <c r="D228" s="13" t="s">
        <v>211</v>
      </c>
      <c r="E228" s="13" t="s">
        <v>217</v>
      </c>
      <c r="F228" s="13" t="s">
        <v>216</v>
      </c>
      <c r="G228" s="13" t="s">
        <v>218</v>
      </c>
      <c r="H228" s="13" t="s">
        <v>214</v>
      </c>
      <c r="I228" s="13" t="s">
        <v>215</v>
      </c>
      <c r="J228" s="13" t="s">
        <v>52</v>
      </c>
      <c r="K228" s="13" t="s">
        <v>25</v>
      </c>
      <c r="N228" s="13"/>
      <c r="S228" s="17">
        <v>44538</v>
      </c>
      <c r="T228" s="18">
        <v>2021</v>
      </c>
      <c r="V228" s="13" t="s">
        <v>29</v>
      </c>
      <c r="X228" s="14">
        <v>5</v>
      </c>
      <c r="Y228" s="14"/>
      <c r="Z228" s="14" t="s">
        <v>3828</v>
      </c>
      <c r="AA228" s="14" t="s">
        <v>3807</v>
      </c>
      <c r="AB228" s="14" t="s">
        <v>3888</v>
      </c>
      <c r="AC228" s="13"/>
      <c r="AD228" s="13" t="s">
        <v>53</v>
      </c>
    </row>
    <row r="229" spans="1:30" hidden="1" x14ac:dyDescent="0.3">
      <c r="A229" s="13" t="s">
        <v>100</v>
      </c>
      <c r="B229" s="13" t="s">
        <v>2740</v>
      </c>
      <c r="C229" s="13" t="s">
        <v>1678</v>
      </c>
      <c r="D229" s="13" t="s">
        <v>2748</v>
      </c>
      <c r="E229" s="13" t="s">
        <v>2750</v>
      </c>
      <c r="F229" s="13" t="s">
        <v>2749</v>
      </c>
      <c r="G229" s="13" t="s">
        <v>2751</v>
      </c>
      <c r="H229" s="13" t="s">
        <v>1379</v>
      </c>
      <c r="I229" s="13" t="s">
        <v>215</v>
      </c>
      <c r="J229" s="13" t="s">
        <v>52</v>
      </c>
      <c r="K229" s="13" t="s">
        <v>25</v>
      </c>
      <c r="N229" s="13"/>
      <c r="S229" s="17">
        <v>44538</v>
      </c>
      <c r="T229" s="18">
        <v>2021</v>
      </c>
      <c r="V229" s="13" t="s">
        <v>29</v>
      </c>
      <c r="X229" s="14">
        <v>5</v>
      </c>
      <c r="Y229" s="14"/>
      <c r="Z229" s="14" t="s">
        <v>3828</v>
      </c>
      <c r="AA229" s="14" t="s">
        <v>3807</v>
      </c>
      <c r="AB229" s="14" t="s">
        <v>3888</v>
      </c>
      <c r="AC229" s="13"/>
      <c r="AD229" s="13" t="s">
        <v>53</v>
      </c>
    </row>
    <row r="230" spans="1:30" hidden="1" x14ac:dyDescent="0.3">
      <c r="A230" s="13" t="s">
        <v>49</v>
      </c>
      <c r="B230" s="13" t="s">
        <v>1467</v>
      </c>
      <c r="C230" s="13" t="s">
        <v>1468</v>
      </c>
      <c r="D230" s="13" t="s">
        <v>1466</v>
      </c>
      <c r="E230" s="13" t="s">
        <v>1472</v>
      </c>
      <c r="F230" s="13" t="s">
        <v>1471</v>
      </c>
      <c r="H230" s="13" t="s">
        <v>1469</v>
      </c>
      <c r="I230" s="13" t="s">
        <v>1470</v>
      </c>
      <c r="K230" s="13" t="s">
        <v>25</v>
      </c>
      <c r="N230" s="13"/>
      <c r="S230" s="17">
        <v>44538</v>
      </c>
      <c r="T230" s="18">
        <v>2021</v>
      </c>
      <c r="V230" s="13" t="s">
        <v>29</v>
      </c>
      <c r="X230" s="14">
        <v>20</v>
      </c>
      <c r="Y230" s="14"/>
      <c r="Z230" s="14" t="s">
        <v>3828</v>
      </c>
      <c r="AA230" s="14" t="s">
        <v>3807</v>
      </c>
      <c r="AB230" s="14" t="s">
        <v>3888</v>
      </c>
      <c r="AD230" s="13" t="s">
        <v>53</v>
      </c>
    </row>
    <row r="231" spans="1:30" hidden="1" x14ac:dyDescent="0.3">
      <c r="A231" s="13" t="s">
        <v>22</v>
      </c>
      <c r="B231" s="13" t="s">
        <v>993</v>
      </c>
      <c r="C231" s="13" t="s">
        <v>994</v>
      </c>
      <c r="D231" s="13" t="s">
        <v>992</v>
      </c>
      <c r="E231" s="13" t="s">
        <v>996</v>
      </c>
      <c r="F231" s="13" t="s">
        <v>995</v>
      </c>
      <c r="L231" s="13" t="s">
        <v>997</v>
      </c>
      <c r="M231" s="14" t="s">
        <v>141</v>
      </c>
      <c r="N231" s="13"/>
      <c r="O231" s="13" t="s">
        <v>31</v>
      </c>
      <c r="P231" s="13"/>
      <c r="Q231" s="13"/>
      <c r="R231" s="13"/>
      <c r="S231" s="17">
        <v>44540</v>
      </c>
      <c r="T231" s="18">
        <v>2021</v>
      </c>
      <c r="V231" s="13" t="s">
        <v>29</v>
      </c>
      <c r="W231" s="13" t="s">
        <v>251</v>
      </c>
      <c r="X231" s="14">
        <v>5</v>
      </c>
      <c r="Y231" s="14"/>
      <c r="Z231" s="14" t="s">
        <v>3870</v>
      </c>
      <c r="AA231" s="14" t="s">
        <v>3877</v>
      </c>
      <c r="AB231" s="14" t="s">
        <v>3886</v>
      </c>
      <c r="AD231" s="13" t="s">
        <v>53</v>
      </c>
    </row>
    <row r="232" spans="1:30" hidden="1" x14ac:dyDescent="0.3">
      <c r="A232" s="13" t="s">
        <v>22</v>
      </c>
      <c r="B232" s="13" t="s">
        <v>2782</v>
      </c>
      <c r="C232" s="13" t="s">
        <v>423</v>
      </c>
      <c r="D232" s="13" t="s">
        <v>2781</v>
      </c>
      <c r="E232" s="13" t="s">
        <v>2785</v>
      </c>
      <c r="F232" s="13" t="s">
        <v>2784</v>
      </c>
      <c r="G232" s="13" t="s">
        <v>2786</v>
      </c>
      <c r="H232" s="13" t="s">
        <v>2783</v>
      </c>
      <c r="I232" s="13" t="s">
        <v>191</v>
      </c>
      <c r="J232" s="13" t="s">
        <v>52</v>
      </c>
      <c r="K232" s="13" t="s">
        <v>25</v>
      </c>
      <c r="N232" s="13"/>
      <c r="S232" s="17">
        <v>44540</v>
      </c>
      <c r="T232" s="18">
        <v>2021</v>
      </c>
      <c r="V232" s="13" t="s">
        <v>29</v>
      </c>
      <c r="X232" s="14">
        <v>5</v>
      </c>
      <c r="Y232" s="14"/>
      <c r="Z232" s="14" t="s">
        <v>3828</v>
      </c>
      <c r="AA232" s="14" t="s">
        <v>3871</v>
      </c>
      <c r="AB232" s="14" t="s">
        <v>3888</v>
      </c>
      <c r="AD232" s="13" t="s">
        <v>53</v>
      </c>
    </row>
    <row r="233" spans="1:30" hidden="1" x14ac:dyDescent="0.3">
      <c r="A233" s="13" t="s">
        <v>100</v>
      </c>
      <c r="B233" s="13" t="s">
        <v>3002</v>
      </c>
      <c r="C233" s="13" t="s">
        <v>157</v>
      </c>
      <c r="D233" s="13" t="s">
        <v>3001</v>
      </c>
      <c r="E233" s="13" t="s">
        <v>3004</v>
      </c>
      <c r="F233" s="13" t="s">
        <v>3003</v>
      </c>
      <c r="G233" s="13" t="s">
        <v>3005</v>
      </c>
      <c r="H233" s="13" t="s">
        <v>756</v>
      </c>
      <c r="I233" s="13" t="s">
        <v>191</v>
      </c>
      <c r="K233" s="13" t="s">
        <v>25</v>
      </c>
      <c r="N233" s="13"/>
      <c r="S233" s="17">
        <v>44540</v>
      </c>
      <c r="T233" s="18">
        <v>2021</v>
      </c>
      <c r="V233" s="13" t="s">
        <v>29</v>
      </c>
      <c r="X233" s="14">
        <v>5</v>
      </c>
      <c r="Y233" s="14"/>
      <c r="Z233" s="14" t="s">
        <v>3828</v>
      </c>
      <c r="AA233" s="14" t="s">
        <v>3819</v>
      </c>
      <c r="AB233" s="14" t="s">
        <v>3888</v>
      </c>
      <c r="AD233" s="13" t="s">
        <v>53</v>
      </c>
    </row>
    <row r="234" spans="1:30" hidden="1" x14ac:dyDescent="0.3">
      <c r="A234" s="13" t="s">
        <v>100</v>
      </c>
      <c r="B234" s="13" t="s">
        <v>1935</v>
      </c>
      <c r="C234" s="13" t="s">
        <v>1192</v>
      </c>
      <c r="D234" s="13" t="s">
        <v>1934</v>
      </c>
      <c r="E234" s="13" t="s">
        <v>1939</v>
      </c>
      <c r="F234" s="19" t="s">
        <v>1938</v>
      </c>
      <c r="G234" s="13" t="s">
        <v>1940</v>
      </c>
      <c r="H234" s="13" t="s">
        <v>1936</v>
      </c>
      <c r="I234" s="13" t="s">
        <v>1937</v>
      </c>
      <c r="K234" s="13" t="s">
        <v>25</v>
      </c>
      <c r="N234" s="13"/>
      <c r="S234" s="17">
        <v>44541</v>
      </c>
      <c r="T234" s="18">
        <v>2021</v>
      </c>
      <c r="V234" s="13" t="s">
        <v>29</v>
      </c>
      <c r="X234" s="14">
        <v>5</v>
      </c>
      <c r="Y234" s="14"/>
      <c r="Z234" s="14" t="s">
        <v>3828</v>
      </c>
      <c r="AA234" s="14" t="s">
        <v>3819</v>
      </c>
      <c r="AB234" s="14" t="s">
        <v>3888</v>
      </c>
      <c r="AD234" s="13" t="s">
        <v>53</v>
      </c>
    </row>
    <row r="235" spans="1:30" hidden="1" x14ac:dyDescent="0.3">
      <c r="A235" s="13" t="s">
        <v>22</v>
      </c>
      <c r="B235" s="13" t="s">
        <v>1537</v>
      </c>
      <c r="C235" s="13" t="s">
        <v>79</v>
      </c>
      <c r="D235" s="13" t="s">
        <v>1568</v>
      </c>
      <c r="E235" s="13" t="s">
        <v>1569</v>
      </c>
      <c r="F235" s="13" t="s">
        <v>4946</v>
      </c>
      <c r="N235" s="13"/>
      <c r="S235" s="17">
        <v>44542</v>
      </c>
      <c r="T235" s="18">
        <v>2021</v>
      </c>
      <c r="V235" s="13" t="s">
        <v>29</v>
      </c>
      <c r="W235" s="13" t="s">
        <v>1404</v>
      </c>
      <c r="X235" s="14">
        <v>5</v>
      </c>
      <c r="Y235" s="14"/>
      <c r="Z235" s="14" t="s">
        <v>3828</v>
      </c>
      <c r="AA235" s="14" t="s">
        <v>3872</v>
      </c>
      <c r="AB235" s="14" t="s">
        <v>3888</v>
      </c>
      <c r="AD235" s="13" t="s">
        <v>53</v>
      </c>
    </row>
    <row r="236" spans="1:30" hidden="1" x14ac:dyDescent="0.3">
      <c r="A236" s="13" t="s">
        <v>22</v>
      </c>
      <c r="B236" s="13" t="s">
        <v>1489</v>
      </c>
      <c r="C236" s="13" t="s">
        <v>1490</v>
      </c>
      <c r="D236" s="13" t="s">
        <v>1488</v>
      </c>
      <c r="E236" s="13" t="s">
        <v>1492</v>
      </c>
      <c r="F236" s="13" t="s">
        <v>1491</v>
      </c>
      <c r="K236" s="13" t="s">
        <v>25</v>
      </c>
      <c r="N236" s="13"/>
      <c r="S236" s="17">
        <v>44543</v>
      </c>
      <c r="T236" s="18">
        <v>2021</v>
      </c>
      <c r="V236" s="13" t="s">
        <v>29</v>
      </c>
      <c r="X236" s="14">
        <v>5</v>
      </c>
      <c r="Y236" s="14"/>
      <c r="Z236" s="14" t="s">
        <v>3870</v>
      </c>
      <c r="AA236" s="14" t="s">
        <v>3806</v>
      </c>
      <c r="AB236" s="14" t="s">
        <v>3886</v>
      </c>
      <c r="AD236" s="13" t="s">
        <v>53</v>
      </c>
    </row>
    <row r="237" spans="1:30" hidden="1" x14ac:dyDescent="0.3">
      <c r="A237" s="13" t="s">
        <v>100</v>
      </c>
      <c r="B237" s="13" t="s">
        <v>837</v>
      </c>
      <c r="C237" s="13" t="s">
        <v>354</v>
      </c>
      <c r="D237" s="13" t="s">
        <v>836</v>
      </c>
      <c r="E237" s="13" t="s">
        <v>840</v>
      </c>
      <c r="F237" s="13" t="s">
        <v>839</v>
      </c>
      <c r="G237" s="13" t="s">
        <v>841</v>
      </c>
      <c r="H237" s="13" t="s">
        <v>838</v>
      </c>
      <c r="I237" s="13" t="s">
        <v>549</v>
      </c>
      <c r="K237" s="13" t="s">
        <v>25</v>
      </c>
      <c r="N237" s="13"/>
      <c r="S237" s="17">
        <v>44543</v>
      </c>
      <c r="T237" s="18">
        <v>2021</v>
      </c>
      <c r="V237" s="13" t="s">
        <v>29</v>
      </c>
      <c r="X237" s="14">
        <v>5</v>
      </c>
      <c r="Y237" s="14"/>
      <c r="Z237" s="14" t="s">
        <v>3828</v>
      </c>
      <c r="AA237" s="14" t="s">
        <v>3812</v>
      </c>
      <c r="AB237" s="14" t="s">
        <v>3887</v>
      </c>
      <c r="AD237" s="13" t="s">
        <v>53</v>
      </c>
    </row>
    <row r="238" spans="1:30" hidden="1" x14ac:dyDescent="0.3">
      <c r="A238" s="13" t="s">
        <v>22</v>
      </c>
      <c r="B238" s="13" t="s">
        <v>2981</v>
      </c>
      <c r="C238" s="13" t="s">
        <v>2982</v>
      </c>
      <c r="D238" s="13" t="s">
        <v>2980</v>
      </c>
      <c r="E238" s="13" t="s">
        <v>2986</v>
      </c>
      <c r="F238" s="13" t="s">
        <v>2985</v>
      </c>
      <c r="G238" s="13" t="s">
        <v>2987</v>
      </c>
      <c r="H238" s="13" t="s">
        <v>2983</v>
      </c>
      <c r="I238" s="13" t="s">
        <v>2984</v>
      </c>
      <c r="K238" s="13" t="s">
        <v>25</v>
      </c>
      <c r="N238" s="13"/>
      <c r="S238" s="17">
        <v>44544</v>
      </c>
      <c r="T238" s="18">
        <v>2021</v>
      </c>
      <c r="V238" s="13" t="s">
        <v>29</v>
      </c>
      <c r="X238" s="14">
        <v>5</v>
      </c>
      <c r="Y238" s="14"/>
      <c r="Z238" s="14" t="s">
        <v>3835</v>
      </c>
      <c r="AA238" s="14" t="s">
        <v>3813</v>
      </c>
      <c r="AB238" s="14" t="s">
        <v>3884</v>
      </c>
      <c r="AD238" s="13" t="s">
        <v>53</v>
      </c>
    </row>
    <row r="239" spans="1:30" hidden="1" x14ac:dyDescent="0.3">
      <c r="A239" s="13" t="s">
        <v>22</v>
      </c>
      <c r="B239" s="13" t="s">
        <v>2981</v>
      </c>
      <c r="C239" s="13" t="s">
        <v>370</v>
      </c>
      <c r="D239" s="13" t="s">
        <v>2988</v>
      </c>
      <c r="E239" s="13" t="s">
        <v>2991</v>
      </c>
      <c r="F239" s="13" t="s">
        <v>2990</v>
      </c>
      <c r="G239" s="13" t="s">
        <v>2992</v>
      </c>
      <c r="H239" s="13" t="s">
        <v>2989</v>
      </c>
      <c r="I239" s="13" t="s">
        <v>2629</v>
      </c>
      <c r="K239" s="13" t="s">
        <v>25</v>
      </c>
      <c r="N239" s="13"/>
      <c r="S239" s="17">
        <v>44544</v>
      </c>
      <c r="T239" s="18">
        <v>2021</v>
      </c>
      <c r="V239" s="13" t="s">
        <v>29</v>
      </c>
      <c r="X239" s="14">
        <v>5</v>
      </c>
      <c r="Y239" s="14"/>
      <c r="Z239" s="14" t="s">
        <v>3835</v>
      </c>
      <c r="AA239" s="14" t="s">
        <v>3813</v>
      </c>
      <c r="AB239" s="14" t="s">
        <v>3884</v>
      </c>
      <c r="AD239" s="13" t="s">
        <v>53</v>
      </c>
    </row>
    <row r="240" spans="1:30" hidden="1" x14ac:dyDescent="0.3">
      <c r="A240" s="13" t="s">
        <v>100</v>
      </c>
      <c r="B240" s="13" t="s">
        <v>2856</v>
      </c>
      <c r="C240" s="13" t="s">
        <v>2857</v>
      </c>
      <c r="D240" s="13" t="s">
        <v>2855</v>
      </c>
      <c r="E240" s="13" t="s">
        <v>2861</v>
      </c>
      <c r="F240" s="13" t="s">
        <v>2860</v>
      </c>
      <c r="G240" s="13" t="s">
        <v>2862</v>
      </c>
      <c r="H240" s="13" t="s">
        <v>2858</v>
      </c>
      <c r="I240" s="13" t="s">
        <v>2859</v>
      </c>
      <c r="J240" s="13" t="s">
        <v>52</v>
      </c>
      <c r="K240" s="13" t="s">
        <v>25</v>
      </c>
      <c r="N240" s="13"/>
      <c r="S240" s="17">
        <v>44545</v>
      </c>
      <c r="T240" s="18">
        <v>2021</v>
      </c>
      <c r="V240" s="13" t="s">
        <v>29</v>
      </c>
      <c r="X240" s="14">
        <v>5</v>
      </c>
      <c r="Y240" s="14"/>
      <c r="Z240" s="14" t="s">
        <v>3828</v>
      </c>
      <c r="AA240" s="14" t="s">
        <v>3812</v>
      </c>
      <c r="AB240" s="14" t="s">
        <v>3887</v>
      </c>
      <c r="AD240" s="13" t="s">
        <v>53</v>
      </c>
    </row>
    <row r="241" spans="1:30" ht="27.6" hidden="1" x14ac:dyDescent="0.3">
      <c r="A241" s="13" t="s">
        <v>100</v>
      </c>
      <c r="B241" s="13" t="s">
        <v>748</v>
      </c>
      <c r="C241" s="13" t="s">
        <v>557</v>
      </c>
      <c r="D241" s="13" t="s">
        <v>747</v>
      </c>
      <c r="E241" s="13" t="s">
        <v>752</v>
      </c>
      <c r="F241" s="13" t="s">
        <v>751</v>
      </c>
      <c r="G241" s="13" t="s">
        <v>753</v>
      </c>
      <c r="H241" s="13" t="s">
        <v>749</v>
      </c>
      <c r="I241" s="13" t="s">
        <v>191</v>
      </c>
      <c r="J241" s="13" t="s">
        <v>750</v>
      </c>
      <c r="K241" s="13" t="s">
        <v>25</v>
      </c>
      <c r="N241" s="13"/>
      <c r="S241" s="17">
        <v>44547</v>
      </c>
      <c r="T241" s="18">
        <v>2021</v>
      </c>
      <c r="V241" s="13" t="s">
        <v>29</v>
      </c>
      <c r="X241" s="14">
        <v>5</v>
      </c>
      <c r="Y241" s="14"/>
      <c r="Z241" s="14" t="s">
        <v>3828</v>
      </c>
      <c r="AA241" s="14" t="s">
        <v>3809</v>
      </c>
      <c r="AB241" s="14" t="s">
        <v>3888</v>
      </c>
      <c r="AD241" s="13" t="s">
        <v>53</v>
      </c>
    </row>
    <row r="242" spans="1:30" hidden="1" x14ac:dyDescent="0.3">
      <c r="A242" s="13" t="s">
        <v>100</v>
      </c>
      <c r="B242" s="13" t="s">
        <v>3181</v>
      </c>
      <c r="C242" s="13" t="s">
        <v>1387</v>
      </c>
      <c r="D242" s="13" t="s">
        <v>3180</v>
      </c>
      <c r="E242" s="13" t="s">
        <v>3185</v>
      </c>
      <c r="F242" s="13" t="s">
        <v>3184</v>
      </c>
      <c r="G242" s="13" t="s">
        <v>3186</v>
      </c>
      <c r="H242" s="13" t="s">
        <v>3182</v>
      </c>
      <c r="I242" s="13" t="s">
        <v>3183</v>
      </c>
      <c r="K242" s="13" t="s">
        <v>25</v>
      </c>
      <c r="N242" s="13"/>
      <c r="S242" s="17">
        <v>44555</v>
      </c>
      <c r="T242" s="18">
        <v>2021</v>
      </c>
      <c r="V242" s="13" t="s">
        <v>29</v>
      </c>
      <c r="X242" s="14">
        <v>10</v>
      </c>
      <c r="Y242" s="14"/>
      <c r="Z242" s="14" t="s">
        <v>3828</v>
      </c>
      <c r="AA242" s="14" t="s">
        <v>3815</v>
      </c>
      <c r="AB242" s="14" t="s">
        <v>3888</v>
      </c>
      <c r="AD242" s="13" t="s">
        <v>53</v>
      </c>
    </row>
    <row r="243" spans="1:30" hidden="1" x14ac:dyDescent="0.3">
      <c r="A243" s="13" t="s">
        <v>100</v>
      </c>
      <c r="B243" s="13" t="s">
        <v>3560</v>
      </c>
      <c r="C243" s="13" t="s">
        <v>1742</v>
      </c>
      <c r="D243" s="13" t="s">
        <v>3559</v>
      </c>
      <c r="E243" s="13" t="s">
        <v>3563</v>
      </c>
      <c r="F243" s="13" t="s">
        <v>3562</v>
      </c>
      <c r="G243" s="13" t="s">
        <v>3564</v>
      </c>
      <c r="H243" s="13" t="s">
        <v>2157</v>
      </c>
      <c r="I243" s="13" t="s">
        <v>381</v>
      </c>
      <c r="J243" s="13" t="s">
        <v>3561</v>
      </c>
      <c r="K243" s="13" t="s">
        <v>25</v>
      </c>
      <c r="N243" s="13"/>
      <c r="S243" s="17">
        <v>44555</v>
      </c>
      <c r="T243" s="18">
        <v>2021</v>
      </c>
      <c r="V243" s="13" t="s">
        <v>29</v>
      </c>
      <c r="X243" s="14">
        <v>5</v>
      </c>
      <c r="Y243" s="14"/>
      <c r="Z243" s="14" t="s">
        <v>3828</v>
      </c>
      <c r="AA243" s="14" t="s">
        <v>3807</v>
      </c>
      <c r="AB243" s="14" t="s">
        <v>3888</v>
      </c>
      <c r="AD243" s="13" t="s">
        <v>53</v>
      </c>
    </row>
    <row r="244" spans="1:30" hidden="1" x14ac:dyDescent="0.3">
      <c r="A244" s="13" t="s">
        <v>22</v>
      </c>
      <c r="B244" s="13" t="s">
        <v>2581</v>
      </c>
      <c r="C244" s="13" t="s">
        <v>79</v>
      </c>
      <c r="D244" s="13" t="s">
        <v>2580</v>
      </c>
      <c r="E244" s="13" t="s">
        <v>2585</v>
      </c>
      <c r="F244" s="13" t="s">
        <v>2584</v>
      </c>
      <c r="G244" s="13" t="s">
        <v>2586</v>
      </c>
      <c r="H244" s="13" t="s">
        <v>2582</v>
      </c>
      <c r="I244" s="13" t="s">
        <v>2583</v>
      </c>
      <c r="K244" s="13" t="s">
        <v>25</v>
      </c>
      <c r="N244" s="13"/>
      <c r="S244" s="17">
        <v>44560</v>
      </c>
      <c r="T244" s="18">
        <v>2021</v>
      </c>
      <c r="V244" s="13" t="s">
        <v>29</v>
      </c>
      <c r="X244" s="14">
        <v>5</v>
      </c>
      <c r="Y244" s="14"/>
      <c r="Z244" s="14" t="s">
        <v>3835</v>
      </c>
      <c r="AA244" s="14" t="s">
        <v>3814</v>
      </c>
      <c r="AB244" s="14" t="s">
        <v>3884</v>
      </c>
      <c r="AD244" s="13" t="s">
        <v>53</v>
      </c>
    </row>
    <row r="245" spans="1:30" hidden="1" x14ac:dyDescent="0.3">
      <c r="A245" s="13" t="s">
        <v>22</v>
      </c>
      <c r="B245" s="13" t="s">
        <v>3355</v>
      </c>
      <c r="C245" s="13" t="s">
        <v>3356</v>
      </c>
      <c r="D245" s="13" t="s">
        <v>3354</v>
      </c>
      <c r="E245" s="13" t="s">
        <v>3358</v>
      </c>
      <c r="F245" s="13" t="s">
        <v>3357</v>
      </c>
      <c r="K245" s="13" t="s">
        <v>25</v>
      </c>
      <c r="N245" s="13"/>
      <c r="S245" s="17">
        <v>44560</v>
      </c>
      <c r="T245" s="18">
        <v>2021</v>
      </c>
      <c r="V245" s="13" t="s">
        <v>29</v>
      </c>
      <c r="W245" s="13" t="s">
        <v>251</v>
      </c>
      <c r="X245" s="14">
        <v>5</v>
      </c>
      <c r="Y245" s="14"/>
      <c r="Z245" s="14" t="s">
        <v>3828</v>
      </c>
      <c r="AA245" s="14" t="s">
        <v>3873</v>
      </c>
      <c r="AB245" s="14" t="s">
        <v>3885</v>
      </c>
      <c r="AD245" s="13" t="s">
        <v>53</v>
      </c>
    </row>
    <row r="246" spans="1:30" hidden="1" x14ac:dyDescent="0.3">
      <c r="A246" s="13" t="s">
        <v>22</v>
      </c>
      <c r="B246" s="13" t="s">
        <v>776</v>
      </c>
      <c r="C246" s="13" t="s">
        <v>557</v>
      </c>
      <c r="D246" s="13" t="s">
        <v>788</v>
      </c>
      <c r="E246" s="13" t="s">
        <v>790</v>
      </c>
      <c r="F246" s="13" t="s">
        <v>791</v>
      </c>
      <c r="G246" s="13" t="s">
        <v>792</v>
      </c>
      <c r="H246" s="13" t="s">
        <v>789</v>
      </c>
      <c r="I246" s="13" t="s">
        <v>469</v>
      </c>
      <c r="K246" s="13" t="s">
        <v>25</v>
      </c>
      <c r="N246" s="13"/>
      <c r="S246" s="17">
        <v>44564</v>
      </c>
      <c r="T246" s="15">
        <v>2022</v>
      </c>
      <c r="V246" s="13" t="s">
        <v>29</v>
      </c>
      <c r="X246" s="14">
        <v>25</v>
      </c>
      <c r="Y246" s="14"/>
      <c r="Z246" s="14" t="s">
        <v>3835</v>
      </c>
      <c r="AA246" s="14" t="s">
        <v>3813</v>
      </c>
      <c r="AB246" s="14" t="s">
        <v>3884</v>
      </c>
      <c r="AC246" s="13"/>
      <c r="AD246" s="13" t="s">
        <v>53</v>
      </c>
    </row>
    <row r="247" spans="1:30" hidden="1" x14ac:dyDescent="0.3">
      <c r="A247" s="13" t="s">
        <v>22</v>
      </c>
      <c r="B247" s="13" t="s">
        <v>2800</v>
      </c>
      <c r="C247" s="13" t="s">
        <v>938</v>
      </c>
      <c r="D247" s="13" t="s">
        <v>2799</v>
      </c>
      <c r="E247" s="13" t="s">
        <v>2803</v>
      </c>
      <c r="F247" s="13" t="s">
        <v>2802</v>
      </c>
      <c r="G247" s="13" t="s">
        <v>2804</v>
      </c>
      <c r="H247" s="13" t="s">
        <v>2801</v>
      </c>
      <c r="I247" s="7" t="s">
        <v>5089</v>
      </c>
      <c r="J247" s="13" t="s">
        <v>52</v>
      </c>
      <c r="K247" s="13" t="s">
        <v>25</v>
      </c>
      <c r="L247" s="7" t="s">
        <v>5090</v>
      </c>
      <c r="N247" s="13"/>
      <c r="O247" s="7" t="s">
        <v>31</v>
      </c>
      <c r="P247" s="7"/>
      <c r="Q247" s="7"/>
      <c r="R247" s="7"/>
      <c r="S247" s="17">
        <v>44566</v>
      </c>
      <c r="T247" s="15">
        <v>2022</v>
      </c>
      <c r="V247" s="13" t="s">
        <v>29</v>
      </c>
      <c r="X247" s="14" t="s">
        <v>5215</v>
      </c>
      <c r="Y247" s="14"/>
      <c r="Z247" s="14" t="s">
        <v>3835</v>
      </c>
      <c r="AA247" s="14" t="s">
        <v>3817</v>
      </c>
      <c r="AB247" s="14" t="s">
        <v>3884</v>
      </c>
      <c r="AD247" s="13" t="s">
        <v>53</v>
      </c>
    </row>
    <row r="248" spans="1:30" hidden="1" x14ac:dyDescent="0.3">
      <c r="A248" s="13" t="s">
        <v>22</v>
      </c>
      <c r="B248" s="13" t="s">
        <v>3437</v>
      </c>
      <c r="C248" s="13" t="s">
        <v>3438</v>
      </c>
      <c r="D248" s="13" t="s">
        <v>3436</v>
      </c>
      <c r="E248" s="13" t="s">
        <v>3442</v>
      </c>
      <c r="F248" s="13" t="s">
        <v>3441</v>
      </c>
      <c r="G248" s="13" t="s">
        <v>3443</v>
      </c>
      <c r="H248" s="13" t="s">
        <v>3439</v>
      </c>
      <c r="I248" s="13" t="s">
        <v>3440</v>
      </c>
      <c r="K248" s="13" t="s">
        <v>25</v>
      </c>
      <c r="N248" s="13"/>
      <c r="S248" s="17">
        <v>44567</v>
      </c>
      <c r="T248" s="15">
        <v>2022</v>
      </c>
      <c r="V248" s="13" t="s">
        <v>29</v>
      </c>
      <c r="X248" s="14">
        <v>5</v>
      </c>
      <c r="Y248" s="14"/>
      <c r="Z248" s="14" t="s">
        <v>3835</v>
      </c>
      <c r="AA248" s="14" t="s">
        <v>3817</v>
      </c>
      <c r="AB248" s="14" t="s">
        <v>3884</v>
      </c>
      <c r="AD248" s="13" t="s">
        <v>53</v>
      </c>
    </row>
    <row r="249" spans="1:30" ht="27.6" hidden="1" x14ac:dyDescent="0.3">
      <c r="A249" s="13" t="s">
        <v>100</v>
      </c>
      <c r="B249" s="13" t="s">
        <v>890</v>
      </c>
      <c r="C249" s="13" t="s">
        <v>68</v>
      </c>
      <c r="D249" s="13" t="s">
        <v>889</v>
      </c>
      <c r="E249" s="13" t="s">
        <v>895</v>
      </c>
      <c r="F249" s="13" t="s">
        <v>894</v>
      </c>
      <c r="G249" s="13" t="s">
        <v>896</v>
      </c>
      <c r="H249" s="13" t="s">
        <v>891</v>
      </c>
      <c r="I249" s="13" t="s">
        <v>892</v>
      </c>
      <c r="J249" s="13" t="s">
        <v>330</v>
      </c>
      <c r="K249" s="13" t="s">
        <v>25</v>
      </c>
      <c r="N249" s="13"/>
      <c r="S249" s="17">
        <v>44567</v>
      </c>
      <c r="T249" s="15">
        <v>2022</v>
      </c>
      <c r="V249" s="13" t="s">
        <v>29</v>
      </c>
      <c r="X249" s="14">
        <v>5</v>
      </c>
      <c r="Y249" s="14"/>
      <c r="Z249" s="14" t="s">
        <v>3828</v>
      </c>
      <c r="AA249" s="14" t="s">
        <v>3819</v>
      </c>
      <c r="AB249" s="14" t="s">
        <v>3888</v>
      </c>
      <c r="AC249" s="13" t="s">
        <v>893</v>
      </c>
      <c r="AD249" s="13" t="s">
        <v>53</v>
      </c>
    </row>
    <row r="250" spans="1:30" ht="27.6" hidden="1" x14ac:dyDescent="0.3">
      <c r="A250" s="13" t="s">
        <v>49</v>
      </c>
      <c r="B250" s="13" t="s">
        <v>2046</v>
      </c>
      <c r="C250" s="13" t="s">
        <v>79</v>
      </c>
      <c r="D250" s="13" t="s">
        <v>2045</v>
      </c>
      <c r="E250" s="13" t="s">
        <v>2051</v>
      </c>
      <c r="F250" s="13" t="s">
        <v>2050</v>
      </c>
      <c r="G250" s="13" t="s">
        <v>2052</v>
      </c>
      <c r="H250" s="13" t="s">
        <v>2047</v>
      </c>
      <c r="I250" s="13" t="s">
        <v>2048</v>
      </c>
      <c r="J250" s="13" t="s">
        <v>52</v>
      </c>
      <c r="K250" s="13" t="s">
        <v>25</v>
      </c>
      <c r="N250" s="13"/>
      <c r="S250" s="17">
        <v>44567</v>
      </c>
      <c r="T250" s="15">
        <v>2022</v>
      </c>
      <c r="V250" s="13" t="s">
        <v>29</v>
      </c>
      <c r="X250" s="14">
        <v>5</v>
      </c>
      <c r="Y250" s="14"/>
      <c r="Z250" s="14" t="s">
        <v>3828</v>
      </c>
      <c r="AA250" s="14" t="s">
        <v>3808</v>
      </c>
      <c r="AB250" s="14" t="s">
        <v>3888</v>
      </c>
      <c r="AC250" s="13" t="s">
        <v>2049</v>
      </c>
      <c r="AD250" s="13" t="s">
        <v>53</v>
      </c>
    </row>
    <row r="251" spans="1:30" ht="27.6" hidden="1" x14ac:dyDescent="0.3">
      <c r="A251" s="13" t="s">
        <v>22</v>
      </c>
      <c r="B251" s="13" t="s">
        <v>3638</v>
      </c>
      <c r="C251" s="13" t="s">
        <v>1750</v>
      </c>
      <c r="D251" s="13" t="s">
        <v>3637</v>
      </c>
      <c r="E251" s="13" t="s">
        <v>3641</v>
      </c>
      <c r="F251" s="13" t="s">
        <v>3640</v>
      </c>
      <c r="J251" s="13" t="s">
        <v>3639</v>
      </c>
      <c r="K251" s="13" t="s">
        <v>25</v>
      </c>
      <c r="N251" s="13"/>
      <c r="S251" s="17">
        <v>44570</v>
      </c>
      <c r="T251" s="15">
        <v>2022</v>
      </c>
      <c r="V251" s="13" t="s">
        <v>29</v>
      </c>
      <c r="X251" s="14">
        <v>5</v>
      </c>
      <c r="Y251" s="14"/>
      <c r="Z251" s="14" t="s">
        <v>3828</v>
      </c>
      <c r="AA251" s="14" t="s">
        <v>3837</v>
      </c>
      <c r="AB251" s="14" t="s">
        <v>3885</v>
      </c>
      <c r="AD251" s="13" t="s">
        <v>53</v>
      </c>
    </row>
    <row r="252" spans="1:30" hidden="1" x14ac:dyDescent="0.3">
      <c r="A252" s="13" t="s">
        <v>22</v>
      </c>
      <c r="B252" s="13" t="s">
        <v>164</v>
      </c>
      <c r="C252" s="13" t="s">
        <v>165</v>
      </c>
      <c r="D252" s="13" t="s">
        <v>163</v>
      </c>
      <c r="E252" s="13" t="s">
        <v>168</v>
      </c>
      <c r="F252" s="13" t="s">
        <v>167</v>
      </c>
      <c r="G252" s="13" t="s">
        <v>169</v>
      </c>
      <c r="H252" s="13" t="s">
        <v>166</v>
      </c>
      <c r="J252" s="13" t="s">
        <v>52</v>
      </c>
      <c r="K252" s="13" t="s">
        <v>25</v>
      </c>
      <c r="N252" s="13"/>
      <c r="S252" s="17">
        <v>44575</v>
      </c>
      <c r="T252" s="15">
        <v>2022</v>
      </c>
      <c r="V252" s="13" t="s">
        <v>29</v>
      </c>
      <c r="X252" s="14">
        <v>5</v>
      </c>
      <c r="Y252" s="14"/>
      <c r="Z252" s="14" t="s">
        <v>3828</v>
      </c>
      <c r="AA252" s="14" t="s">
        <v>3872</v>
      </c>
      <c r="AB252" s="14" t="s">
        <v>3885</v>
      </c>
    </row>
    <row r="253" spans="1:30" hidden="1" x14ac:dyDescent="0.3">
      <c r="A253" s="13" t="s">
        <v>100</v>
      </c>
      <c r="B253" s="13" t="s">
        <v>3298</v>
      </c>
      <c r="C253" s="13" t="s">
        <v>3299</v>
      </c>
      <c r="D253" s="13" t="s">
        <v>3297</v>
      </c>
      <c r="E253" s="13" t="s">
        <v>3304</v>
      </c>
      <c r="F253" s="13" t="s">
        <v>3303</v>
      </c>
      <c r="G253" s="13" t="s">
        <v>3305</v>
      </c>
      <c r="H253" s="13" t="s">
        <v>3300</v>
      </c>
      <c r="I253" s="13" t="s">
        <v>3301</v>
      </c>
      <c r="J253" s="13" t="s">
        <v>3302</v>
      </c>
      <c r="K253" s="13" t="s">
        <v>25</v>
      </c>
      <c r="N253" s="13"/>
      <c r="S253" s="17">
        <v>44576</v>
      </c>
      <c r="T253" s="15">
        <v>2022</v>
      </c>
      <c r="V253" s="13" t="s">
        <v>29</v>
      </c>
      <c r="X253" s="14">
        <v>5</v>
      </c>
      <c r="Y253" s="14"/>
      <c r="Z253" s="14" t="s">
        <v>3828</v>
      </c>
      <c r="AA253" s="14" t="s">
        <v>3812</v>
      </c>
      <c r="AB253" s="14" t="s">
        <v>3887</v>
      </c>
      <c r="AD253" s="13" t="s">
        <v>53</v>
      </c>
    </row>
    <row r="254" spans="1:30" hidden="1" x14ac:dyDescent="0.3">
      <c r="A254" s="13" t="s">
        <v>22</v>
      </c>
      <c r="B254" s="13" t="s">
        <v>666</v>
      </c>
      <c r="C254" s="13" t="s">
        <v>466</v>
      </c>
      <c r="D254" s="13" t="s">
        <v>665</v>
      </c>
      <c r="E254" s="13" t="s">
        <v>668</v>
      </c>
      <c r="F254" s="13" t="s">
        <v>667</v>
      </c>
      <c r="J254" s="13" t="s">
        <v>52</v>
      </c>
      <c r="K254" s="13" t="s">
        <v>25</v>
      </c>
      <c r="N254" s="13"/>
      <c r="S254" s="17">
        <v>44578</v>
      </c>
      <c r="T254" s="15">
        <v>2022</v>
      </c>
      <c r="V254" s="13" t="s">
        <v>29</v>
      </c>
      <c r="X254" s="14">
        <v>5</v>
      </c>
      <c r="Y254" s="14"/>
      <c r="Z254" s="14" t="s">
        <v>3835</v>
      </c>
      <c r="AA254" s="14" t="s">
        <v>3817</v>
      </c>
      <c r="AB254" s="14" t="s">
        <v>3884</v>
      </c>
      <c r="AD254" s="13" t="s">
        <v>53</v>
      </c>
    </row>
    <row r="255" spans="1:30" hidden="1" x14ac:dyDescent="0.3">
      <c r="A255" s="13" t="s">
        <v>22</v>
      </c>
      <c r="B255" s="13" t="s">
        <v>1167</v>
      </c>
      <c r="C255" s="13" t="s">
        <v>1168</v>
      </c>
      <c r="D255" s="13" t="s">
        <v>1166</v>
      </c>
      <c r="E255" s="13" t="s">
        <v>1172</v>
      </c>
      <c r="F255" s="13" t="s">
        <v>1171</v>
      </c>
      <c r="G255" s="13" t="s">
        <v>1173</v>
      </c>
      <c r="H255" s="13" t="s">
        <v>1169</v>
      </c>
      <c r="I255" s="13" t="s">
        <v>1170</v>
      </c>
      <c r="K255" s="13" t="s">
        <v>25</v>
      </c>
      <c r="N255" s="13"/>
      <c r="S255" s="17">
        <v>44578</v>
      </c>
      <c r="T255" s="15">
        <v>2022</v>
      </c>
      <c r="V255" s="13" t="s">
        <v>29</v>
      </c>
      <c r="X255" s="14">
        <v>5</v>
      </c>
      <c r="Y255" s="14"/>
      <c r="Z255" s="14" t="s">
        <v>3835</v>
      </c>
      <c r="AA255" s="14" t="s">
        <v>3813</v>
      </c>
      <c r="AB255" s="14" t="s">
        <v>3884</v>
      </c>
      <c r="AD255" s="13" t="s">
        <v>53</v>
      </c>
    </row>
    <row r="256" spans="1:30" hidden="1" x14ac:dyDescent="0.3">
      <c r="A256" s="13" t="s">
        <v>22</v>
      </c>
      <c r="B256" s="13" t="s">
        <v>2245</v>
      </c>
      <c r="C256" s="13" t="s">
        <v>2246</v>
      </c>
      <c r="D256" s="13" t="s">
        <v>2244</v>
      </c>
      <c r="E256" s="13" t="s">
        <v>2248</v>
      </c>
      <c r="F256" s="13" t="s">
        <v>2249</v>
      </c>
      <c r="G256" s="13" t="s">
        <v>2250</v>
      </c>
      <c r="H256" s="13" t="s">
        <v>2247</v>
      </c>
      <c r="I256" s="13" t="s">
        <v>1170</v>
      </c>
      <c r="J256" s="13" t="s">
        <v>52</v>
      </c>
      <c r="K256" s="13" t="s">
        <v>25</v>
      </c>
      <c r="N256" s="13"/>
      <c r="S256" s="17">
        <v>44578</v>
      </c>
      <c r="T256" s="15">
        <v>2022</v>
      </c>
      <c r="V256" s="13" t="s">
        <v>29</v>
      </c>
      <c r="X256" s="14">
        <v>5</v>
      </c>
      <c r="Y256" s="14"/>
      <c r="Z256" s="14" t="s">
        <v>3835</v>
      </c>
      <c r="AA256" s="14" t="s">
        <v>3817</v>
      </c>
      <c r="AB256" s="14" t="s">
        <v>3884</v>
      </c>
      <c r="AC256" s="13"/>
      <c r="AD256" s="13" t="s">
        <v>53</v>
      </c>
    </row>
    <row r="257" spans="1:30" hidden="1" x14ac:dyDescent="0.3">
      <c r="A257" s="13" t="s">
        <v>22</v>
      </c>
      <c r="B257" s="13" t="s">
        <v>716</v>
      </c>
      <c r="C257" s="13" t="s">
        <v>68</v>
      </c>
      <c r="D257" s="13" t="s">
        <v>715</v>
      </c>
      <c r="E257" s="13" t="s">
        <v>718</v>
      </c>
      <c r="F257" s="13" t="s">
        <v>717</v>
      </c>
      <c r="K257" s="13" t="s">
        <v>25</v>
      </c>
      <c r="N257" s="13"/>
      <c r="S257" s="17">
        <v>44583</v>
      </c>
      <c r="T257" s="15">
        <v>2022</v>
      </c>
      <c r="V257" s="13" t="s">
        <v>29</v>
      </c>
      <c r="X257" s="14">
        <v>5</v>
      </c>
      <c r="Y257" s="14"/>
      <c r="Z257" s="14" t="s">
        <v>3835</v>
      </c>
      <c r="AA257" s="14" t="s">
        <v>3817</v>
      </c>
      <c r="AB257" s="14" t="s">
        <v>3884</v>
      </c>
      <c r="AD257" s="13" t="s">
        <v>53</v>
      </c>
    </row>
    <row r="258" spans="1:30" hidden="1" x14ac:dyDescent="0.3">
      <c r="A258" s="13" t="s">
        <v>22</v>
      </c>
      <c r="B258" s="13" t="s">
        <v>1005</v>
      </c>
      <c r="C258" s="13" t="s">
        <v>1006</v>
      </c>
      <c r="D258" s="13" t="s">
        <v>1004</v>
      </c>
      <c r="E258" s="13" t="s">
        <v>1009</v>
      </c>
      <c r="F258" s="13" t="s">
        <v>1008</v>
      </c>
      <c r="G258" s="13" t="s">
        <v>1010</v>
      </c>
      <c r="H258" s="13" t="s">
        <v>310</v>
      </c>
      <c r="I258" s="13" t="s">
        <v>1007</v>
      </c>
      <c r="K258" s="13" t="s">
        <v>25</v>
      </c>
      <c r="N258" s="13"/>
      <c r="S258" s="17">
        <v>44583</v>
      </c>
      <c r="T258" s="15">
        <v>2022</v>
      </c>
      <c r="V258" s="13" t="s">
        <v>29</v>
      </c>
      <c r="X258" s="14">
        <v>50</v>
      </c>
      <c r="Y258" s="14"/>
      <c r="Z258" s="14" t="s">
        <v>3835</v>
      </c>
      <c r="AA258" s="14" t="s">
        <v>3817</v>
      </c>
      <c r="AB258" s="14" t="s">
        <v>3884</v>
      </c>
      <c r="AD258" s="13" t="s">
        <v>53</v>
      </c>
    </row>
    <row r="259" spans="1:30" hidden="1" x14ac:dyDescent="0.3">
      <c r="A259" s="13" t="s">
        <v>22</v>
      </c>
      <c r="B259" s="13" t="s">
        <v>3366</v>
      </c>
      <c r="C259" s="13" t="s">
        <v>336</v>
      </c>
      <c r="D259" s="13" t="s">
        <v>3365</v>
      </c>
      <c r="E259" s="13" t="s">
        <v>3369</v>
      </c>
      <c r="F259" s="13" t="s">
        <v>3370</v>
      </c>
      <c r="G259" s="13" t="s">
        <v>3371</v>
      </c>
      <c r="H259" s="13" t="s">
        <v>3367</v>
      </c>
      <c r="I259" s="13" t="s">
        <v>3368</v>
      </c>
      <c r="K259" s="13" t="s">
        <v>25</v>
      </c>
      <c r="N259" s="13"/>
      <c r="S259" s="17">
        <v>44583</v>
      </c>
      <c r="T259" s="15">
        <v>2022</v>
      </c>
      <c r="V259" s="13" t="s">
        <v>29</v>
      </c>
      <c r="X259" s="14">
        <v>10</v>
      </c>
      <c r="Y259" s="14"/>
      <c r="Z259" s="14" t="s">
        <v>3835</v>
      </c>
      <c r="AA259" s="14" t="s">
        <v>3817</v>
      </c>
      <c r="AB259" s="14" t="s">
        <v>3884</v>
      </c>
      <c r="AC259" s="13"/>
      <c r="AD259" s="13" t="s">
        <v>53</v>
      </c>
    </row>
    <row r="260" spans="1:30" ht="27.6" hidden="1" x14ac:dyDescent="0.3">
      <c r="A260" s="13" t="s">
        <v>49</v>
      </c>
      <c r="B260" s="13" t="s">
        <v>703</v>
      </c>
      <c r="C260" s="13" t="s">
        <v>704</v>
      </c>
      <c r="D260" s="13" t="s">
        <v>702</v>
      </c>
      <c r="E260" s="13" t="s">
        <v>706</v>
      </c>
      <c r="F260" s="13" t="s">
        <v>705</v>
      </c>
      <c r="G260" s="13" t="s">
        <v>707</v>
      </c>
      <c r="H260" s="13" t="s">
        <v>50</v>
      </c>
      <c r="I260" s="13" t="s">
        <v>191</v>
      </c>
      <c r="J260" s="13" t="s">
        <v>52</v>
      </c>
      <c r="K260" s="13" t="s">
        <v>25</v>
      </c>
      <c r="N260" s="13"/>
      <c r="S260" s="17">
        <v>44583</v>
      </c>
      <c r="T260" s="15">
        <v>2022</v>
      </c>
      <c r="V260" s="13" t="s">
        <v>708</v>
      </c>
      <c r="X260" s="14">
        <v>5</v>
      </c>
      <c r="Y260" s="14"/>
      <c r="Z260" s="14" t="s">
        <v>3828</v>
      </c>
      <c r="AA260" s="14"/>
      <c r="AB260" s="14"/>
      <c r="AD260" s="13" t="s">
        <v>53</v>
      </c>
    </row>
    <row r="261" spans="1:30" hidden="1" x14ac:dyDescent="0.3">
      <c r="B261" s="13" t="s">
        <v>3752</v>
      </c>
      <c r="C261" s="13" t="s">
        <v>3753</v>
      </c>
      <c r="D261" s="13" t="s">
        <v>3751</v>
      </c>
      <c r="E261" s="13" t="s">
        <v>3755</v>
      </c>
      <c r="F261" s="13" t="s">
        <v>3754</v>
      </c>
      <c r="K261" s="13" t="s">
        <v>25</v>
      </c>
      <c r="N261" s="13"/>
      <c r="S261" s="17">
        <v>44583</v>
      </c>
      <c r="T261" s="15">
        <v>2022</v>
      </c>
      <c r="V261" s="13" t="s">
        <v>29</v>
      </c>
      <c r="X261" s="14">
        <v>5</v>
      </c>
      <c r="Y261" s="14"/>
      <c r="Z261" s="14" t="s">
        <v>3835</v>
      </c>
      <c r="AA261" s="14" t="s">
        <v>3817</v>
      </c>
      <c r="AB261" s="14" t="s">
        <v>3884</v>
      </c>
      <c r="AD261" s="13" t="s">
        <v>53</v>
      </c>
    </row>
    <row r="262" spans="1:30" hidden="1" x14ac:dyDescent="0.3">
      <c r="A262" s="13" t="s">
        <v>460</v>
      </c>
      <c r="B262" s="13" t="s">
        <v>458</v>
      </c>
      <c r="C262" s="13" t="s">
        <v>459</v>
      </c>
      <c r="D262" s="13" t="s">
        <v>457</v>
      </c>
      <c r="E262" s="13" t="s">
        <v>463</v>
      </c>
      <c r="F262" s="13" t="s">
        <v>462</v>
      </c>
      <c r="G262" s="13" t="s">
        <v>464</v>
      </c>
      <c r="H262" s="13" t="s">
        <v>461</v>
      </c>
      <c r="J262" s="13" t="s">
        <v>52</v>
      </c>
      <c r="K262" s="13" t="s">
        <v>25</v>
      </c>
      <c r="N262" s="13"/>
      <c r="S262" s="17">
        <v>44584</v>
      </c>
      <c r="T262" s="15">
        <v>2022</v>
      </c>
      <c r="V262" s="13" t="s">
        <v>29</v>
      </c>
      <c r="X262" s="14">
        <v>5</v>
      </c>
      <c r="Y262" s="14"/>
      <c r="Z262" s="14" t="s">
        <v>3870</v>
      </c>
      <c r="AA262" s="14" t="s">
        <v>3806</v>
      </c>
      <c r="AB262" s="14" t="s">
        <v>3886</v>
      </c>
      <c r="AD262" s="13" t="s">
        <v>53</v>
      </c>
    </row>
    <row r="263" spans="1:30" hidden="1" x14ac:dyDescent="0.3">
      <c r="A263" s="13" t="s">
        <v>22</v>
      </c>
      <c r="B263" s="13" t="s">
        <v>1306</v>
      </c>
      <c r="C263" s="13" t="s">
        <v>1307</v>
      </c>
      <c r="D263" s="13" t="s">
        <v>1305</v>
      </c>
      <c r="E263" s="13" t="s">
        <v>1309</v>
      </c>
      <c r="F263" s="13" t="s">
        <v>1308</v>
      </c>
      <c r="K263" s="13" t="s">
        <v>25</v>
      </c>
      <c r="N263" s="13"/>
      <c r="S263" s="17">
        <v>44584</v>
      </c>
      <c r="T263" s="15">
        <v>2022</v>
      </c>
      <c r="V263" s="13" t="s">
        <v>29</v>
      </c>
      <c r="X263" s="14">
        <v>5</v>
      </c>
      <c r="Y263" s="14"/>
      <c r="Z263" s="14" t="s">
        <v>3835</v>
      </c>
      <c r="AA263" s="14" t="s">
        <v>3817</v>
      </c>
      <c r="AB263" s="14" t="s">
        <v>3884</v>
      </c>
      <c r="AD263" s="13" t="s">
        <v>53</v>
      </c>
    </row>
    <row r="264" spans="1:30" hidden="1" x14ac:dyDescent="0.3">
      <c r="A264" s="13" t="s">
        <v>100</v>
      </c>
      <c r="B264" s="13" t="s">
        <v>2268</v>
      </c>
      <c r="C264" s="13" t="s">
        <v>354</v>
      </c>
      <c r="D264" s="13" t="s">
        <v>2267</v>
      </c>
      <c r="E264" s="13" t="s">
        <v>2271</v>
      </c>
      <c r="F264" s="13" t="s">
        <v>2270</v>
      </c>
      <c r="G264" s="13" t="s">
        <v>2272</v>
      </c>
      <c r="H264" s="13" t="s">
        <v>2269</v>
      </c>
      <c r="K264" s="13" t="s">
        <v>25</v>
      </c>
      <c r="N264" s="13"/>
      <c r="S264" s="17">
        <v>44584</v>
      </c>
      <c r="T264" s="15">
        <v>2022</v>
      </c>
      <c r="V264" s="13" t="s">
        <v>29</v>
      </c>
      <c r="X264" s="14">
        <v>20</v>
      </c>
      <c r="Y264" s="14"/>
      <c r="Z264" s="14" t="s">
        <v>3828</v>
      </c>
      <c r="AA264" s="14" t="s">
        <v>3807</v>
      </c>
      <c r="AB264" s="14" t="s">
        <v>3888</v>
      </c>
      <c r="AD264" s="13" t="s">
        <v>53</v>
      </c>
    </row>
    <row r="265" spans="1:30" hidden="1" x14ac:dyDescent="0.3">
      <c r="B265" s="13" t="s">
        <v>1988</v>
      </c>
      <c r="C265" s="13" t="s">
        <v>1989</v>
      </c>
      <c r="D265" s="13" t="s">
        <v>1987</v>
      </c>
      <c r="E265" s="13" t="s">
        <v>1995</v>
      </c>
      <c r="F265" s="13" t="s">
        <v>1994</v>
      </c>
      <c r="G265" s="13" t="s">
        <v>1996</v>
      </c>
      <c r="H265" s="13" t="s">
        <v>1990</v>
      </c>
      <c r="I265" s="13" t="s">
        <v>1991</v>
      </c>
      <c r="J265" s="13" t="s">
        <v>1992</v>
      </c>
      <c r="K265" s="13" t="s">
        <v>1993</v>
      </c>
      <c r="N265" s="13"/>
      <c r="S265" s="17">
        <v>44584</v>
      </c>
      <c r="T265" s="15">
        <v>2022</v>
      </c>
      <c r="V265" s="13" t="s">
        <v>29</v>
      </c>
      <c r="X265" s="14">
        <v>5</v>
      </c>
      <c r="Y265" s="14"/>
      <c r="Z265" s="14" t="s">
        <v>3828</v>
      </c>
      <c r="AA265" s="14" t="s">
        <v>3819</v>
      </c>
      <c r="AB265" s="14" t="s">
        <v>3888</v>
      </c>
      <c r="AD265" s="13" t="s">
        <v>53</v>
      </c>
    </row>
    <row r="266" spans="1:30" ht="27.6" hidden="1" x14ac:dyDescent="0.3">
      <c r="B266" s="13" t="s">
        <v>2788</v>
      </c>
      <c r="C266" s="13" t="s">
        <v>2789</v>
      </c>
      <c r="D266" s="13" t="s">
        <v>2787</v>
      </c>
      <c r="E266" s="13" t="s">
        <v>2791</v>
      </c>
      <c r="F266" s="13" t="s">
        <v>2790</v>
      </c>
      <c r="K266" s="13" t="s">
        <v>25</v>
      </c>
      <c r="N266" s="13"/>
      <c r="S266" s="17">
        <v>44584</v>
      </c>
      <c r="T266" s="15">
        <v>2022</v>
      </c>
      <c r="V266" s="13" t="s">
        <v>29</v>
      </c>
      <c r="W266" s="13" t="s">
        <v>2792</v>
      </c>
      <c r="X266" s="14">
        <v>5</v>
      </c>
      <c r="Y266" s="14"/>
      <c r="Z266" s="14" t="s">
        <v>2148</v>
      </c>
      <c r="AA266" s="14" t="s">
        <v>3818</v>
      </c>
      <c r="AB266" s="14" t="s">
        <v>3890</v>
      </c>
      <c r="AD266" s="13" t="s">
        <v>53</v>
      </c>
    </row>
    <row r="267" spans="1:30" hidden="1" x14ac:dyDescent="0.3">
      <c r="A267" s="13" t="s">
        <v>22</v>
      </c>
      <c r="B267" s="13" t="s">
        <v>1285</v>
      </c>
      <c r="C267" s="13" t="s">
        <v>557</v>
      </c>
      <c r="D267" s="13" t="s">
        <v>1284</v>
      </c>
      <c r="E267" s="13" t="s">
        <v>1287</v>
      </c>
      <c r="F267" s="13" t="s">
        <v>1286</v>
      </c>
      <c r="J267" s="13" t="s">
        <v>52</v>
      </c>
      <c r="K267" s="13" t="s">
        <v>25</v>
      </c>
      <c r="N267" s="13"/>
      <c r="S267" s="17">
        <v>44585</v>
      </c>
      <c r="T267" s="15">
        <v>2022</v>
      </c>
      <c r="V267" s="13" t="s">
        <v>29</v>
      </c>
      <c r="X267" s="14">
        <v>50</v>
      </c>
      <c r="Y267" s="14"/>
      <c r="Z267" s="14" t="s">
        <v>3835</v>
      </c>
      <c r="AA267" s="14" t="s">
        <v>3817</v>
      </c>
      <c r="AB267" s="14" t="s">
        <v>3884</v>
      </c>
      <c r="AD267" s="13" t="s">
        <v>53</v>
      </c>
    </row>
    <row r="268" spans="1:30" s="14" customFormat="1" hidden="1" x14ac:dyDescent="0.3">
      <c r="A268" s="13" t="s">
        <v>100</v>
      </c>
      <c r="B268" s="13" t="s">
        <v>1075</v>
      </c>
      <c r="C268" s="13" t="s">
        <v>1076</v>
      </c>
      <c r="D268" s="13" t="s">
        <v>1074</v>
      </c>
      <c r="E268" s="13" t="s">
        <v>1078</v>
      </c>
      <c r="F268" s="13" t="s">
        <v>1077</v>
      </c>
      <c r="G268" s="13" t="s">
        <v>1079</v>
      </c>
      <c r="H268" s="13" t="s">
        <v>3839</v>
      </c>
      <c r="I268" s="13" t="s">
        <v>191</v>
      </c>
      <c r="J268" s="12"/>
      <c r="K268" s="13" t="s">
        <v>25</v>
      </c>
      <c r="L268" s="12"/>
      <c r="N268" s="13"/>
      <c r="O268" s="12"/>
      <c r="P268" s="12"/>
      <c r="Q268" s="12"/>
      <c r="R268" s="12"/>
      <c r="S268" s="17">
        <v>44586</v>
      </c>
      <c r="T268" s="15">
        <v>2022</v>
      </c>
      <c r="U268" s="12"/>
      <c r="V268" s="13" t="s">
        <v>29</v>
      </c>
      <c r="W268" s="12"/>
      <c r="X268" s="14">
        <v>5</v>
      </c>
      <c r="Z268" s="14" t="s">
        <v>3828</v>
      </c>
      <c r="AA268" s="14" t="s">
        <v>3824</v>
      </c>
      <c r="AB268" s="14" t="s">
        <v>3885</v>
      </c>
      <c r="AC268" s="12"/>
      <c r="AD268" s="13" t="s">
        <v>53</v>
      </c>
    </row>
    <row r="269" spans="1:30" ht="27.6" hidden="1" x14ac:dyDescent="0.3">
      <c r="A269" s="13" t="s">
        <v>100</v>
      </c>
      <c r="B269" s="13" t="s">
        <v>2096</v>
      </c>
      <c r="C269" s="13" t="s">
        <v>2097</v>
      </c>
      <c r="D269" s="13" t="s">
        <v>2095</v>
      </c>
      <c r="E269" s="13" t="s">
        <v>2100</v>
      </c>
      <c r="F269" s="13" t="s">
        <v>2099</v>
      </c>
      <c r="G269" s="13" t="s">
        <v>2101</v>
      </c>
      <c r="H269" s="13" t="s">
        <v>2098</v>
      </c>
      <c r="I269" s="13" t="s">
        <v>191</v>
      </c>
      <c r="K269" s="13" t="s">
        <v>25</v>
      </c>
      <c r="N269" s="13"/>
      <c r="S269" s="17">
        <v>44586</v>
      </c>
      <c r="T269" s="15">
        <v>2022</v>
      </c>
      <c r="V269" s="13" t="s">
        <v>29</v>
      </c>
      <c r="X269" s="14">
        <v>5</v>
      </c>
      <c r="Y269" s="14"/>
      <c r="Z269" s="14" t="s">
        <v>3828</v>
      </c>
      <c r="AA269" s="14" t="s">
        <v>3837</v>
      </c>
      <c r="AB269" s="14" t="s">
        <v>3885</v>
      </c>
      <c r="AD269" s="13" t="s">
        <v>53</v>
      </c>
    </row>
    <row r="270" spans="1:30" hidden="1" x14ac:dyDescent="0.3">
      <c r="A270" s="13" t="s">
        <v>22</v>
      </c>
      <c r="B270" s="13" t="s">
        <v>2627</v>
      </c>
      <c r="C270" s="13" t="s">
        <v>229</v>
      </c>
      <c r="D270" s="13" t="s">
        <v>2626</v>
      </c>
      <c r="E270" s="13" t="s">
        <v>2631</v>
      </c>
      <c r="F270" s="13" t="s">
        <v>2630</v>
      </c>
      <c r="G270" s="13" t="s">
        <v>2632</v>
      </c>
      <c r="H270" s="13" t="s">
        <v>2628</v>
      </c>
      <c r="I270" s="13" t="s">
        <v>2629</v>
      </c>
      <c r="K270" s="13" t="s">
        <v>25</v>
      </c>
      <c r="N270" s="13"/>
      <c r="S270" s="17">
        <v>44588</v>
      </c>
      <c r="T270" s="15">
        <v>2022</v>
      </c>
      <c r="V270" s="13" t="s">
        <v>29</v>
      </c>
      <c r="X270" s="14">
        <v>5</v>
      </c>
      <c r="Y270" s="14"/>
      <c r="Z270" s="14" t="s">
        <v>3835</v>
      </c>
      <c r="AA270" s="14" t="s">
        <v>3813</v>
      </c>
      <c r="AB270" s="14" t="s">
        <v>3884</v>
      </c>
      <c r="AD270" s="13" t="s">
        <v>53</v>
      </c>
    </row>
    <row r="271" spans="1:30" hidden="1" x14ac:dyDescent="0.3">
      <c r="A271" s="13" t="s">
        <v>100</v>
      </c>
      <c r="B271" s="13" t="s">
        <v>3070</v>
      </c>
      <c r="C271" s="13" t="s">
        <v>1732</v>
      </c>
      <c r="D271" s="13" t="s">
        <v>3069</v>
      </c>
      <c r="E271" s="13" t="s">
        <v>3074</v>
      </c>
      <c r="F271" s="13" t="s">
        <v>3073</v>
      </c>
      <c r="G271" s="13" t="s">
        <v>3075</v>
      </c>
      <c r="H271" s="13" t="s">
        <v>3071</v>
      </c>
      <c r="I271" s="13" t="s">
        <v>3072</v>
      </c>
      <c r="J271" s="13" t="s">
        <v>52</v>
      </c>
      <c r="K271" s="13" t="s">
        <v>25</v>
      </c>
      <c r="N271" s="13"/>
      <c r="S271" s="17">
        <v>44591</v>
      </c>
      <c r="T271" s="15">
        <v>2022</v>
      </c>
      <c r="V271" s="13" t="s">
        <v>29</v>
      </c>
      <c r="X271" s="14">
        <v>10</v>
      </c>
      <c r="Y271" s="14"/>
      <c r="Z271" s="14" t="s">
        <v>3828</v>
      </c>
      <c r="AA271" s="14" t="s">
        <v>3807</v>
      </c>
      <c r="AB271" s="14" t="s">
        <v>3888</v>
      </c>
      <c r="AD271" s="13" t="s">
        <v>53</v>
      </c>
    </row>
    <row r="272" spans="1:30" hidden="1" x14ac:dyDescent="0.3">
      <c r="A272" s="13" t="s">
        <v>22</v>
      </c>
      <c r="B272" s="13" t="s">
        <v>829</v>
      </c>
      <c r="C272" s="13" t="s">
        <v>830</v>
      </c>
      <c r="D272" s="13" t="s">
        <v>828</v>
      </c>
      <c r="E272" s="13" t="s">
        <v>834</v>
      </c>
      <c r="F272" s="13" t="s">
        <v>833</v>
      </c>
      <c r="G272" s="13" t="s">
        <v>835</v>
      </c>
      <c r="H272" s="13" t="s">
        <v>831</v>
      </c>
      <c r="I272" s="13" t="s">
        <v>832</v>
      </c>
      <c r="K272" s="13" t="s">
        <v>25</v>
      </c>
      <c r="N272" s="13"/>
      <c r="S272" s="17">
        <v>44593</v>
      </c>
      <c r="T272" s="15">
        <v>2022</v>
      </c>
      <c r="V272" s="13" t="s">
        <v>29</v>
      </c>
      <c r="X272" s="14">
        <v>5</v>
      </c>
      <c r="Y272" s="14"/>
      <c r="Z272" s="14" t="s">
        <v>3835</v>
      </c>
      <c r="AA272" s="14" t="s">
        <v>3817</v>
      </c>
      <c r="AB272" s="14" t="s">
        <v>3884</v>
      </c>
      <c r="AD272" s="13" t="s">
        <v>53</v>
      </c>
    </row>
    <row r="273" spans="1:30" hidden="1" x14ac:dyDescent="0.3">
      <c r="A273" s="13" t="s">
        <v>22</v>
      </c>
      <c r="B273" s="13" t="s">
        <v>3293</v>
      </c>
      <c r="C273" s="13" t="s">
        <v>309</v>
      </c>
      <c r="D273" s="13" t="s">
        <v>3292</v>
      </c>
      <c r="E273" s="13" t="s">
        <v>3295</v>
      </c>
      <c r="F273" s="13" t="s">
        <v>3294</v>
      </c>
      <c r="G273" s="13" t="s">
        <v>3296</v>
      </c>
      <c r="K273" s="13" t="s">
        <v>25</v>
      </c>
      <c r="N273" s="13"/>
      <c r="S273" s="17">
        <v>44593</v>
      </c>
      <c r="T273" s="15">
        <v>2022</v>
      </c>
      <c r="V273" s="13" t="s">
        <v>29</v>
      </c>
      <c r="X273" s="14">
        <v>5</v>
      </c>
      <c r="Y273" s="14"/>
      <c r="Z273" s="14" t="s">
        <v>2148</v>
      </c>
      <c r="AA273" s="14" t="s">
        <v>3808</v>
      </c>
      <c r="AB273" s="14" t="s">
        <v>3890</v>
      </c>
      <c r="AD273" s="13" t="s">
        <v>53</v>
      </c>
    </row>
    <row r="274" spans="1:30" hidden="1" x14ac:dyDescent="0.3">
      <c r="A274" s="13" t="s">
        <v>100</v>
      </c>
      <c r="B274" s="13" t="s">
        <v>3663</v>
      </c>
      <c r="C274" s="13" t="s">
        <v>1209</v>
      </c>
      <c r="D274" s="13" t="s">
        <v>3662</v>
      </c>
      <c r="E274" s="13" t="s">
        <v>3665</v>
      </c>
      <c r="F274" s="13" t="s">
        <v>3664</v>
      </c>
      <c r="G274" s="13" t="s">
        <v>3666</v>
      </c>
      <c r="J274" s="13" t="s">
        <v>52</v>
      </c>
      <c r="K274" s="13" t="s">
        <v>25</v>
      </c>
      <c r="N274" s="13"/>
      <c r="S274" s="17">
        <v>44593</v>
      </c>
      <c r="T274" s="15">
        <v>2022</v>
      </c>
      <c r="V274" s="13" t="s">
        <v>29</v>
      </c>
      <c r="X274" s="14">
        <v>5</v>
      </c>
      <c r="Y274" s="14"/>
      <c r="Z274" s="14" t="s">
        <v>3828</v>
      </c>
      <c r="AA274" s="14" t="s">
        <v>3807</v>
      </c>
      <c r="AB274" s="14" t="s">
        <v>3888</v>
      </c>
      <c r="AD274" s="13" t="s">
        <v>53</v>
      </c>
    </row>
    <row r="275" spans="1:30" hidden="1" x14ac:dyDescent="0.3">
      <c r="A275" s="13" t="s">
        <v>2635</v>
      </c>
      <c r="B275" s="13" t="s">
        <v>2925</v>
      </c>
      <c r="C275" s="13" t="s">
        <v>397</v>
      </c>
      <c r="D275" s="13" t="s">
        <v>2935</v>
      </c>
      <c r="E275" s="13" t="s">
        <v>2937</v>
      </c>
      <c r="F275" s="13" t="s">
        <v>2936</v>
      </c>
      <c r="G275" s="13" t="s">
        <v>2938</v>
      </c>
      <c r="K275" s="13" t="s">
        <v>25</v>
      </c>
      <c r="N275" s="13"/>
      <c r="S275" s="17">
        <v>44594</v>
      </c>
      <c r="T275" s="15">
        <v>2022</v>
      </c>
      <c r="V275" s="13" t="s">
        <v>29</v>
      </c>
      <c r="X275" s="14">
        <v>5</v>
      </c>
      <c r="Y275" s="14"/>
      <c r="Z275" s="14" t="s">
        <v>2148</v>
      </c>
      <c r="AA275" s="14" t="s">
        <v>3818</v>
      </c>
      <c r="AB275" s="14" t="s">
        <v>3890</v>
      </c>
      <c r="AD275" s="13" t="s">
        <v>53</v>
      </c>
    </row>
    <row r="276" spans="1:30" hidden="1" x14ac:dyDescent="0.3">
      <c r="B276" s="13" t="s">
        <v>3763</v>
      </c>
      <c r="C276" s="13" t="s">
        <v>1742</v>
      </c>
      <c r="D276" s="13" t="s">
        <v>3762</v>
      </c>
      <c r="E276" s="13" t="s">
        <v>3765</v>
      </c>
      <c r="F276" s="13" t="s">
        <v>3764</v>
      </c>
      <c r="K276" s="13" t="s">
        <v>25</v>
      </c>
      <c r="N276" s="13"/>
      <c r="S276" s="17">
        <v>44595</v>
      </c>
      <c r="T276" s="15">
        <v>2022</v>
      </c>
      <c r="V276" s="13" t="s">
        <v>29</v>
      </c>
      <c r="X276" s="14">
        <v>5</v>
      </c>
      <c r="Y276" s="14"/>
      <c r="Z276" s="14" t="s">
        <v>3835</v>
      </c>
      <c r="AA276" s="14" t="s">
        <v>3817</v>
      </c>
      <c r="AB276" s="14" t="s">
        <v>3884</v>
      </c>
      <c r="AD276" s="13" t="s">
        <v>53</v>
      </c>
    </row>
    <row r="277" spans="1:30" hidden="1" x14ac:dyDescent="0.3">
      <c r="A277" s="13" t="s">
        <v>22</v>
      </c>
      <c r="B277" s="13" t="s">
        <v>620</v>
      </c>
      <c r="C277" s="13" t="s">
        <v>621</v>
      </c>
      <c r="D277" s="13" t="s">
        <v>619</v>
      </c>
      <c r="E277" s="13" t="s">
        <v>624</v>
      </c>
      <c r="F277" s="13" t="s">
        <v>623</v>
      </c>
      <c r="G277" s="13" t="s">
        <v>625</v>
      </c>
      <c r="J277" s="13" t="s">
        <v>622</v>
      </c>
      <c r="K277" s="13" t="s">
        <v>313</v>
      </c>
      <c r="N277" s="13"/>
      <c r="S277" s="17">
        <v>44596</v>
      </c>
      <c r="T277" s="15">
        <v>2022</v>
      </c>
      <c r="V277" s="13" t="s">
        <v>29</v>
      </c>
      <c r="X277" s="14">
        <v>5</v>
      </c>
      <c r="Y277" s="14"/>
      <c r="Z277" s="14" t="s">
        <v>3835</v>
      </c>
      <c r="AA277" s="14" t="s">
        <v>3817</v>
      </c>
      <c r="AB277" s="14" t="s">
        <v>3884</v>
      </c>
      <c r="AD277" s="13" t="s">
        <v>53</v>
      </c>
    </row>
    <row r="278" spans="1:30" hidden="1" x14ac:dyDescent="0.3">
      <c r="A278" s="13" t="s">
        <v>22</v>
      </c>
      <c r="B278" s="13" t="s">
        <v>1852</v>
      </c>
      <c r="C278" s="13" t="s">
        <v>1853</v>
      </c>
      <c r="D278" s="13" t="s">
        <v>1851</v>
      </c>
      <c r="E278" s="13" t="s">
        <v>1855</v>
      </c>
      <c r="F278" s="13" t="s">
        <v>1854</v>
      </c>
      <c r="G278" s="13" t="s">
        <v>1856</v>
      </c>
      <c r="K278" s="13" t="s">
        <v>25</v>
      </c>
      <c r="N278" s="13"/>
      <c r="S278" s="17">
        <v>44599</v>
      </c>
      <c r="T278" s="15">
        <v>2022</v>
      </c>
      <c r="V278" s="13" t="s">
        <v>29</v>
      </c>
      <c r="X278" s="14">
        <v>10</v>
      </c>
      <c r="Y278" s="14"/>
      <c r="Z278" s="14" t="s">
        <v>3835</v>
      </c>
      <c r="AA278" s="14" t="s">
        <v>3817</v>
      </c>
      <c r="AB278" s="14" t="s">
        <v>3884</v>
      </c>
      <c r="AD278" s="13" t="s">
        <v>53</v>
      </c>
    </row>
    <row r="279" spans="1:30" ht="27.6" hidden="1" x14ac:dyDescent="0.3">
      <c r="A279" s="13" t="s">
        <v>1784</v>
      </c>
      <c r="B279" s="13" t="s">
        <v>1783</v>
      </c>
      <c r="C279" s="13" t="s">
        <v>68</v>
      </c>
      <c r="D279" s="13" t="s">
        <v>1782</v>
      </c>
      <c r="E279" s="13" t="s">
        <v>1786</v>
      </c>
      <c r="F279" s="13" t="s">
        <v>1785</v>
      </c>
      <c r="G279" s="13" t="s">
        <v>1787</v>
      </c>
      <c r="J279" s="13" t="s">
        <v>52</v>
      </c>
      <c r="K279" s="13" t="s">
        <v>25</v>
      </c>
      <c r="N279" s="13"/>
      <c r="S279" s="17">
        <v>44599</v>
      </c>
      <c r="T279" s="15">
        <v>2022</v>
      </c>
      <c r="V279" s="13" t="s">
        <v>29</v>
      </c>
      <c r="X279" s="14">
        <v>20</v>
      </c>
      <c r="Y279" s="14"/>
      <c r="Z279" s="14" t="s">
        <v>3835</v>
      </c>
      <c r="AA279" s="14" t="s">
        <v>3817</v>
      </c>
      <c r="AB279" s="14" t="s">
        <v>3884</v>
      </c>
      <c r="AD279" s="13" t="s">
        <v>53</v>
      </c>
    </row>
    <row r="280" spans="1:30" hidden="1" x14ac:dyDescent="0.3">
      <c r="B280" s="13" t="s">
        <v>2192</v>
      </c>
      <c r="C280" s="13" t="s">
        <v>2193</v>
      </c>
      <c r="D280" s="13" t="s">
        <v>2191</v>
      </c>
      <c r="E280" s="13" t="s">
        <v>2195</v>
      </c>
      <c r="F280" s="13" t="s">
        <v>2194</v>
      </c>
      <c r="K280" s="13" t="s">
        <v>25</v>
      </c>
      <c r="N280" s="13"/>
      <c r="S280" s="17">
        <v>44599</v>
      </c>
      <c r="T280" s="15">
        <v>2022</v>
      </c>
      <c r="V280" s="13" t="s">
        <v>29</v>
      </c>
      <c r="X280" s="14">
        <v>5</v>
      </c>
      <c r="Y280" s="14"/>
      <c r="Z280" s="14" t="s">
        <v>3835</v>
      </c>
      <c r="AA280" s="14" t="s">
        <v>3817</v>
      </c>
      <c r="AB280" s="14" t="s">
        <v>3884</v>
      </c>
      <c r="AD280" s="13" t="s">
        <v>53</v>
      </c>
    </row>
    <row r="281" spans="1:30" hidden="1" x14ac:dyDescent="0.3">
      <c r="A281" s="13" t="s">
        <v>100</v>
      </c>
      <c r="B281" s="13" t="s">
        <v>1214</v>
      </c>
      <c r="C281" s="13" t="s">
        <v>229</v>
      </c>
      <c r="D281" s="13" t="s">
        <v>1213</v>
      </c>
      <c r="E281" s="13" t="s">
        <v>1216</v>
      </c>
      <c r="F281" s="13" t="s">
        <v>1215</v>
      </c>
      <c r="G281" s="13" t="s">
        <v>1217</v>
      </c>
      <c r="K281" s="13" t="s">
        <v>25</v>
      </c>
      <c r="N281" s="13"/>
      <c r="S281" s="17">
        <v>44602</v>
      </c>
      <c r="T281" s="15">
        <v>2022</v>
      </c>
      <c r="V281" s="13" t="s">
        <v>29</v>
      </c>
      <c r="X281" s="14">
        <v>5</v>
      </c>
      <c r="Y281" s="14"/>
      <c r="Z281" s="14" t="s">
        <v>3828</v>
      </c>
      <c r="AA281" s="14" t="s">
        <v>3821</v>
      </c>
      <c r="AB281" s="14" t="s">
        <v>3885</v>
      </c>
      <c r="AD281" s="13" t="s">
        <v>53</v>
      </c>
    </row>
    <row r="282" spans="1:30" ht="27.6" hidden="1" x14ac:dyDescent="0.3">
      <c r="B282" s="13" t="s">
        <v>3373</v>
      </c>
      <c r="C282" s="13" t="s">
        <v>346</v>
      </c>
      <c r="D282" s="13" t="s">
        <v>3372</v>
      </c>
      <c r="E282" s="13" t="s">
        <v>3375</v>
      </c>
      <c r="F282" s="13" t="s">
        <v>3374</v>
      </c>
      <c r="J282" s="13" t="s">
        <v>52</v>
      </c>
      <c r="K282" s="13" t="s">
        <v>25</v>
      </c>
      <c r="N282" s="13"/>
      <c r="S282" s="17">
        <v>44602</v>
      </c>
      <c r="T282" s="15">
        <v>2022</v>
      </c>
      <c r="V282" s="13" t="s">
        <v>29</v>
      </c>
      <c r="X282" s="14">
        <v>5</v>
      </c>
      <c r="Y282" s="14"/>
      <c r="Z282" s="14" t="s">
        <v>3828</v>
      </c>
      <c r="AA282" s="14" t="s">
        <v>3837</v>
      </c>
      <c r="AB282" s="14" t="s">
        <v>3885</v>
      </c>
      <c r="AD282" s="13" t="s">
        <v>53</v>
      </c>
    </row>
    <row r="283" spans="1:30" ht="27.6" hidden="1" x14ac:dyDescent="0.3">
      <c r="A283" s="13" t="s">
        <v>22</v>
      </c>
      <c r="B283" s="13" t="s">
        <v>643</v>
      </c>
      <c r="C283" s="13" t="s">
        <v>644</v>
      </c>
      <c r="D283" s="13" t="s">
        <v>642</v>
      </c>
      <c r="F283" s="19" t="s">
        <v>6868</v>
      </c>
      <c r="G283" s="13" t="s">
        <v>647</v>
      </c>
      <c r="H283" s="13" t="s">
        <v>645</v>
      </c>
      <c r="I283" s="13" t="s">
        <v>646</v>
      </c>
      <c r="J283" s="13" t="s">
        <v>382</v>
      </c>
      <c r="K283" s="13" t="s">
        <v>383</v>
      </c>
      <c r="M283" s="14" t="s">
        <v>3805</v>
      </c>
      <c r="N283" s="13"/>
      <c r="S283" s="17">
        <v>44603</v>
      </c>
      <c r="T283" s="15">
        <v>2022</v>
      </c>
      <c r="V283" s="13" t="s">
        <v>29</v>
      </c>
      <c r="X283" s="12" t="s">
        <v>7369</v>
      </c>
      <c r="Y283" s="14"/>
      <c r="Z283" s="14" t="s">
        <v>3828</v>
      </c>
      <c r="AA283" s="14" t="s">
        <v>3837</v>
      </c>
      <c r="AB283" s="14" t="s">
        <v>3885</v>
      </c>
      <c r="AD283" s="13" t="s">
        <v>53</v>
      </c>
    </row>
    <row r="284" spans="1:30" hidden="1" x14ac:dyDescent="0.3">
      <c r="A284" s="13" t="s">
        <v>22</v>
      </c>
      <c r="B284" s="13" t="s">
        <v>2994</v>
      </c>
      <c r="C284" s="13" t="s">
        <v>2995</v>
      </c>
      <c r="D284" s="13" t="s">
        <v>2993</v>
      </c>
      <c r="E284" s="13" t="s">
        <v>2999</v>
      </c>
      <c r="F284" s="13" t="s">
        <v>2998</v>
      </c>
      <c r="G284" s="13" t="s">
        <v>3000</v>
      </c>
      <c r="H284" s="13" t="s">
        <v>2996</v>
      </c>
      <c r="I284" s="13" t="s">
        <v>2997</v>
      </c>
      <c r="K284" s="13" t="s">
        <v>25</v>
      </c>
      <c r="N284" s="13"/>
      <c r="S284" s="17">
        <v>44609</v>
      </c>
      <c r="T284" s="15">
        <v>2022</v>
      </c>
      <c r="V284" s="13" t="s">
        <v>29</v>
      </c>
      <c r="X284" s="14">
        <v>15</v>
      </c>
      <c r="Y284" s="14"/>
      <c r="Z284" s="14" t="s">
        <v>3835</v>
      </c>
      <c r="AA284" s="14" t="s">
        <v>3877</v>
      </c>
      <c r="AB284" s="14" t="s">
        <v>3884</v>
      </c>
      <c r="AD284" s="13" t="s">
        <v>53</v>
      </c>
    </row>
    <row r="285" spans="1:30" hidden="1" x14ac:dyDescent="0.3">
      <c r="A285" s="13" t="s">
        <v>274</v>
      </c>
      <c r="B285" s="13" t="s">
        <v>272</v>
      </c>
      <c r="C285" s="13" t="s">
        <v>273</v>
      </c>
      <c r="D285" s="13" t="s">
        <v>271</v>
      </c>
      <c r="F285" s="13" t="s">
        <v>278</v>
      </c>
      <c r="G285" s="13" t="s">
        <v>279</v>
      </c>
      <c r="H285" s="13" t="s">
        <v>275</v>
      </c>
      <c r="I285" s="13" t="s">
        <v>276</v>
      </c>
      <c r="J285" s="13" t="s">
        <v>52</v>
      </c>
      <c r="K285" s="13" t="s">
        <v>25</v>
      </c>
      <c r="N285" s="13"/>
      <c r="S285" s="17">
        <v>44609</v>
      </c>
      <c r="T285" s="15">
        <v>2022</v>
      </c>
      <c r="V285" s="13" t="s">
        <v>29</v>
      </c>
      <c r="X285" s="14">
        <v>5</v>
      </c>
      <c r="Y285" s="14"/>
      <c r="Z285" s="14" t="s">
        <v>2148</v>
      </c>
      <c r="AA285" s="14" t="s">
        <v>3875</v>
      </c>
      <c r="AB285" s="14" t="s">
        <v>3891</v>
      </c>
      <c r="AD285" s="13" t="s">
        <v>277</v>
      </c>
    </row>
    <row r="286" spans="1:30" hidden="1" x14ac:dyDescent="0.3">
      <c r="A286" s="13" t="s">
        <v>100</v>
      </c>
      <c r="B286" s="13" t="s">
        <v>3147</v>
      </c>
      <c r="C286" s="13" t="s">
        <v>79</v>
      </c>
      <c r="D286" s="13" t="s">
        <v>3146</v>
      </c>
      <c r="F286" s="13" t="s">
        <v>3148</v>
      </c>
      <c r="G286" s="13" t="s">
        <v>3149</v>
      </c>
      <c r="J286" s="13" t="s">
        <v>330</v>
      </c>
      <c r="K286" s="13" t="s">
        <v>25</v>
      </c>
      <c r="N286" s="13"/>
      <c r="S286" s="17">
        <v>44609</v>
      </c>
      <c r="T286" s="15">
        <v>2022</v>
      </c>
      <c r="V286" s="13" t="s">
        <v>29</v>
      </c>
      <c r="X286" s="14">
        <v>5</v>
      </c>
      <c r="Y286" s="14"/>
      <c r="Z286" s="14" t="s">
        <v>3828</v>
      </c>
      <c r="AA286" s="14" t="s">
        <v>3811</v>
      </c>
      <c r="AB286" s="14" t="s">
        <v>3887</v>
      </c>
      <c r="AD286" s="13" t="s">
        <v>53</v>
      </c>
    </row>
    <row r="287" spans="1:30" ht="27.6" hidden="1" x14ac:dyDescent="0.3">
      <c r="A287" s="21"/>
      <c r="B287" s="22" t="s">
        <v>953</v>
      </c>
      <c r="C287" s="22" t="s">
        <v>954</v>
      </c>
      <c r="D287" s="22" t="s">
        <v>5020</v>
      </c>
      <c r="E287" s="25"/>
      <c r="F287" s="19" t="s">
        <v>955</v>
      </c>
      <c r="G287" s="25"/>
      <c r="H287" s="25"/>
      <c r="I287" s="25"/>
      <c r="J287" s="25"/>
      <c r="K287" s="25"/>
      <c r="L287" s="25"/>
      <c r="M287" s="31"/>
      <c r="N287" s="32"/>
      <c r="O287" s="25"/>
      <c r="P287" s="25"/>
      <c r="Q287" s="25"/>
      <c r="R287" s="25"/>
      <c r="S287" s="24">
        <v>44610</v>
      </c>
      <c r="T287" s="33">
        <v>2022</v>
      </c>
      <c r="U287" s="21"/>
      <c r="V287" s="13" t="s">
        <v>29</v>
      </c>
      <c r="W287" s="22" t="s">
        <v>5021</v>
      </c>
      <c r="X287" s="23">
        <v>5</v>
      </c>
      <c r="Y287" s="23"/>
      <c r="Z287" s="14" t="s">
        <v>3835</v>
      </c>
      <c r="AA287" s="23" t="s">
        <v>4061</v>
      </c>
      <c r="AB287" s="23" t="s">
        <v>5022</v>
      </c>
      <c r="AC287" s="21"/>
      <c r="AD287" s="22" t="s">
        <v>764</v>
      </c>
    </row>
    <row r="288" spans="1:30" ht="55.2" x14ac:dyDescent="0.3">
      <c r="A288" s="13" t="s">
        <v>460</v>
      </c>
      <c r="B288" s="13" t="s">
        <v>2595</v>
      </c>
      <c r="C288" s="13" t="s">
        <v>2596</v>
      </c>
      <c r="D288" s="13" t="s">
        <v>2594</v>
      </c>
      <c r="E288" s="13" t="s">
        <v>2598</v>
      </c>
      <c r="F288" s="13" t="s">
        <v>2597</v>
      </c>
      <c r="G288" s="13" t="s">
        <v>2599</v>
      </c>
      <c r="J288" s="13" t="s">
        <v>52</v>
      </c>
      <c r="K288" s="13" t="s">
        <v>25</v>
      </c>
      <c r="L288" s="13" t="s">
        <v>1304</v>
      </c>
      <c r="M288" s="14" t="s">
        <v>152</v>
      </c>
      <c r="O288" s="13" t="s">
        <v>31</v>
      </c>
      <c r="P288" s="13"/>
      <c r="Q288" s="13"/>
      <c r="R288" s="13"/>
      <c r="S288" s="17">
        <v>44620</v>
      </c>
      <c r="T288" s="15">
        <v>2022</v>
      </c>
      <c r="V288" s="13" t="s">
        <v>29</v>
      </c>
      <c r="X288" s="14"/>
      <c r="Y288" s="16" t="s">
        <v>10081</v>
      </c>
      <c r="Z288" s="14" t="s">
        <v>3870</v>
      </c>
      <c r="AA288" s="14" t="s">
        <v>3833</v>
      </c>
      <c r="AB288" s="14" t="s">
        <v>3886</v>
      </c>
    </row>
    <row r="289" spans="1:28" ht="55.2" x14ac:dyDescent="0.3">
      <c r="A289" s="13" t="s">
        <v>22</v>
      </c>
      <c r="B289" s="13" t="s">
        <v>1619</v>
      </c>
      <c r="C289" s="13" t="s">
        <v>1620</v>
      </c>
      <c r="D289" s="13" t="s">
        <v>1618</v>
      </c>
      <c r="E289" s="13" t="s">
        <v>1623</v>
      </c>
      <c r="F289" s="13" t="s">
        <v>1622</v>
      </c>
      <c r="G289" s="13" t="s">
        <v>1624</v>
      </c>
      <c r="H289" s="13" t="s">
        <v>1621</v>
      </c>
      <c r="I289" s="13" t="s">
        <v>51</v>
      </c>
      <c r="K289" s="13" t="s">
        <v>25</v>
      </c>
      <c r="L289" s="13" t="s">
        <v>1625</v>
      </c>
      <c r="M289" s="14" t="s">
        <v>3804</v>
      </c>
      <c r="O289" s="13" t="s">
        <v>31</v>
      </c>
      <c r="P289" s="13"/>
      <c r="Q289" s="13"/>
      <c r="R289" s="13"/>
      <c r="S289" s="17">
        <v>44620</v>
      </c>
      <c r="T289" s="15">
        <v>2022</v>
      </c>
      <c r="V289" s="13" t="s">
        <v>29</v>
      </c>
      <c r="X289" s="14"/>
      <c r="Y289" s="16" t="s">
        <v>10081</v>
      </c>
      <c r="Z289" s="14" t="s">
        <v>3835</v>
      </c>
      <c r="AA289" s="14" t="s">
        <v>3814</v>
      </c>
      <c r="AB289" s="14" t="s">
        <v>3884</v>
      </c>
    </row>
    <row r="290" spans="1:28" ht="55.2" x14ac:dyDescent="0.3">
      <c r="A290" s="13" t="s">
        <v>100</v>
      </c>
      <c r="B290" s="13" t="s">
        <v>3469</v>
      </c>
      <c r="C290" s="13" t="s">
        <v>3470</v>
      </c>
      <c r="D290" s="13" t="s">
        <v>3468</v>
      </c>
      <c r="E290" s="13" t="s">
        <v>3473</v>
      </c>
      <c r="F290" s="13" t="s">
        <v>3472</v>
      </c>
      <c r="G290" s="13" t="s">
        <v>3474</v>
      </c>
      <c r="H290" s="13" t="s">
        <v>3857</v>
      </c>
      <c r="I290" s="13" t="s">
        <v>3471</v>
      </c>
      <c r="J290" s="13" t="s">
        <v>52</v>
      </c>
      <c r="K290" s="13" t="s">
        <v>25</v>
      </c>
      <c r="L290" s="13" t="s">
        <v>3858</v>
      </c>
      <c r="M290" s="14" t="s">
        <v>152</v>
      </c>
      <c r="O290" s="13" t="s">
        <v>31</v>
      </c>
      <c r="P290" s="13"/>
      <c r="Q290" s="13"/>
      <c r="R290" s="13"/>
      <c r="S290" s="17">
        <v>44620</v>
      </c>
      <c r="T290" s="15">
        <v>2022</v>
      </c>
      <c r="V290" s="13" t="s">
        <v>29</v>
      </c>
      <c r="X290" s="14"/>
      <c r="Y290" s="16" t="s">
        <v>10081</v>
      </c>
      <c r="Z290" s="14" t="s">
        <v>3828</v>
      </c>
      <c r="AA290" s="14" t="s">
        <v>3809</v>
      </c>
      <c r="AB290" s="14" t="s">
        <v>3888</v>
      </c>
    </row>
    <row r="291" spans="1:28" hidden="1" x14ac:dyDescent="0.3">
      <c r="A291" s="13" t="s">
        <v>100</v>
      </c>
      <c r="B291" s="13" t="s">
        <v>3616</v>
      </c>
      <c r="C291" s="13" t="s">
        <v>3617</v>
      </c>
      <c r="D291" s="13" t="s">
        <v>3615</v>
      </c>
      <c r="E291" s="13" t="s">
        <v>3621</v>
      </c>
      <c r="F291" s="13" t="s">
        <v>3620</v>
      </c>
      <c r="G291" s="13" t="s">
        <v>3622</v>
      </c>
      <c r="H291" s="13" t="s">
        <v>3618</v>
      </c>
      <c r="I291" s="13" t="s">
        <v>3619</v>
      </c>
      <c r="J291" s="13" t="s">
        <v>52</v>
      </c>
      <c r="K291" s="13" t="s">
        <v>25</v>
      </c>
      <c r="L291" s="13" t="s">
        <v>3623</v>
      </c>
      <c r="M291" s="14" t="s">
        <v>152</v>
      </c>
      <c r="O291" s="13" t="s">
        <v>31</v>
      </c>
      <c r="P291" s="13"/>
      <c r="Q291" s="13"/>
      <c r="R291" s="13"/>
      <c r="S291" s="17">
        <v>44620</v>
      </c>
      <c r="T291" s="15">
        <v>2022</v>
      </c>
      <c r="V291" s="13" t="s">
        <v>29</v>
      </c>
      <c r="X291" s="14" t="s">
        <v>7276</v>
      </c>
      <c r="Y291" s="16">
        <v>45012</v>
      </c>
      <c r="Z291" s="14" t="s">
        <v>3828</v>
      </c>
      <c r="AA291" s="14" t="s">
        <v>3819</v>
      </c>
      <c r="AB291" s="14" t="s">
        <v>3888</v>
      </c>
    </row>
    <row r="292" spans="1:28" hidden="1" x14ac:dyDescent="0.3">
      <c r="A292" s="13" t="s">
        <v>100</v>
      </c>
      <c r="B292" s="13" t="s">
        <v>1754</v>
      </c>
      <c r="C292" s="13" t="s">
        <v>1755</v>
      </c>
      <c r="D292" s="13" t="s">
        <v>1753</v>
      </c>
      <c r="E292" s="13" t="s">
        <v>1759</v>
      </c>
      <c r="F292" s="13" t="s">
        <v>1758</v>
      </c>
      <c r="G292" s="13" t="s">
        <v>1760</v>
      </c>
      <c r="H292" s="13" t="s">
        <v>1756</v>
      </c>
      <c r="I292" s="13" t="s">
        <v>1757</v>
      </c>
      <c r="J292" s="13" t="s">
        <v>638</v>
      </c>
      <c r="K292" s="13" t="s">
        <v>25</v>
      </c>
      <c r="L292" s="13" t="s">
        <v>3843</v>
      </c>
      <c r="M292" s="14" t="s">
        <v>141</v>
      </c>
      <c r="N292" s="13"/>
      <c r="O292" s="13" t="s">
        <v>31</v>
      </c>
      <c r="P292" s="13"/>
      <c r="Q292" s="13"/>
      <c r="R292" s="13"/>
      <c r="S292" s="17">
        <v>44623</v>
      </c>
      <c r="T292" s="15">
        <v>2022</v>
      </c>
      <c r="V292" s="13" t="s">
        <v>29</v>
      </c>
      <c r="X292" s="14">
        <v>5</v>
      </c>
      <c r="Y292" s="14"/>
      <c r="Z292" s="14" t="s">
        <v>3828</v>
      </c>
      <c r="AA292" s="14" t="s">
        <v>3816</v>
      </c>
      <c r="AB292" s="14" t="s">
        <v>3885</v>
      </c>
    </row>
    <row r="293" spans="1:28" ht="55.2" x14ac:dyDescent="0.3">
      <c r="A293" s="13" t="s">
        <v>100</v>
      </c>
      <c r="B293" s="13" t="s">
        <v>2204</v>
      </c>
      <c r="C293" s="13" t="s">
        <v>2205</v>
      </c>
      <c r="D293" s="13" t="s">
        <v>2203</v>
      </c>
      <c r="E293" s="13" t="s">
        <v>2209</v>
      </c>
      <c r="F293" s="13" t="s">
        <v>2208</v>
      </c>
      <c r="G293" s="13" t="s">
        <v>2210</v>
      </c>
      <c r="H293" s="13" t="s">
        <v>2206</v>
      </c>
      <c r="I293" s="13" t="s">
        <v>2207</v>
      </c>
      <c r="K293" s="13" t="s">
        <v>25</v>
      </c>
      <c r="L293" s="13" t="s">
        <v>2211</v>
      </c>
      <c r="M293" s="14" t="s">
        <v>3804</v>
      </c>
      <c r="O293" s="13" t="s">
        <v>31</v>
      </c>
      <c r="P293" s="13"/>
      <c r="Q293" s="13"/>
      <c r="R293" s="13"/>
      <c r="S293" s="17">
        <v>44623</v>
      </c>
      <c r="T293" s="15">
        <v>2022</v>
      </c>
      <c r="V293" s="13" t="s">
        <v>29</v>
      </c>
      <c r="X293" s="14"/>
      <c r="Y293" s="16" t="s">
        <v>10081</v>
      </c>
      <c r="Z293" s="14" t="s">
        <v>3828</v>
      </c>
      <c r="AA293" s="14" t="s">
        <v>3819</v>
      </c>
      <c r="AB293" s="14" t="s">
        <v>3888</v>
      </c>
    </row>
    <row r="294" spans="1:28" ht="55.2" x14ac:dyDescent="0.3">
      <c r="A294" s="13" t="s">
        <v>22</v>
      </c>
      <c r="B294" s="13" t="s">
        <v>2142</v>
      </c>
      <c r="C294" s="13" t="s">
        <v>2143</v>
      </c>
      <c r="D294" s="13" t="s">
        <v>3892</v>
      </c>
      <c r="E294" s="13" t="s">
        <v>2146</v>
      </c>
      <c r="F294" s="13" t="s">
        <v>2145</v>
      </c>
      <c r="G294" s="13" t="s">
        <v>2147</v>
      </c>
      <c r="H294" s="13" t="s">
        <v>355</v>
      </c>
      <c r="I294" s="13" t="s">
        <v>2144</v>
      </c>
      <c r="K294" s="13" t="s">
        <v>25</v>
      </c>
      <c r="L294" s="13" t="s">
        <v>2148</v>
      </c>
      <c r="M294" s="14" t="s">
        <v>3804</v>
      </c>
      <c r="O294" s="13" t="s">
        <v>31</v>
      </c>
      <c r="P294" s="13"/>
      <c r="Q294" s="13"/>
      <c r="R294" s="13"/>
      <c r="S294" s="17">
        <v>44624</v>
      </c>
      <c r="T294" s="15">
        <v>2022</v>
      </c>
      <c r="V294" s="13" t="s">
        <v>29</v>
      </c>
      <c r="X294" s="14"/>
      <c r="Y294" s="16" t="s">
        <v>10081</v>
      </c>
      <c r="Z294" s="14" t="s">
        <v>2148</v>
      </c>
      <c r="AA294" s="14" t="s">
        <v>3808</v>
      </c>
      <c r="AB294" s="14" t="s">
        <v>3891</v>
      </c>
    </row>
    <row r="295" spans="1:28" ht="27.6" hidden="1" x14ac:dyDescent="0.3">
      <c r="A295" s="13" t="s">
        <v>1052</v>
      </c>
      <c r="B295" s="13" t="s">
        <v>1050</v>
      </c>
      <c r="C295" s="13" t="s">
        <v>1051</v>
      </c>
      <c r="D295" s="13" t="s">
        <v>1049</v>
      </c>
      <c r="E295" s="13" t="s">
        <v>1055</v>
      </c>
      <c r="F295" s="13" t="s">
        <v>1054</v>
      </c>
      <c r="G295" s="13" t="s">
        <v>1056</v>
      </c>
      <c r="H295" s="13" t="s">
        <v>399</v>
      </c>
      <c r="I295" s="13" t="s">
        <v>1053</v>
      </c>
      <c r="J295" s="13" t="s">
        <v>52</v>
      </c>
      <c r="K295" s="13" t="s">
        <v>25</v>
      </c>
      <c r="L295" s="13" t="s">
        <v>1025</v>
      </c>
      <c r="M295" s="14" t="s">
        <v>141</v>
      </c>
      <c r="N295" s="13"/>
      <c r="O295" s="13" t="s">
        <v>31</v>
      </c>
      <c r="P295" s="13"/>
      <c r="Q295" s="13"/>
      <c r="R295" s="13"/>
      <c r="S295" s="17">
        <v>44624</v>
      </c>
      <c r="T295" s="15">
        <v>2022</v>
      </c>
      <c r="V295" s="13" t="s">
        <v>29</v>
      </c>
      <c r="X295" s="14">
        <v>5</v>
      </c>
      <c r="Y295" s="14"/>
      <c r="Z295" s="14" t="s">
        <v>3828</v>
      </c>
      <c r="AA295" s="14" t="s">
        <v>3837</v>
      </c>
      <c r="AB295" s="14" t="s">
        <v>3885</v>
      </c>
    </row>
    <row r="296" spans="1:28" hidden="1" x14ac:dyDescent="0.3">
      <c r="B296" s="13" t="s">
        <v>3128</v>
      </c>
      <c r="C296" s="13" t="s">
        <v>390</v>
      </c>
      <c r="D296" s="13" t="s">
        <v>3883</v>
      </c>
      <c r="E296" s="13" t="s">
        <v>3132</v>
      </c>
      <c r="F296" s="13" t="s">
        <v>3131</v>
      </c>
      <c r="G296" s="13" t="s">
        <v>3133</v>
      </c>
      <c r="H296" s="13" t="s">
        <v>3129</v>
      </c>
      <c r="I296" s="13" t="s">
        <v>3130</v>
      </c>
      <c r="L296" s="13" t="s">
        <v>3134</v>
      </c>
      <c r="M296" s="14" t="s">
        <v>3804</v>
      </c>
      <c r="O296" s="13" t="s">
        <v>31</v>
      </c>
      <c r="P296" s="13"/>
      <c r="Q296" s="13"/>
      <c r="R296" s="13"/>
      <c r="S296" s="17">
        <v>44625</v>
      </c>
      <c r="T296" s="15">
        <v>2022</v>
      </c>
      <c r="V296" s="13" t="s">
        <v>29</v>
      </c>
      <c r="W296" s="13" t="s">
        <v>435</v>
      </c>
      <c r="X296" s="14">
        <v>50</v>
      </c>
      <c r="Y296" s="16">
        <v>45012</v>
      </c>
      <c r="Z296" s="14" t="s">
        <v>3828</v>
      </c>
      <c r="AA296" s="14" t="s">
        <v>3877</v>
      </c>
      <c r="AB296" s="14" t="s">
        <v>3885</v>
      </c>
    </row>
    <row r="297" spans="1:28" hidden="1" x14ac:dyDescent="0.3">
      <c r="A297" s="13" t="s">
        <v>1052</v>
      </c>
      <c r="B297" s="13" t="s">
        <v>2848</v>
      </c>
      <c r="C297" s="13" t="s">
        <v>466</v>
      </c>
      <c r="D297" s="13" t="s">
        <v>2847</v>
      </c>
      <c r="E297" s="13" t="s">
        <v>2852</v>
      </c>
      <c r="F297" s="13" t="s">
        <v>2851</v>
      </c>
      <c r="G297" s="13" t="s">
        <v>2853</v>
      </c>
      <c r="H297" s="13" t="s">
        <v>2849</v>
      </c>
      <c r="I297" s="13" t="s">
        <v>2850</v>
      </c>
      <c r="K297" s="13" t="s">
        <v>25</v>
      </c>
      <c r="L297" s="13" t="s">
        <v>2854</v>
      </c>
      <c r="M297" s="14" t="s">
        <v>141</v>
      </c>
      <c r="N297" s="13"/>
      <c r="O297" s="13" t="s">
        <v>31</v>
      </c>
      <c r="P297" s="13"/>
      <c r="Q297" s="13"/>
      <c r="R297" s="13"/>
      <c r="S297" s="17">
        <v>44627</v>
      </c>
      <c r="T297" s="15">
        <v>2022</v>
      </c>
      <c r="V297" s="13" t="s">
        <v>29</v>
      </c>
      <c r="X297" s="14">
        <v>5</v>
      </c>
      <c r="Y297" s="14"/>
      <c r="Z297" s="14" t="s">
        <v>3828</v>
      </c>
      <c r="AA297" s="14" t="s">
        <v>3824</v>
      </c>
      <c r="AB297" s="14" t="s">
        <v>3885</v>
      </c>
    </row>
    <row r="298" spans="1:28" hidden="1" x14ac:dyDescent="0.3">
      <c r="A298" s="13" t="s">
        <v>100</v>
      </c>
      <c r="B298" s="13" t="s">
        <v>476</v>
      </c>
      <c r="C298" s="13" t="s">
        <v>477</v>
      </c>
      <c r="D298" s="13" t="s">
        <v>475</v>
      </c>
      <c r="E298" s="13" t="s">
        <v>481</v>
      </c>
      <c r="F298" s="13" t="s">
        <v>480</v>
      </c>
      <c r="G298" s="13" t="s">
        <v>482</v>
      </c>
      <c r="H298" s="13" t="s">
        <v>478</v>
      </c>
      <c r="I298" s="13" t="s">
        <v>479</v>
      </c>
      <c r="J298" s="13" t="s">
        <v>52</v>
      </c>
      <c r="K298" s="13" t="s">
        <v>25</v>
      </c>
      <c r="L298" s="13" t="s">
        <v>483</v>
      </c>
      <c r="M298" s="14" t="s">
        <v>141</v>
      </c>
      <c r="N298" s="13"/>
      <c r="O298" s="13" t="s">
        <v>31</v>
      </c>
      <c r="P298" s="13"/>
      <c r="Q298" s="13"/>
      <c r="R298" s="13"/>
      <c r="S298" s="17">
        <v>44627</v>
      </c>
      <c r="T298" s="15">
        <v>2022</v>
      </c>
      <c r="V298" s="13" t="s">
        <v>29</v>
      </c>
      <c r="X298" s="14">
        <v>5</v>
      </c>
      <c r="Y298" s="14"/>
      <c r="Z298" s="14" t="s">
        <v>3828</v>
      </c>
      <c r="AA298" s="14" t="s">
        <v>3807</v>
      </c>
      <c r="AB298" s="14" t="s">
        <v>3888</v>
      </c>
    </row>
    <row r="299" spans="1:28" hidden="1" x14ac:dyDescent="0.3">
      <c r="A299" s="13" t="s">
        <v>100</v>
      </c>
      <c r="B299" s="13" t="s">
        <v>975</v>
      </c>
      <c r="C299" s="13" t="s">
        <v>68</v>
      </c>
      <c r="D299" s="13" t="s">
        <v>984</v>
      </c>
      <c r="E299" s="13" t="s">
        <v>989</v>
      </c>
      <c r="F299" s="13" t="s">
        <v>988</v>
      </c>
      <c r="G299" s="13" t="s">
        <v>990</v>
      </c>
      <c r="H299" s="13" t="s">
        <v>985</v>
      </c>
      <c r="I299" s="13" t="s">
        <v>986</v>
      </c>
      <c r="J299" s="13" t="s">
        <v>987</v>
      </c>
      <c r="K299" s="13" t="s">
        <v>313</v>
      </c>
      <c r="L299" s="13" t="s">
        <v>991</v>
      </c>
      <c r="M299" s="14" t="s">
        <v>141</v>
      </c>
      <c r="N299" s="13"/>
      <c r="O299" s="13" t="s">
        <v>31</v>
      </c>
      <c r="P299" s="13"/>
      <c r="Q299" s="13"/>
      <c r="R299" s="13"/>
      <c r="S299" s="17">
        <v>44627</v>
      </c>
      <c r="T299" s="15">
        <v>2022</v>
      </c>
      <c r="V299" s="13" t="s">
        <v>29</v>
      </c>
      <c r="X299" s="14">
        <v>15</v>
      </c>
      <c r="Y299" s="14"/>
      <c r="Z299" s="14" t="s">
        <v>3828</v>
      </c>
      <c r="AA299" s="14" t="s">
        <v>3812</v>
      </c>
      <c r="AB299" s="14" t="s">
        <v>3887</v>
      </c>
    </row>
    <row r="300" spans="1:28" hidden="1" x14ac:dyDescent="0.3">
      <c r="A300" s="13" t="s">
        <v>100</v>
      </c>
      <c r="B300" s="13" t="s">
        <v>1820</v>
      </c>
      <c r="C300" s="13" t="s">
        <v>447</v>
      </c>
      <c r="D300" s="13" t="s">
        <v>1819</v>
      </c>
      <c r="E300" s="13" t="s">
        <v>1823</v>
      </c>
      <c r="F300" s="13" t="s">
        <v>1822</v>
      </c>
      <c r="G300" s="13" t="s">
        <v>1824</v>
      </c>
      <c r="H300" s="13" t="s">
        <v>1821</v>
      </c>
      <c r="I300" s="13" t="s">
        <v>824</v>
      </c>
      <c r="J300" s="13" t="s">
        <v>52</v>
      </c>
      <c r="K300" s="13" t="s">
        <v>25</v>
      </c>
      <c r="L300" s="13" t="s">
        <v>1825</v>
      </c>
      <c r="M300" s="14" t="s">
        <v>141</v>
      </c>
      <c r="N300" s="13"/>
      <c r="O300" s="13" t="s">
        <v>31</v>
      </c>
      <c r="P300" s="13"/>
      <c r="Q300" s="13"/>
      <c r="R300" s="13"/>
      <c r="S300" s="17">
        <v>44627</v>
      </c>
      <c r="T300" s="15">
        <v>2022</v>
      </c>
      <c r="V300" s="13" t="s">
        <v>29</v>
      </c>
      <c r="X300" s="14">
        <v>10</v>
      </c>
      <c r="Y300" s="14"/>
      <c r="Z300" s="14" t="s">
        <v>3828</v>
      </c>
      <c r="AA300" s="14" t="s">
        <v>3807</v>
      </c>
      <c r="AB300" s="14" t="s">
        <v>3888</v>
      </c>
    </row>
    <row r="301" spans="1:28" hidden="1" x14ac:dyDescent="0.3">
      <c r="A301" s="13" t="s">
        <v>22</v>
      </c>
      <c r="B301" s="13" t="s">
        <v>1272</v>
      </c>
      <c r="C301" s="13" t="s">
        <v>587</v>
      </c>
      <c r="D301" s="13" t="s">
        <v>1271</v>
      </c>
      <c r="E301" s="13" t="s">
        <v>1274</v>
      </c>
      <c r="F301" s="13" t="s">
        <v>1273</v>
      </c>
      <c r="G301" s="13" t="s">
        <v>1275</v>
      </c>
      <c r="H301" s="13" t="s">
        <v>3867</v>
      </c>
      <c r="I301" s="13" t="s">
        <v>191</v>
      </c>
      <c r="J301" s="13" t="s">
        <v>52</v>
      </c>
      <c r="K301" s="13" t="s">
        <v>25</v>
      </c>
      <c r="L301" s="13" t="s">
        <v>1276</v>
      </c>
      <c r="M301" s="14" t="s">
        <v>141</v>
      </c>
      <c r="N301" s="13"/>
      <c r="O301" s="13" t="s">
        <v>31</v>
      </c>
      <c r="P301" s="13"/>
      <c r="Q301" s="13"/>
      <c r="R301" s="13"/>
      <c r="S301" s="17">
        <v>44628</v>
      </c>
      <c r="T301" s="15">
        <v>2022</v>
      </c>
      <c r="V301" s="13" t="s">
        <v>29</v>
      </c>
      <c r="X301" s="14">
        <v>5</v>
      </c>
      <c r="Y301" s="14"/>
      <c r="Z301" s="14" t="s">
        <v>2148</v>
      </c>
      <c r="AA301" s="14" t="s">
        <v>3818</v>
      </c>
      <c r="AB301" s="14" t="s">
        <v>3890</v>
      </c>
    </row>
    <row r="302" spans="1:28" ht="55.2" x14ac:dyDescent="0.3">
      <c r="B302" s="13" t="s">
        <v>530</v>
      </c>
      <c r="C302" s="13" t="s">
        <v>282</v>
      </c>
      <c r="D302" s="13" t="s">
        <v>529</v>
      </c>
      <c r="E302" s="13" t="s">
        <v>534</v>
      </c>
      <c r="F302" s="13" t="s">
        <v>533</v>
      </c>
      <c r="G302" s="13" t="s">
        <v>535</v>
      </c>
      <c r="H302" s="13" t="s">
        <v>531</v>
      </c>
      <c r="I302" s="13" t="s">
        <v>532</v>
      </c>
      <c r="J302" s="13" t="s">
        <v>52</v>
      </c>
      <c r="K302" s="13" t="s">
        <v>25</v>
      </c>
      <c r="L302" s="13" t="s">
        <v>536</v>
      </c>
      <c r="M302" s="14" t="s">
        <v>3804</v>
      </c>
      <c r="O302" s="13" t="s">
        <v>31</v>
      </c>
      <c r="P302" s="13"/>
      <c r="Q302" s="13"/>
      <c r="R302" s="13"/>
      <c r="S302" s="17">
        <v>44631</v>
      </c>
      <c r="T302" s="15">
        <v>2022</v>
      </c>
      <c r="V302" s="13" t="s">
        <v>29</v>
      </c>
      <c r="X302" s="14"/>
      <c r="Y302" s="16" t="s">
        <v>10081</v>
      </c>
      <c r="Z302" s="14" t="s">
        <v>3870</v>
      </c>
      <c r="AA302" s="14" t="s">
        <v>3806</v>
      </c>
      <c r="AB302" s="14" t="s">
        <v>3886</v>
      </c>
    </row>
    <row r="303" spans="1:28" ht="55.2" x14ac:dyDescent="0.3">
      <c r="B303" s="13" t="s">
        <v>649</v>
      </c>
      <c r="C303" s="13" t="s">
        <v>447</v>
      </c>
      <c r="D303" s="13" t="s">
        <v>648</v>
      </c>
      <c r="E303" s="13" t="s">
        <v>653</v>
      </c>
      <c r="F303" s="13" t="s">
        <v>652</v>
      </c>
      <c r="G303" s="13" t="s">
        <v>654</v>
      </c>
      <c r="H303" s="13" t="s">
        <v>650</v>
      </c>
      <c r="I303" s="13" t="s">
        <v>651</v>
      </c>
      <c r="J303" s="13" t="s">
        <v>175</v>
      </c>
      <c r="K303" s="13" t="s">
        <v>25</v>
      </c>
      <c r="L303" s="13" t="s">
        <v>655</v>
      </c>
      <c r="M303" s="14" t="s">
        <v>3804</v>
      </c>
      <c r="O303" s="13" t="s">
        <v>31</v>
      </c>
      <c r="P303" s="13"/>
      <c r="Q303" s="13"/>
      <c r="R303" s="13"/>
      <c r="S303" s="17">
        <v>44631</v>
      </c>
      <c r="T303" s="15">
        <v>2022</v>
      </c>
      <c r="V303" s="13" t="s">
        <v>29</v>
      </c>
      <c r="X303" s="14"/>
      <c r="Y303" s="16" t="s">
        <v>10081</v>
      </c>
      <c r="Z303" s="14" t="s">
        <v>3828</v>
      </c>
      <c r="AA303" s="14" t="s">
        <v>3822</v>
      </c>
      <c r="AB303" s="14" t="s">
        <v>3887</v>
      </c>
    </row>
    <row r="304" spans="1:28" ht="55.2" x14ac:dyDescent="0.3">
      <c r="B304" s="13" t="s">
        <v>727</v>
      </c>
      <c r="C304" s="13" t="s">
        <v>728</v>
      </c>
      <c r="D304" s="13" t="s">
        <v>726</v>
      </c>
      <c r="E304" s="13" t="s">
        <v>730</v>
      </c>
      <c r="F304" s="13" t="s">
        <v>729</v>
      </c>
      <c r="K304" s="13" t="s">
        <v>25</v>
      </c>
      <c r="L304" s="13" t="s">
        <v>731</v>
      </c>
      <c r="M304" s="14" t="s">
        <v>3804</v>
      </c>
      <c r="O304" s="13" t="s">
        <v>31</v>
      </c>
      <c r="P304" s="13"/>
      <c r="Q304" s="13"/>
      <c r="R304" s="13"/>
      <c r="S304" s="17">
        <v>44631</v>
      </c>
      <c r="T304" s="15">
        <v>2022</v>
      </c>
      <c r="V304" s="13" t="s">
        <v>29</v>
      </c>
      <c r="X304" s="14"/>
      <c r="Y304" s="16" t="s">
        <v>10081</v>
      </c>
      <c r="Z304" s="14" t="s">
        <v>2148</v>
      </c>
      <c r="AA304" s="14" t="s">
        <v>4608</v>
      </c>
      <c r="AB304" s="14" t="s">
        <v>3890</v>
      </c>
    </row>
    <row r="305" spans="2:28" hidden="1" x14ac:dyDescent="0.3">
      <c r="B305" s="13" t="s">
        <v>755</v>
      </c>
      <c r="C305" s="13" t="s">
        <v>124</v>
      </c>
      <c r="D305" s="13" t="s">
        <v>754</v>
      </c>
      <c r="E305" s="13" t="s">
        <v>758</v>
      </c>
      <c r="F305" s="13" t="s">
        <v>757</v>
      </c>
      <c r="H305" s="13" t="s">
        <v>756</v>
      </c>
      <c r="I305" s="13" t="s">
        <v>62</v>
      </c>
      <c r="K305" s="13" t="s">
        <v>25</v>
      </c>
      <c r="L305" s="13" t="s">
        <v>759</v>
      </c>
      <c r="M305" s="14" t="s">
        <v>141</v>
      </c>
      <c r="N305" s="13"/>
      <c r="O305" s="13" t="s">
        <v>31</v>
      </c>
      <c r="P305" s="13"/>
      <c r="Q305" s="13"/>
      <c r="R305" s="13"/>
      <c r="S305" s="17">
        <v>44631</v>
      </c>
      <c r="T305" s="15">
        <v>2022</v>
      </c>
      <c r="V305" s="13" t="s">
        <v>29</v>
      </c>
      <c r="X305" s="14">
        <v>10</v>
      </c>
      <c r="Y305" s="14"/>
      <c r="Z305" s="14" t="s">
        <v>3828</v>
      </c>
      <c r="AA305" s="14" t="s">
        <v>3809</v>
      </c>
      <c r="AB305" s="14" t="s">
        <v>3888</v>
      </c>
    </row>
    <row r="306" spans="2:28" hidden="1" x14ac:dyDescent="0.3">
      <c r="B306" s="13" t="s">
        <v>930</v>
      </c>
      <c r="C306" s="13" t="s">
        <v>68</v>
      </c>
      <c r="D306" s="13" t="s">
        <v>929</v>
      </c>
      <c r="E306" s="13" t="s">
        <v>934</v>
      </c>
      <c r="F306" s="13" t="s">
        <v>933</v>
      </c>
      <c r="G306" s="13" t="s">
        <v>935</v>
      </c>
      <c r="H306" s="13" t="s">
        <v>931</v>
      </c>
      <c r="I306" s="13" t="s">
        <v>932</v>
      </c>
      <c r="J306" s="13" t="s">
        <v>52</v>
      </c>
      <c r="K306" s="13" t="s">
        <v>25</v>
      </c>
      <c r="L306" s="13" t="s">
        <v>3838</v>
      </c>
      <c r="M306" s="14" t="s">
        <v>3804</v>
      </c>
      <c r="O306" s="13" t="s">
        <v>31</v>
      </c>
      <c r="P306" s="13"/>
      <c r="Q306" s="13"/>
      <c r="R306" s="13"/>
      <c r="S306" s="17">
        <v>44631</v>
      </c>
      <c r="T306" s="15">
        <v>2022</v>
      </c>
      <c r="V306" s="13" t="s">
        <v>29</v>
      </c>
      <c r="X306" s="14">
        <v>5</v>
      </c>
      <c r="Y306" s="16">
        <v>45012</v>
      </c>
      <c r="Z306" s="14" t="s">
        <v>3828</v>
      </c>
      <c r="AA306" s="14" t="s">
        <v>3809</v>
      </c>
      <c r="AB306" s="14" t="s">
        <v>3888</v>
      </c>
    </row>
    <row r="307" spans="2:28" ht="41.4" hidden="1" x14ac:dyDescent="0.3">
      <c r="B307" s="13" t="s">
        <v>967</v>
      </c>
      <c r="C307" s="13" t="s">
        <v>60</v>
      </c>
      <c r="D307" s="13" t="s">
        <v>966</v>
      </c>
      <c r="E307" s="13" t="s">
        <v>971</v>
      </c>
      <c r="F307" s="13" t="s">
        <v>970</v>
      </c>
      <c r="G307" s="13" t="s">
        <v>972</v>
      </c>
      <c r="H307" s="13" t="s">
        <v>968</v>
      </c>
      <c r="I307" s="13" t="s">
        <v>969</v>
      </c>
      <c r="J307" s="13" t="s">
        <v>52</v>
      </c>
      <c r="K307" s="13" t="s">
        <v>25</v>
      </c>
      <c r="L307" s="13" t="s">
        <v>973</v>
      </c>
      <c r="M307" s="14" t="s">
        <v>3804</v>
      </c>
      <c r="O307" s="13" t="s">
        <v>31</v>
      </c>
      <c r="P307" s="13"/>
      <c r="Q307" s="13"/>
      <c r="R307" s="13"/>
      <c r="S307" s="17">
        <v>44631</v>
      </c>
      <c r="T307" s="15">
        <v>2022</v>
      </c>
      <c r="V307" s="13" t="s">
        <v>29</v>
      </c>
      <c r="X307" s="14">
        <v>5</v>
      </c>
      <c r="Y307" s="16" t="s">
        <v>7278</v>
      </c>
      <c r="Z307" s="14" t="s">
        <v>3828</v>
      </c>
      <c r="AA307" s="14" t="s">
        <v>3811</v>
      </c>
      <c r="AB307" s="14" t="s">
        <v>3887</v>
      </c>
    </row>
    <row r="308" spans="2:28" ht="55.2" x14ac:dyDescent="0.3">
      <c r="B308" s="13" t="s">
        <v>1236</v>
      </c>
      <c r="C308" s="13" t="s">
        <v>1237</v>
      </c>
      <c r="D308" s="13" t="s">
        <v>1235</v>
      </c>
      <c r="E308" s="13" t="s">
        <v>1242</v>
      </c>
      <c r="F308" s="13" t="s">
        <v>1241</v>
      </c>
      <c r="G308" s="13" t="s">
        <v>1243</v>
      </c>
      <c r="H308" s="13" t="s">
        <v>1238</v>
      </c>
      <c r="I308" s="13" t="s">
        <v>1239</v>
      </c>
      <c r="J308" s="13" t="s">
        <v>1240</v>
      </c>
      <c r="K308" s="13" t="s">
        <v>313</v>
      </c>
      <c r="L308" s="13" t="s">
        <v>1244</v>
      </c>
      <c r="M308" s="14" t="s">
        <v>3804</v>
      </c>
      <c r="O308" s="13" t="s">
        <v>31</v>
      </c>
      <c r="P308" s="13"/>
      <c r="Q308" s="13"/>
      <c r="R308" s="13"/>
      <c r="S308" s="17">
        <v>44631</v>
      </c>
      <c r="T308" s="15">
        <v>2022</v>
      </c>
      <c r="V308" s="13" t="s">
        <v>29</v>
      </c>
      <c r="X308" s="14"/>
      <c r="Y308" s="16" t="s">
        <v>10081</v>
      </c>
      <c r="Z308" s="14" t="s">
        <v>3828</v>
      </c>
      <c r="AA308" s="14" t="s">
        <v>3812</v>
      </c>
      <c r="AB308" s="14" t="s">
        <v>3887</v>
      </c>
    </row>
    <row r="309" spans="2:28" hidden="1" x14ac:dyDescent="0.3">
      <c r="B309" s="13" t="s">
        <v>1423</v>
      </c>
      <c r="C309" s="13" t="s">
        <v>124</v>
      </c>
      <c r="D309" s="13" t="s">
        <v>1422</v>
      </c>
      <c r="E309" s="13" t="s">
        <v>1427</v>
      </c>
      <c r="F309" s="13" t="s">
        <v>1426</v>
      </c>
      <c r="G309" s="13" t="s">
        <v>1428</v>
      </c>
      <c r="H309" s="13" t="s">
        <v>1424</v>
      </c>
      <c r="I309" s="13" t="s">
        <v>1425</v>
      </c>
      <c r="J309" s="13" t="s">
        <v>52</v>
      </c>
      <c r="K309" s="13" t="s">
        <v>25</v>
      </c>
      <c r="L309" s="13" t="s">
        <v>1429</v>
      </c>
      <c r="M309" s="14" t="s">
        <v>3804</v>
      </c>
      <c r="O309" s="13" t="s">
        <v>31</v>
      </c>
      <c r="P309" s="13"/>
      <c r="Q309" s="13"/>
      <c r="R309" s="13"/>
      <c r="S309" s="17">
        <v>44631</v>
      </c>
      <c r="T309" s="15">
        <v>2022</v>
      </c>
      <c r="V309" s="13" t="s">
        <v>29</v>
      </c>
      <c r="X309" s="14">
        <v>5</v>
      </c>
      <c r="Y309" s="16">
        <v>45012</v>
      </c>
      <c r="Z309" s="14" t="s">
        <v>3828</v>
      </c>
      <c r="AA309" s="14" t="s">
        <v>3812</v>
      </c>
      <c r="AB309" s="14" t="s">
        <v>3887</v>
      </c>
    </row>
    <row r="310" spans="2:28" hidden="1" x14ac:dyDescent="0.3">
      <c r="B310" s="13" t="s">
        <v>1605</v>
      </c>
      <c r="C310" s="13" t="s">
        <v>1387</v>
      </c>
      <c r="D310" s="13" t="s">
        <v>1604</v>
      </c>
      <c r="E310" s="13" t="s">
        <v>1609</v>
      </c>
      <c r="F310" s="13" t="s">
        <v>1608</v>
      </c>
      <c r="G310" s="13" t="s">
        <v>1610</v>
      </c>
      <c r="H310" s="13" t="s">
        <v>1606</v>
      </c>
      <c r="I310" s="13" t="s">
        <v>1607</v>
      </c>
      <c r="K310" s="13" t="s">
        <v>25</v>
      </c>
      <c r="L310" s="13" t="s">
        <v>1611</v>
      </c>
      <c r="M310" s="14" t="s">
        <v>141</v>
      </c>
      <c r="N310" s="13"/>
      <c r="O310" s="13" t="s">
        <v>31</v>
      </c>
      <c r="P310" s="13"/>
      <c r="Q310" s="13"/>
      <c r="R310" s="13"/>
      <c r="S310" s="17">
        <v>44631</v>
      </c>
      <c r="T310" s="15">
        <v>2022</v>
      </c>
      <c r="V310" s="13" t="s">
        <v>29</v>
      </c>
      <c r="X310" s="14">
        <v>5</v>
      </c>
      <c r="Y310" s="14"/>
      <c r="Z310" s="14" t="s">
        <v>3828</v>
      </c>
      <c r="AA310" s="14" t="s">
        <v>3807</v>
      </c>
      <c r="AB310" s="14" t="s">
        <v>3888</v>
      </c>
    </row>
    <row r="311" spans="2:28" ht="41.4" hidden="1" x14ac:dyDescent="0.3">
      <c r="B311" s="13" t="s">
        <v>2183</v>
      </c>
      <c r="C311" s="13" t="s">
        <v>2184</v>
      </c>
      <c r="D311" s="13" t="s">
        <v>2182</v>
      </c>
      <c r="E311" s="13" t="s">
        <v>2188</v>
      </c>
      <c r="F311" s="13" t="s">
        <v>2187</v>
      </c>
      <c r="G311" s="13" t="s">
        <v>2189</v>
      </c>
      <c r="H311" s="13" t="s">
        <v>658</v>
      </c>
      <c r="I311" s="13" t="s">
        <v>2185</v>
      </c>
      <c r="J311" s="13" t="s">
        <v>2186</v>
      </c>
      <c r="K311" s="13" t="s">
        <v>2186</v>
      </c>
      <c r="L311" s="13" t="s">
        <v>2190</v>
      </c>
      <c r="M311" s="14" t="s">
        <v>3804</v>
      </c>
      <c r="O311" s="13" t="s">
        <v>31</v>
      </c>
      <c r="P311" s="13"/>
      <c r="Q311" s="13"/>
      <c r="R311" s="13"/>
      <c r="S311" s="17">
        <v>44631</v>
      </c>
      <c r="T311" s="15">
        <v>2022</v>
      </c>
      <c r="V311" s="13" t="s">
        <v>29</v>
      </c>
      <c r="X311" s="14">
        <v>5</v>
      </c>
      <c r="Y311" s="16" t="s">
        <v>7278</v>
      </c>
      <c r="Z311" s="14" t="s">
        <v>3835</v>
      </c>
      <c r="AA311" s="14" t="s">
        <v>3820</v>
      </c>
      <c r="AB311" s="14" t="s">
        <v>3884</v>
      </c>
    </row>
    <row r="312" spans="2:28" hidden="1" x14ac:dyDescent="0.3">
      <c r="B312" s="13" t="s">
        <v>2410</v>
      </c>
      <c r="C312" s="13" t="s">
        <v>87</v>
      </c>
      <c r="D312" s="13" t="s">
        <v>2409</v>
      </c>
      <c r="E312" s="13" t="s">
        <v>2414</v>
      </c>
      <c r="F312" s="13" t="s">
        <v>2413</v>
      </c>
      <c r="G312" s="13" t="s">
        <v>2415</v>
      </c>
      <c r="H312" s="13" t="s">
        <v>2411</v>
      </c>
      <c r="I312" s="13" t="s">
        <v>2412</v>
      </c>
      <c r="K312" s="13" t="s">
        <v>25</v>
      </c>
      <c r="L312" s="13" t="s">
        <v>2416</v>
      </c>
      <c r="M312" s="14" t="s">
        <v>141</v>
      </c>
      <c r="N312" s="13"/>
      <c r="O312" s="13" t="s">
        <v>31</v>
      </c>
      <c r="P312" s="13"/>
      <c r="Q312" s="13"/>
      <c r="R312" s="13"/>
      <c r="S312" s="17">
        <v>44631</v>
      </c>
      <c r="T312" s="15">
        <v>2022</v>
      </c>
      <c r="V312" s="13" t="s">
        <v>29</v>
      </c>
      <c r="X312" s="14">
        <v>5</v>
      </c>
      <c r="Y312" s="14"/>
      <c r="Z312" s="14" t="s">
        <v>3835</v>
      </c>
      <c r="AA312" s="14" t="s">
        <v>3813</v>
      </c>
      <c r="AB312" s="14" t="s">
        <v>3884</v>
      </c>
    </row>
    <row r="313" spans="2:28" hidden="1" x14ac:dyDescent="0.3">
      <c r="B313" s="13" t="s">
        <v>2522</v>
      </c>
      <c r="C313" s="13" t="s">
        <v>229</v>
      </c>
      <c r="D313" s="13" t="s">
        <v>2521</v>
      </c>
      <c r="E313" s="13" t="s">
        <v>2526</v>
      </c>
      <c r="F313" s="13" t="s">
        <v>2525</v>
      </c>
      <c r="G313" s="13" t="s">
        <v>2527</v>
      </c>
      <c r="H313" s="13" t="s">
        <v>2523</v>
      </c>
      <c r="I313" s="13" t="s">
        <v>2524</v>
      </c>
      <c r="K313" s="13" t="s">
        <v>25</v>
      </c>
      <c r="L313" s="13" t="s">
        <v>2528</v>
      </c>
      <c r="M313" s="14" t="s">
        <v>3804</v>
      </c>
      <c r="O313" s="13" t="s">
        <v>31</v>
      </c>
      <c r="P313" s="13"/>
      <c r="Q313" s="13"/>
      <c r="R313" s="13"/>
      <c r="S313" s="17">
        <v>44631</v>
      </c>
      <c r="T313" s="15">
        <v>2022</v>
      </c>
      <c r="V313" s="13" t="s">
        <v>29</v>
      </c>
      <c r="X313" s="14">
        <v>5</v>
      </c>
      <c r="Y313" s="16">
        <v>45012</v>
      </c>
      <c r="Z313" s="14" t="s">
        <v>3835</v>
      </c>
      <c r="AA313" s="14" t="s">
        <v>3817</v>
      </c>
      <c r="AB313" s="14" t="s">
        <v>3884</v>
      </c>
    </row>
    <row r="314" spans="2:28" ht="55.2" x14ac:dyDescent="0.3">
      <c r="B314" s="13" t="s">
        <v>2940</v>
      </c>
      <c r="C314" s="13" t="s">
        <v>282</v>
      </c>
      <c r="D314" s="13" t="s">
        <v>2939</v>
      </c>
      <c r="F314" s="13" t="s">
        <v>2941</v>
      </c>
      <c r="K314" s="13" t="s">
        <v>25</v>
      </c>
      <c r="L314" s="13" t="s">
        <v>2942</v>
      </c>
      <c r="M314" s="14" t="s">
        <v>3804</v>
      </c>
      <c r="O314" s="13" t="s">
        <v>31</v>
      </c>
      <c r="P314" s="13"/>
      <c r="Q314" s="13"/>
      <c r="R314" s="13"/>
      <c r="S314" s="17">
        <v>44631</v>
      </c>
      <c r="T314" s="15">
        <v>2022</v>
      </c>
      <c r="V314" s="13" t="s">
        <v>29</v>
      </c>
      <c r="X314" s="14"/>
      <c r="Y314" s="16" t="s">
        <v>10081</v>
      </c>
      <c r="Z314" s="14" t="s">
        <v>3828</v>
      </c>
      <c r="AA314" s="14" t="s">
        <v>3819</v>
      </c>
      <c r="AB314" s="14" t="s">
        <v>3888</v>
      </c>
    </row>
    <row r="315" spans="2:28" ht="27.6" hidden="1" x14ac:dyDescent="0.3">
      <c r="B315" s="13" t="s">
        <v>3052</v>
      </c>
      <c r="C315" s="13" t="s">
        <v>3053</v>
      </c>
      <c r="D315" s="13" t="s">
        <v>3893</v>
      </c>
      <c r="E315" s="13" t="s">
        <v>3057</v>
      </c>
      <c r="F315" s="13" t="s">
        <v>3056</v>
      </c>
      <c r="G315" s="13" t="s">
        <v>3058</v>
      </c>
      <c r="H315" s="13" t="s">
        <v>3054</v>
      </c>
      <c r="I315" s="13" t="s">
        <v>3055</v>
      </c>
      <c r="J315" s="13" t="s">
        <v>52</v>
      </c>
      <c r="K315" s="13" t="s">
        <v>25</v>
      </c>
      <c r="L315" s="13" t="s">
        <v>3059</v>
      </c>
      <c r="M315" s="14" t="s">
        <v>3804</v>
      </c>
      <c r="O315" s="13" t="s">
        <v>31</v>
      </c>
      <c r="P315" s="13"/>
      <c r="Q315" s="13"/>
      <c r="R315" s="13"/>
      <c r="S315" s="17">
        <v>44631</v>
      </c>
      <c r="T315" s="15">
        <v>2022</v>
      </c>
      <c r="V315" s="13" t="s">
        <v>29</v>
      </c>
      <c r="X315" s="14">
        <v>10</v>
      </c>
      <c r="Y315" s="16">
        <v>45012</v>
      </c>
      <c r="Z315" s="14" t="s">
        <v>2148</v>
      </c>
      <c r="AA315" s="14" t="s">
        <v>3808</v>
      </c>
      <c r="AB315" s="14" t="s">
        <v>3891</v>
      </c>
    </row>
    <row r="316" spans="2:28" ht="27.6" hidden="1" x14ac:dyDescent="0.3">
      <c r="B316" s="13" t="s">
        <v>3403</v>
      </c>
      <c r="C316" s="13" t="s">
        <v>3404</v>
      </c>
      <c r="D316" s="13" t="s">
        <v>3402</v>
      </c>
      <c r="E316" s="13" t="s">
        <v>3406</v>
      </c>
      <c r="F316" s="13" t="s">
        <v>3405</v>
      </c>
      <c r="G316" s="13" t="s">
        <v>3407</v>
      </c>
      <c r="J316" s="13" t="s">
        <v>52</v>
      </c>
      <c r="K316" s="13" t="s">
        <v>25</v>
      </c>
      <c r="L316" s="13" t="s">
        <v>3408</v>
      </c>
      <c r="M316" s="14" t="s">
        <v>3804</v>
      </c>
      <c r="O316" s="13" t="s">
        <v>31</v>
      </c>
      <c r="P316" s="13"/>
      <c r="Q316" s="13"/>
      <c r="R316" s="13"/>
      <c r="S316" s="17">
        <v>44631</v>
      </c>
      <c r="T316" s="15">
        <v>2022</v>
      </c>
      <c r="V316" s="13" t="s">
        <v>29</v>
      </c>
      <c r="X316" s="14">
        <v>5</v>
      </c>
      <c r="Y316" s="16" t="s">
        <v>5979</v>
      </c>
      <c r="Z316" s="14" t="s">
        <v>3835</v>
      </c>
      <c r="AA316" s="14" t="s">
        <v>3814</v>
      </c>
      <c r="AB316" s="14" t="s">
        <v>3884</v>
      </c>
    </row>
    <row r="317" spans="2:28" hidden="1" x14ac:dyDescent="0.3">
      <c r="B317" s="13" t="s">
        <v>3453</v>
      </c>
      <c r="C317" s="13" t="s">
        <v>3454</v>
      </c>
      <c r="D317" s="13" t="s">
        <v>3452</v>
      </c>
      <c r="E317" s="13" t="s">
        <v>3457</v>
      </c>
      <c r="F317" s="13" t="s">
        <v>3456</v>
      </c>
      <c r="G317" s="13" t="s">
        <v>3458</v>
      </c>
      <c r="H317" s="13" t="s">
        <v>3455</v>
      </c>
      <c r="J317" s="13" t="s">
        <v>52</v>
      </c>
      <c r="K317" s="13" t="s">
        <v>25</v>
      </c>
      <c r="L317" s="13" t="s">
        <v>3459</v>
      </c>
      <c r="M317" s="14" t="s">
        <v>3804</v>
      </c>
      <c r="O317" s="13" t="s">
        <v>31</v>
      </c>
      <c r="P317" s="13"/>
      <c r="Q317" s="13"/>
      <c r="R317" s="13"/>
      <c r="S317" s="17">
        <v>44631</v>
      </c>
      <c r="T317" s="15">
        <v>2022</v>
      </c>
      <c r="V317" s="13" t="s">
        <v>708</v>
      </c>
      <c r="W317" s="13" t="s">
        <v>435</v>
      </c>
      <c r="X317" s="14">
        <v>5</v>
      </c>
      <c r="Y317" s="16">
        <v>45012</v>
      </c>
      <c r="Z317" s="14" t="s">
        <v>2148</v>
      </c>
      <c r="AA317" s="14"/>
      <c r="AB317" s="14"/>
    </row>
    <row r="318" spans="2:28" ht="55.2" x14ac:dyDescent="0.3">
      <c r="B318" s="13" t="s">
        <v>3591</v>
      </c>
      <c r="C318" s="13" t="s">
        <v>361</v>
      </c>
      <c r="D318" s="13" t="s">
        <v>3590</v>
      </c>
      <c r="E318" s="13" t="s">
        <v>3594</v>
      </c>
      <c r="F318" s="13" t="s">
        <v>3593</v>
      </c>
      <c r="G318" s="13" t="s">
        <v>3595</v>
      </c>
      <c r="I318" s="13" t="s">
        <v>3592</v>
      </c>
      <c r="K318" s="13" t="s">
        <v>25</v>
      </c>
      <c r="L318" s="13" t="s">
        <v>3596</v>
      </c>
      <c r="M318" s="14" t="s">
        <v>3804</v>
      </c>
      <c r="O318" s="13" t="s">
        <v>31</v>
      </c>
      <c r="P318" s="13"/>
      <c r="Q318" s="13"/>
      <c r="R318" s="13"/>
      <c r="S318" s="17">
        <v>44631</v>
      </c>
      <c r="T318" s="15">
        <v>2022</v>
      </c>
      <c r="V318" s="13" t="s">
        <v>29</v>
      </c>
      <c r="X318" s="14"/>
      <c r="Y318" s="16" t="s">
        <v>10081</v>
      </c>
      <c r="Z318" s="14" t="s">
        <v>2148</v>
      </c>
      <c r="AA318" s="14" t="s">
        <v>3826</v>
      </c>
      <c r="AB318" s="14" t="s">
        <v>3891</v>
      </c>
    </row>
    <row r="319" spans="2:28" hidden="1" x14ac:dyDescent="0.3">
      <c r="B319" s="13" t="s">
        <v>3603</v>
      </c>
      <c r="C319" s="13" t="s">
        <v>229</v>
      </c>
      <c r="D319" s="13" t="s">
        <v>3602</v>
      </c>
      <c r="E319" s="13" t="s">
        <v>3606</v>
      </c>
      <c r="F319" s="13" t="s">
        <v>3605</v>
      </c>
      <c r="G319" s="13" t="s">
        <v>3607</v>
      </c>
      <c r="H319" s="13" t="s">
        <v>3604</v>
      </c>
      <c r="I319" s="13" t="s">
        <v>549</v>
      </c>
      <c r="K319" s="13" t="s">
        <v>25</v>
      </c>
      <c r="L319" s="13" t="s">
        <v>3861</v>
      </c>
      <c r="M319" s="14" t="s">
        <v>141</v>
      </c>
      <c r="N319" s="13"/>
      <c r="O319" s="13" t="s">
        <v>31</v>
      </c>
      <c r="P319" s="13"/>
      <c r="Q319" s="13"/>
      <c r="R319" s="13"/>
      <c r="S319" s="17">
        <v>44631</v>
      </c>
      <c r="T319" s="15">
        <v>2022</v>
      </c>
      <c r="V319" s="13" t="s">
        <v>29</v>
      </c>
      <c r="X319" s="14">
        <v>5</v>
      </c>
      <c r="Y319" s="14"/>
      <c r="Z319" s="14" t="s">
        <v>3828</v>
      </c>
      <c r="AA319" s="14" t="s">
        <v>3812</v>
      </c>
      <c r="AB319" s="14" t="s">
        <v>3887</v>
      </c>
    </row>
    <row r="320" spans="2:28" ht="55.2" x14ac:dyDescent="0.3">
      <c r="B320" s="13" t="s">
        <v>3625</v>
      </c>
      <c r="C320" s="13" t="s">
        <v>2055</v>
      </c>
      <c r="D320" s="13" t="s">
        <v>3624</v>
      </c>
      <c r="E320" s="13" t="s">
        <v>3629</v>
      </c>
      <c r="F320" s="13" t="s">
        <v>3628</v>
      </c>
      <c r="G320" s="13" t="s">
        <v>3630</v>
      </c>
      <c r="H320" s="13" t="s">
        <v>3626</v>
      </c>
      <c r="I320" s="13" t="s">
        <v>3627</v>
      </c>
      <c r="J320" s="13" t="s">
        <v>330</v>
      </c>
      <c r="K320" s="13" t="s">
        <v>25</v>
      </c>
      <c r="L320" s="13" t="s">
        <v>3862</v>
      </c>
      <c r="M320" s="14" t="s">
        <v>3804</v>
      </c>
      <c r="O320" s="13" t="s">
        <v>31</v>
      </c>
      <c r="P320" s="13"/>
      <c r="Q320" s="13"/>
      <c r="R320" s="13"/>
      <c r="S320" s="17">
        <v>44631</v>
      </c>
      <c r="T320" s="15">
        <v>2022</v>
      </c>
      <c r="V320" s="13" t="s">
        <v>29</v>
      </c>
      <c r="X320" s="14"/>
      <c r="Y320" s="16" t="s">
        <v>10081</v>
      </c>
      <c r="Z320" s="14" t="s">
        <v>3828</v>
      </c>
      <c r="AA320" s="14" t="s">
        <v>3819</v>
      </c>
      <c r="AB320" s="14" t="s">
        <v>3888</v>
      </c>
    </row>
    <row r="321" spans="1:28" hidden="1" x14ac:dyDescent="0.3">
      <c r="B321" s="13" t="s">
        <v>3676</v>
      </c>
      <c r="C321" s="13" t="s">
        <v>3677</v>
      </c>
      <c r="D321" s="13" t="s">
        <v>3675</v>
      </c>
      <c r="E321" s="13" t="s">
        <v>3681</v>
      </c>
      <c r="F321" s="13" t="s">
        <v>3680</v>
      </c>
      <c r="H321" s="13" t="s">
        <v>3678</v>
      </c>
      <c r="I321" s="13" t="s">
        <v>3679</v>
      </c>
      <c r="K321" s="13" t="s">
        <v>25</v>
      </c>
      <c r="L321" s="13" t="s">
        <v>3682</v>
      </c>
      <c r="M321" s="14" t="s">
        <v>3804</v>
      </c>
      <c r="N321" s="13"/>
      <c r="O321" s="13" t="s">
        <v>31</v>
      </c>
      <c r="P321" s="13"/>
      <c r="Q321" s="13"/>
      <c r="R321" s="13"/>
      <c r="S321" s="17">
        <v>44631</v>
      </c>
      <c r="T321" s="15">
        <v>2022</v>
      </c>
      <c r="V321" s="13" t="s">
        <v>29</v>
      </c>
      <c r="X321" s="14">
        <v>5</v>
      </c>
      <c r="Y321" s="14"/>
      <c r="Z321" s="14" t="s">
        <v>2148</v>
      </c>
      <c r="AA321" s="14" t="s">
        <v>4609</v>
      </c>
      <c r="AB321" s="14" t="s">
        <v>3890</v>
      </c>
    </row>
    <row r="322" spans="1:28" ht="27.6" hidden="1" x14ac:dyDescent="0.3">
      <c r="A322" s="13" t="s">
        <v>22</v>
      </c>
      <c r="B322" s="13" t="s">
        <v>20</v>
      </c>
      <c r="C322" s="13" t="s">
        <v>21</v>
      </c>
      <c r="D322" s="13" t="s">
        <v>19</v>
      </c>
      <c r="E322" s="13" t="s">
        <v>27</v>
      </c>
      <c r="F322" s="13" t="s">
        <v>26</v>
      </c>
      <c r="G322" s="13" t="s">
        <v>28</v>
      </c>
      <c r="H322" s="13" t="s">
        <v>23</v>
      </c>
      <c r="I322" s="13" t="s">
        <v>24</v>
      </c>
      <c r="K322" s="13" t="s">
        <v>25</v>
      </c>
      <c r="L322" s="13" t="s">
        <v>30</v>
      </c>
      <c r="M322" s="14" t="s">
        <v>3804</v>
      </c>
      <c r="N322" s="13"/>
      <c r="O322" s="13" t="s">
        <v>31</v>
      </c>
      <c r="P322" s="13"/>
      <c r="Q322" s="13"/>
      <c r="R322" s="13"/>
      <c r="S322" s="17">
        <v>44634</v>
      </c>
      <c r="T322" s="15">
        <v>2022</v>
      </c>
      <c r="V322" s="13" t="s">
        <v>29</v>
      </c>
      <c r="X322" s="14">
        <v>5</v>
      </c>
      <c r="Y322" s="14"/>
      <c r="Z322" s="14" t="s">
        <v>3870</v>
      </c>
      <c r="AA322" s="14" t="s">
        <v>3806</v>
      </c>
      <c r="AB322" s="14" t="s">
        <v>3886</v>
      </c>
    </row>
    <row r="323" spans="1:28" ht="27.6" hidden="1" x14ac:dyDescent="0.3">
      <c r="A323" s="13" t="s">
        <v>22</v>
      </c>
      <c r="B323" s="13" t="s">
        <v>3728</v>
      </c>
      <c r="C323" s="13" t="s">
        <v>3729</v>
      </c>
      <c r="D323" s="13" t="s">
        <v>3727</v>
      </c>
      <c r="E323" s="13" t="s">
        <v>3733</v>
      </c>
      <c r="F323" s="13" t="s">
        <v>3732</v>
      </c>
      <c r="G323" s="13" t="s">
        <v>3734</v>
      </c>
      <c r="H323" s="13" t="s">
        <v>3730</v>
      </c>
      <c r="I323" s="13" t="s">
        <v>3731</v>
      </c>
      <c r="K323" s="13" t="s">
        <v>25</v>
      </c>
      <c r="L323" s="13" t="s">
        <v>3735</v>
      </c>
      <c r="M323" s="14" t="s">
        <v>3804</v>
      </c>
      <c r="O323" s="13" t="s">
        <v>31</v>
      </c>
      <c r="P323" s="13"/>
      <c r="Q323" s="13"/>
      <c r="R323" s="13"/>
      <c r="S323" s="17">
        <v>44634</v>
      </c>
      <c r="T323" s="15">
        <v>2022</v>
      </c>
      <c r="V323" s="13" t="s">
        <v>29</v>
      </c>
      <c r="X323" s="14">
        <v>10</v>
      </c>
      <c r="Y323" s="16" t="s">
        <v>5979</v>
      </c>
      <c r="Z323" s="14" t="s">
        <v>2148</v>
      </c>
      <c r="AA323" s="14" t="s">
        <v>3823</v>
      </c>
      <c r="AB323" s="14" t="s">
        <v>3891</v>
      </c>
    </row>
    <row r="324" spans="1:28" hidden="1" x14ac:dyDescent="0.3">
      <c r="A324" s="13" t="s">
        <v>100</v>
      </c>
      <c r="B324" s="13" t="s">
        <v>3346</v>
      </c>
      <c r="C324" s="13" t="s">
        <v>3347</v>
      </c>
      <c r="D324" s="13" t="s">
        <v>3345</v>
      </c>
      <c r="E324" s="13" t="s">
        <v>3351</v>
      </c>
      <c r="F324" s="13" t="s">
        <v>3350</v>
      </c>
      <c r="G324" s="13" t="s">
        <v>3352</v>
      </c>
      <c r="H324" s="13" t="s">
        <v>3348</v>
      </c>
      <c r="I324" s="13" t="s">
        <v>3349</v>
      </c>
      <c r="K324" s="13" t="s">
        <v>25</v>
      </c>
      <c r="L324" s="13" t="s">
        <v>3353</v>
      </c>
      <c r="M324" s="14" t="s">
        <v>3804</v>
      </c>
      <c r="N324" s="13"/>
      <c r="O324" s="13" t="s">
        <v>31</v>
      </c>
      <c r="P324" s="13"/>
      <c r="Q324" s="13"/>
      <c r="R324" s="13"/>
      <c r="S324" s="17">
        <v>44634</v>
      </c>
      <c r="T324" s="15">
        <v>2022</v>
      </c>
      <c r="V324" s="13" t="s">
        <v>29</v>
      </c>
      <c r="X324" s="14">
        <v>5</v>
      </c>
      <c r="Y324" s="14"/>
      <c r="Z324" s="14" t="s">
        <v>3828</v>
      </c>
      <c r="AA324" s="14" t="s">
        <v>3812</v>
      </c>
      <c r="AB324" s="14" t="s">
        <v>3887</v>
      </c>
    </row>
    <row r="325" spans="1:28" hidden="1" x14ac:dyDescent="0.3">
      <c r="B325" s="13" t="s">
        <v>429</v>
      </c>
      <c r="C325" s="13" t="s">
        <v>430</v>
      </c>
      <c r="D325" s="13" t="s">
        <v>3876</v>
      </c>
      <c r="E325" s="13" t="s">
        <v>433</v>
      </c>
      <c r="F325" s="13" t="s">
        <v>432</v>
      </c>
      <c r="G325" s="13" t="s">
        <v>434</v>
      </c>
      <c r="H325" s="13" t="s">
        <v>310</v>
      </c>
      <c r="I325" s="13" t="s">
        <v>431</v>
      </c>
      <c r="J325" s="13" t="s">
        <v>52</v>
      </c>
      <c r="K325" s="13" t="s">
        <v>25</v>
      </c>
      <c r="L325" s="13" t="s">
        <v>436</v>
      </c>
      <c r="M325" s="14" t="s">
        <v>141</v>
      </c>
      <c r="N325" s="13"/>
      <c r="O325" s="13" t="s">
        <v>31</v>
      </c>
      <c r="P325" s="13"/>
      <c r="Q325" s="13"/>
      <c r="R325" s="13"/>
      <c r="S325" s="17">
        <v>44634</v>
      </c>
      <c r="T325" s="15">
        <v>2022</v>
      </c>
      <c r="V325" s="13" t="s">
        <v>29</v>
      </c>
      <c r="W325" s="13" t="s">
        <v>435</v>
      </c>
      <c r="X325" s="14">
        <v>5</v>
      </c>
      <c r="Y325" s="14"/>
      <c r="Z325" s="14" t="s">
        <v>3828</v>
      </c>
      <c r="AA325" s="14" t="s">
        <v>3877</v>
      </c>
      <c r="AB325" s="14" t="s">
        <v>3888</v>
      </c>
    </row>
    <row r="326" spans="1:28" ht="41.4" hidden="1" x14ac:dyDescent="0.3">
      <c r="B326" s="13" t="s">
        <v>883</v>
      </c>
      <c r="C326" s="13" t="s">
        <v>282</v>
      </c>
      <c r="D326" s="13" t="s">
        <v>882</v>
      </c>
      <c r="E326" s="13" t="s">
        <v>886</v>
      </c>
      <c r="F326" s="13" t="s">
        <v>885</v>
      </c>
      <c r="G326" s="13" t="s">
        <v>887</v>
      </c>
      <c r="H326" s="13" t="s">
        <v>884</v>
      </c>
      <c r="I326" s="13" t="s">
        <v>191</v>
      </c>
      <c r="J326" s="13" t="s">
        <v>52</v>
      </c>
      <c r="K326" s="13" t="s">
        <v>25</v>
      </c>
      <c r="L326" s="13" t="s">
        <v>888</v>
      </c>
      <c r="M326" s="14" t="s">
        <v>141</v>
      </c>
      <c r="N326" s="13"/>
      <c r="O326" s="13" t="s">
        <v>31</v>
      </c>
      <c r="P326" s="13"/>
      <c r="Q326" s="13"/>
      <c r="R326" s="13"/>
      <c r="S326" s="17">
        <v>44634</v>
      </c>
      <c r="T326" s="15">
        <v>2022</v>
      </c>
      <c r="V326" s="13" t="s">
        <v>29</v>
      </c>
      <c r="X326" s="14">
        <v>5</v>
      </c>
      <c r="Y326" s="14"/>
      <c r="Z326" s="14" t="s">
        <v>3870</v>
      </c>
      <c r="AA326" s="14" t="s">
        <v>3806</v>
      </c>
      <c r="AB326" s="14" t="s">
        <v>3886</v>
      </c>
    </row>
    <row r="327" spans="1:28" hidden="1" x14ac:dyDescent="0.3">
      <c r="B327" s="13" t="s">
        <v>937</v>
      </c>
      <c r="C327" s="13" t="s">
        <v>938</v>
      </c>
      <c r="D327" s="13" t="s">
        <v>936</v>
      </c>
      <c r="E327" s="13" t="s">
        <v>942</v>
      </c>
      <c r="F327" s="13" t="s">
        <v>941</v>
      </c>
      <c r="G327" s="13" t="s">
        <v>943</v>
      </c>
      <c r="H327" s="13" t="s">
        <v>939</v>
      </c>
      <c r="I327" s="13" t="s">
        <v>940</v>
      </c>
      <c r="J327" s="13" t="s">
        <v>330</v>
      </c>
      <c r="K327" s="13" t="s">
        <v>25</v>
      </c>
      <c r="L327" s="13" t="s">
        <v>944</v>
      </c>
      <c r="M327" s="14" t="s">
        <v>3804</v>
      </c>
      <c r="N327" s="13"/>
      <c r="O327" s="13" t="s">
        <v>31</v>
      </c>
      <c r="P327" s="13"/>
      <c r="Q327" s="13"/>
      <c r="R327" s="13"/>
      <c r="S327" s="17">
        <v>44634</v>
      </c>
      <c r="T327" s="15">
        <v>2022</v>
      </c>
      <c r="V327" s="13" t="s">
        <v>29</v>
      </c>
      <c r="X327" s="14">
        <v>5</v>
      </c>
      <c r="Y327" s="14"/>
      <c r="Z327" s="14" t="s">
        <v>3835</v>
      </c>
      <c r="AA327" s="14" t="s">
        <v>3814</v>
      </c>
      <c r="AB327" s="14" t="s">
        <v>3884</v>
      </c>
    </row>
    <row r="328" spans="1:28" ht="27.6" hidden="1" x14ac:dyDescent="0.3">
      <c r="B328" s="13" t="s">
        <v>1081</v>
      </c>
      <c r="C328" s="13" t="s">
        <v>99</v>
      </c>
      <c r="D328" s="13" t="s">
        <v>1080</v>
      </c>
      <c r="E328" s="13" t="s">
        <v>1083</v>
      </c>
      <c r="F328" s="13" t="s">
        <v>1082</v>
      </c>
      <c r="G328" s="13" t="s">
        <v>1084</v>
      </c>
      <c r="H328" s="13" t="s">
        <v>355</v>
      </c>
      <c r="I328" s="13" t="s">
        <v>191</v>
      </c>
      <c r="K328" s="13" t="s">
        <v>25</v>
      </c>
      <c r="L328" s="13" t="s">
        <v>1085</v>
      </c>
      <c r="N328" s="13"/>
      <c r="O328" s="13" t="s">
        <v>31</v>
      </c>
      <c r="P328" s="13"/>
      <c r="Q328" s="13"/>
      <c r="R328" s="13"/>
      <c r="S328" s="17">
        <v>44634</v>
      </c>
      <c r="T328" s="15">
        <v>2022</v>
      </c>
      <c r="V328" s="13" t="s">
        <v>29</v>
      </c>
      <c r="X328" s="14">
        <v>5</v>
      </c>
      <c r="Y328" s="16">
        <v>45012</v>
      </c>
      <c r="Z328" s="14" t="s">
        <v>3828</v>
      </c>
      <c r="AA328" s="14" t="s">
        <v>3877</v>
      </c>
      <c r="AB328" s="14" t="s">
        <v>3888</v>
      </c>
    </row>
    <row r="329" spans="1:28" hidden="1" x14ac:dyDescent="0.3">
      <c r="B329" s="13" t="s">
        <v>1537</v>
      </c>
      <c r="C329" s="13" t="s">
        <v>539</v>
      </c>
      <c r="D329" s="13" t="s">
        <v>1545</v>
      </c>
      <c r="E329" s="13" t="s">
        <v>1549</v>
      </c>
      <c r="F329" s="13" t="s">
        <v>1548</v>
      </c>
      <c r="G329" s="13" t="s">
        <v>1550</v>
      </c>
      <c r="H329" s="13" t="s">
        <v>1546</v>
      </c>
      <c r="I329" s="13" t="s">
        <v>1547</v>
      </c>
      <c r="J329" s="13" t="s">
        <v>330</v>
      </c>
      <c r="K329" s="13" t="s">
        <v>25</v>
      </c>
      <c r="L329" s="13" t="s">
        <v>1551</v>
      </c>
      <c r="M329" s="14" t="s">
        <v>3804</v>
      </c>
      <c r="N329" s="13"/>
      <c r="O329" s="13" t="s">
        <v>31</v>
      </c>
      <c r="P329" s="13"/>
      <c r="Q329" s="13"/>
      <c r="R329" s="13"/>
      <c r="S329" s="17">
        <v>44634</v>
      </c>
      <c r="T329" s="15">
        <v>2022</v>
      </c>
      <c r="V329" s="13" t="s">
        <v>29</v>
      </c>
      <c r="X329" s="14">
        <v>5</v>
      </c>
      <c r="Y329" s="14"/>
      <c r="Z329" s="14" t="s">
        <v>2148</v>
      </c>
      <c r="AA329" s="14" t="s">
        <v>3818</v>
      </c>
      <c r="AB329" s="14" t="s">
        <v>3890</v>
      </c>
    </row>
    <row r="330" spans="1:28" hidden="1" x14ac:dyDescent="0.3">
      <c r="B330" s="13" t="s">
        <v>1699</v>
      </c>
      <c r="C330" s="13" t="s">
        <v>1708</v>
      </c>
      <c r="D330" s="13" t="s">
        <v>1707</v>
      </c>
      <c r="E330" s="13" t="s">
        <v>1712</v>
      </c>
      <c r="F330" s="13" t="s">
        <v>1711</v>
      </c>
      <c r="G330" s="13" t="s">
        <v>1713</v>
      </c>
      <c r="H330" s="13" t="s">
        <v>1709</v>
      </c>
      <c r="I330" s="13" t="s">
        <v>1710</v>
      </c>
      <c r="K330" s="13" t="s">
        <v>25</v>
      </c>
      <c r="L330" s="13" t="s">
        <v>1714</v>
      </c>
      <c r="M330" s="14" t="s">
        <v>141</v>
      </c>
      <c r="N330" s="13"/>
      <c r="O330" s="13" t="s">
        <v>31</v>
      </c>
      <c r="P330" s="13"/>
      <c r="Q330" s="13"/>
      <c r="R330" s="13"/>
      <c r="S330" s="17">
        <v>44634</v>
      </c>
      <c r="T330" s="15">
        <v>2022</v>
      </c>
      <c r="V330" s="13" t="s">
        <v>29</v>
      </c>
      <c r="X330" s="14">
        <v>5</v>
      </c>
      <c r="Y330" s="14"/>
      <c r="Z330" s="14" t="s">
        <v>3828</v>
      </c>
      <c r="AA330" s="14" t="s">
        <v>3807</v>
      </c>
      <c r="AB330" s="14" t="s">
        <v>3888</v>
      </c>
    </row>
    <row r="331" spans="1:28" hidden="1" x14ac:dyDescent="0.3">
      <c r="B331" s="13" t="s">
        <v>1965</v>
      </c>
      <c r="C331" s="13" t="s">
        <v>1732</v>
      </c>
      <c r="D331" s="13" t="s">
        <v>1964</v>
      </c>
      <c r="E331" s="13" t="s">
        <v>1968</v>
      </c>
      <c r="F331" s="13" t="s">
        <v>1967</v>
      </c>
      <c r="G331" s="13" t="s">
        <v>1969</v>
      </c>
      <c r="H331" s="13" t="s">
        <v>355</v>
      </c>
      <c r="I331" s="13" t="s">
        <v>1966</v>
      </c>
      <c r="J331" s="13" t="s">
        <v>52</v>
      </c>
      <c r="K331" s="13" t="s">
        <v>25</v>
      </c>
      <c r="L331" s="13" t="s">
        <v>1970</v>
      </c>
      <c r="M331" s="14" t="s">
        <v>141</v>
      </c>
      <c r="N331" s="13"/>
      <c r="O331" s="13" t="s">
        <v>31</v>
      </c>
      <c r="P331" s="13"/>
      <c r="Q331" s="13"/>
      <c r="R331" s="13"/>
      <c r="S331" s="17">
        <v>44634</v>
      </c>
      <c r="T331" s="15">
        <v>2022</v>
      </c>
      <c r="V331" s="13" t="s">
        <v>29</v>
      </c>
      <c r="X331" s="14">
        <v>5</v>
      </c>
      <c r="Y331" s="14"/>
      <c r="Z331" s="14" t="s">
        <v>3828</v>
      </c>
      <c r="AA331" s="14" t="s">
        <v>3807</v>
      </c>
      <c r="AB331" s="14" t="s">
        <v>3888</v>
      </c>
    </row>
    <row r="332" spans="1:28" hidden="1" x14ac:dyDescent="0.3">
      <c r="B332" s="13" t="s">
        <v>2681</v>
      </c>
      <c r="C332" s="13" t="s">
        <v>958</v>
      </c>
      <c r="D332" s="13" t="s">
        <v>2680</v>
      </c>
      <c r="E332" s="13" t="s">
        <v>2685</v>
      </c>
      <c r="F332" s="13" t="s">
        <v>2684</v>
      </c>
      <c r="G332" s="13" t="s">
        <v>2686</v>
      </c>
      <c r="H332" s="13" t="s">
        <v>2682</v>
      </c>
      <c r="I332" s="13" t="s">
        <v>2683</v>
      </c>
      <c r="J332" s="13" t="s">
        <v>52</v>
      </c>
      <c r="K332" s="13" t="s">
        <v>25</v>
      </c>
      <c r="L332" s="13" t="s">
        <v>3850</v>
      </c>
      <c r="M332" s="14" t="s">
        <v>141</v>
      </c>
      <c r="N332" s="13"/>
      <c r="O332" s="13" t="s">
        <v>31</v>
      </c>
      <c r="P332" s="13"/>
      <c r="Q332" s="13"/>
      <c r="R332" s="13"/>
      <c r="S332" s="17">
        <v>44634</v>
      </c>
      <c r="T332" s="15">
        <v>2022</v>
      </c>
      <c r="V332" s="13" t="s">
        <v>29</v>
      </c>
      <c r="X332" s="14">
        <v>5</v>
      </c>
      <c r="Y332" s="14"/>
      <c r="Z332" s="14" t="s">
        <v>3828</v>
      </c>
      <c r="AA332" s="14" t="s">
        <v>3819</v>
      </c>
      <c r="AB332" s="14" t="s">
        <v>3888</v>
      </c>
    </row>
    <row r="333" spans="1:28" hidden="1" x14ac:dyDescent="0.3">
      <c r="B333" s="13" t="s">
        <v>2916</v>
      </c>
      <c r="C333" s="13" t="s">
        <v>1094</v>
      </c>
      <c r="D333" s="13" t="s">
        <v>2915</v>
      </c>
      <c r="E333" s="13" t="s">
        <v>2921</v>
      </c>
      <c r="F333" s="13" t="s">
        <v>2920</v>
      </c>
      <c r="G333" s="13" t="s">
        <v>2922</v>
      </c>
      <c r="H333" s="13" t="s">
        <v>2917</v>
      </c>
      <c r="I333" s="13" t="s">
        <v>2918</v>
      </c>
      <c r="J333" s="13" t="s">
        <v>2919</v>
      </c>
      <c r="K333" s="13" t="s">
        <v>25</v>
      </c>
      <c r="L333" s="13" t="s">
        <v>2923</v>
      </c>
      <c r="M333" s="14" t="s">
        <v>141</v>
      </c>
      <c r="N333" s="13"/>
      <c r="O333" s="13" t="s">
        <v>31</v>
      </c>
      <c r="P333" s="13"/>
      <c r="Q333" s="13"/>
      <c r="R333" s="13"/>
      <c r="S333" s="17">
        <v>44634</v>
      </c>
      <c r="T333" s="15">
        <v>2022</v>
      </c>
      <c r="V333" s="13" t="s">
        <v>29</v>
      </c>
      <c r="X333" s="14">
        <v>10</v>
      </c>
      <c r="Y333" s="14"/>
      <c r="Z333" s="14" t="s">
        <v>3828</v>
      </c>
      <c r="AA333" s="14" t="s">
        <v>3815</v>
      </c>
      <c r="AB333" s="14" t="s">
        <v>3888</v>
      </c>
    </row>
    <row r="334" spans="1:28" hidden="1" x14ac:dyDescent="0.3">
      <c r="B334" s="13" t="s">
        <v>3543</v>
      </c>
      <c r="C334" s="13" t="s">
        <v>3544</v>
      </c>
      <c r="D334" s="13" t="s">
        <v>3542</v>
      </c>
      <c r="E334" s="13" t="s">
        <v>3548</v>
      </c>
      <c r="F334" s="13" t="s">
        <v>3547</v>
      </c>
      <c r="G334" s="13" t="s">
        <v>3549</v>
      </c>
      <c r="H334" s="13" t="s">
        <v>3545</v>
      </c>
      <c r="I334" s="13" t="s">
        <v>3546</v>
      </c>
      <c r="J334" s="13" t="s">
        <v>52</v>
      </c>
      <c r="K334" s="13" t="s">
        <v>25</v>
      </c>
      <c r="L334" s="13" t="s">
        <v>965</v>
      </c>
      <c r="M334" s="14" t="s">
        <v>3804</v>
      </c>
      <c r="N334" s="13"/>
      <c r="O334" s="13" t="s">
        <v>31</v>
      </c>
      <c r="P334" s="13"/>
      <c r="Q334" s="13"/>
      <c r="R334" s="13"/>
      <c r="S334" s="17">
        <v>44634</v>
      </c>
      <c r="T334" s="15">
        <v>2022</v>
      </c>
      <c r="V334" s="13" t="s">
        <v>29</v>
      </c>
      <c r="X334" s="14">
        <v>20</v>
      </c>
      <c r="Y334" s="14"/>
      <c r="Z334" s="14" t="s">
        <v>3828</v>
      </c>
      <c r="AA334" s="14" t="s">
        <v>3816</v>
      </c>
      <c r="AB334" s="14" t="s">
        <v>3885</v>
      </c>
    </row>
    <row r="335" spans="1:28" hidden="1" x14ac:dyDescent="0.3">
      <c r="B335" s="13" t="s">
        <v>3737</v>
      </c>
      <c r="C335" s="13" t="s">
        <v>3738</v>
      </c>
      <c r="D335" s="13" t="s">
        <v>3736</v>
      </c>
      <c r="E335" s="13" t="s">
        <v>3741</v>
      </c>
      <c r="F335" s="13" t="s">
        <v>3740</v>
      </c>
      <c r="G335" s="13" t="s">
        <v>3742</v>
      </c>
      <c r="H335" s="13" t="s">
        <v>1503</v>
      </c>
      <c r="I335" s="13" t="s">
        <v>3739</v>
      </c>
      <c r="K335" s="13" t="s">
        <v>25</v>
      </c>
      <c r="L335" s="13" t="s">
        <v>3743</v>
      </c>
      <c r="M335" s="14" t="s">
        <v>141</v>
      </c>
      <c r="N335" s="13"/>
      <c r="O335" s="13" t="s">
        <v>31</v>
      </c>
      <c r="P335" s="13"/>
      <c r="Q335" s="13"/>
      <c r="R335" s="13"/>
      <c r="S335" s="17">
        <v>44634</v>
      </c>
      <c r="T335" s="15">
        <v>2022</v>
      </c>
      <c r="V335" s="13" t="s">
        <v>29</v>
      </c>
      <c r="X335" s="14">
        <v>5</v>
      </c>
      <c r="Y335" s="14"/>
      <c r="Z335" s="14" t="s">
        <v>3835</v>
      </c>
      <c r="AA335" s="14" t="s">
        <v>3813</v>
      </c>
      <c r="AB335" s="14" t="s">
        <v>3884</v>
      </c>
    </row>
    <row r="336" spans="1:28" hidden="1" x14ac:dyDescent="0.3">
      <c r="A336" s="13" t="s">
        <v>22</v>
      </c>
      <c r="B336" s="13" t="s">
        <v>515</v>
      </c>
      <c r="C336" s="13" t="s">
        <v>79</v>
      </c>
      <c r="D336" s="13" t="s">
        <v>514</v>
      </c>
      <c r="E336" s="13" t="s">
        <v>518</v>
      </c>
      <c r="F336" s="13" t="s">
        <v>517</v>
      </c>
      <c r="G336" s="13" t="s">
        <v>519</v>
      </c>
      <c r="H336" s="13" t="s">
        <v>3865</v>
      </c>
      <c r="I336" s="13" t="s">
        <v>516</v>
      </c>
      <c r="J336" s="13" t="s">
        <v>52</v>
      </c>
      <c r="K336" s="13" t="s">
        <v>25</v>
      </c>
      <c r="L336" s="13" t="s">
        <v>520</v>
      </c>
      <c r="M336" s="14" t="s">
        <v>3804</v>
      </c>
      <c r="N336" s="13"/>
      <c r="O336" s="13" t="s">
        <v>31</v>
      </c>
      <c r="P336" s="13"/>
      <c r="Q336" s="13"/>
      <c r="R336" s="13"/>
      <c r="S336" s="17">
        <v>44635</v>
      </c>
      <c r="T336" s="15">
        <v>2022</v>
      </c>
      <c r="V336" s="13" t="s">
        <v>29</v>
      </c>
      <c r="X336" s="14">
        <v>5</v>
      </c>
      <c r="Y336" s="14"/>
      <c r="Z336" s="14" t="s">
        <v>2148</v>
      </c>
      <c r="AA336" s="14" t="s">
        <v>3818</v>
      </c>
      <c r="AB336" s="14" t="s">
        <v>3890</v>
      </c>
    </row>
    <row r="337" spans="1:29" hidden="1" x14ac:dyDescent="0.3">
      <c r="A337" s="13" t="s">
        <v>22</v>
      </c>
      <c r="B337" s="13" t="s">
        <v>957</v>
      </c>
      <c r="C337" s="13" t="s">
        <v>769</v>
      </c>
      <c r="D337" s="13" t="s">
        <v>956</v>
      </c>
      <c r="E337" s="13" t="s">
        <v>962</v>
      </c>
      <c r="F337" s="13" t="s">
        <v>961</v>
      </c>
      <c r="G337" s="13" t="s">
        <v>963</v>
      </c>
      <c r="H337" s="13" t="s">
        <v>959</v>
      </c>
      <c r="I337" s="13" t="s">
        <v>960</v>
      </c>
      <c r="K337" s="13" t="s">
        <v>25</v>
      </c>
      <c r="L337" s="13" t="s">
        <v>965</v>
      </c>
      <c r="M337" s="14" t="s">
        <v>3804</v>
      </c>
      <c r="N337" s="13"/>
      <c r="O337" s="13" t="s">
        <v>31</v>
      </c>
      <c r="P337" s="13"/>
      <c r="Q337" s="13"/>
      <c r="R337" s="13"/>
      <c r="S337" s="17">
        <v>44635</v>
      </c>
      <c r="T337" s="15">
        <v>2022</v>
      </c>
      <c r="V337" s="13" t="s">
        <v>29</v>
      </c>
      <c r="W337" s="13" t="s">
        <v>964</v>
      </c>
      <c r="X337" s="14">
        <v>10</v>
      </c>
      <c r="Y337" s="14"/>
      <c r="Z337" s="14" t="s">
        <v>3835</v>
      </c>
      <c r="AA337" s="14" t="s">
        <v>3872</v>
      </c>
      <c r="AB337" s="14" t="s">
        <v>3884</v>
      </c>
    </row>
    <row r="338" spans="1:29" hidden="1" x14ac:dyDescent="0.3">
      <c r="A338" s="13" t="s">
        <v>100</v>
      </c>
      <c r="B338" s="13" t="s">
        <v>1904</v>
      </c>
      <c r="C338" s="13" t="s">
        <v>354</v>
      </c>
      <c r="D338" s="13" t="s">
        <v>1903</v>
      </c>
      <c r="E338" s="13" t="s">
        <v>1908</v>
      </c>
      <c r="F338" s="13" t="s">
        <v>1907</v>
      </c>
      <c r="G338" s="13" t="s">
        <v>1909</v>
      </c>
      <c r="H338" s="13" t="s">
        <v>1905</v>
      </c>
      <c r="I338" s="13" t="s">
        <v>1906</v>
      </c>
      <c r="J338" s="13" t="s">
        <v>52</v>
      </c>
      <c r="K338" s="13" t="s">
        <v>25</v>
      </c>
      <c r="N338" s="13"/>
      <c r="S338" s="17">
        <v>44635</v>
      </c>
      <c r="T338" s="15">
        <v>2022</v>
      </c>
      <c r="V338" s="13" t="s">
        <v>29</v>
      </c>
      <c r="X338" s="14">
        <v>5</v>
      </c>
      <c r="Y338" s="14"/>
      <c r="Z338" s="14" t="s">
        <v>3828</v>
      </c>
      <c r="AA338" s="14" t="s">
        <v>3812</v>
      </c>
      <c r="AB338" s="14" t="s">
        <v>3887</v>
      </c>
    </row>
    <row r="339" spans="1:29" ht="27.6" hidden="1" x14ac:dyDescent="0.3">
      <c r="A339" s="13" t="s">
        <v>100</v>
      </c>
      <c r="B339" s="13" t="s">
        <v>2456</v>
      </c>
      <c r="C339" s="13" t="s">
        <v>806</v>
      </c>
      <c r="D339" s="13" t="s">
        <v>2455</v>
      </c>
      <c r="E339" s="13" t="s">
        <v>2460</v>
      </c>
      <c r="F339" s="13" t="s">
        <v>2459</v>
      </c>
      <c r="G339" s="13" t="s">
        <v>2461</v>
      </c>
      <c r="H339" s="13" t="s">
        <v>2457</v>
      </c>
      <c r="I339" s="13" t="s">
        <v>2458</v>
      </c>
      <c r="J339" s="13" t="s">
        <v>52</v>
      </c>
      <c r="K339" s="13" t="s">
        <v>25</v>
      </c>
      <c r="L339" s="13" t="s">
        <v>547</v>
      </c>
      <c r="M339" s="14" t="s">
        <v>3804</v>
      </c>
      <c r="N339" s="13"/>
      <c r="O339" s="13" t="s">
        <v>31</v>
      </c>
      <c r="P339" s="13"/>
      <c r="Q339" s="13"/>
      <c r="R339" s="13"/>
      <c r="S339" s="17">
        <v>44635</v>
      </c>
      <c r="T339" s="15">
        <v>2022</v>
      </c>
      <c r="V339" s="13" t="s">
        <v>29</v>
      </c>
      <c r="X339" s="14">
        <v>5</v>
      </c>
      <c r="Y339" s="14"/>
      <c r="Z339" s="14" t="s">
        <v>3828</v>
      </c>
      <c r="AA339" s="14" t="s">
        <v>3812</v>
      </c>
      <c r="AB339" s="14" t="s">
        <v>3887</v>
      </c>
    </row>
    <row r="340" spans="1:29" hidden="1" x14ac:dyDescent="0.3">
      <c r="A340" s="13" t="s">
        <v>49</v>
      </c>
      <c r="B340" s="13" t="s">
        <v>493</v>
      </c>
      <c r="C340" s="13" t="s">
        <v>494</v>
      </c>
      <c r="D340" s="13" t="s">
        <v>492</v>
      </c>
      <c r="E340" s="13" t="s">
        <v>496</v>
      </c>
      <c r="F340" s="13" t="s">
        <v>495</v>
      </c>
      <c r="G340" s="13" t="s">
        <v>497</v>
      </c>
      <c r="J340" s="13" t="s">
        <v>52</v>
      </c>
      <c r="K340" s="13" t="s">
        <v>25</v>
      </c>
      <c r="L340" s="13" t="s">
        <v>498</v>
      </c>
      <c r="M340" s="14" t="s">
        <v>3804</v>
      </c>
      <c r="N340" s="13"/>
      <c r="O340" s="13" t="s">
        <v>31</v>
      </c>
      <c r="P340" s="13"/>
      <c r="Q340" s="13"/>
      <c r="R340" s="13"/>
      <c r="S340" s="17">
        <v>44635</v>
      </c>
      <c r="T340" s="15">
        <v>2022</v>
      </c>
      <c r="V340" s="13" t="s">
        <v>29</v>
      </c>
      <c r="X340" s="14">
        <v>5</v>
      </c>
      <c r="Y340" s="14"/>
      <c r="Z340" s="14" t="s">
        <v>3828</v>
      </c>
      <c r="AA340" s="14" t="s">
        <v>3807</v>
      </c>
      <c r="AB340" s="14" t="s">
        <v>3888</v>
      </c>
    </row>
    <row r="341" spans="1:29" ht="27.6" hidden="1" x14ac:dyDescent="0.3">
      <c r="A341" s="13" t="s">
        <v>49</v>
      </c>
      <c r="B341" s="13" t="s">
        <v>2285</v>
      </c>
      <c r="C341" s="13" t="s">
        <v>2286</v>
      </c>
      <c r="D341" s="13" t="s">
        <v>2284</v>
      </c>
      <c r="E341" s="13" t="s">
        <v>2289</v>
      </c>
      <c r="F341" s="13" t="s">
        <v>2288</v>
      </c>
      <c r="G341" s="13" t="s">
        <v>2290</v>
      </c>
      <c r="H341" s="13" t="s">
        <v>2287</v>
      </c>
      <c r="I341" s="13" t="s">
        <v>191</v>
      </c>
      <c r="J341" s="13" t="s">
        <v>52</v>
      </c>
      <c r="K341" s="13" t="s">
        <v>25</v>
      </c>
      <c r="L341" s="13" t="s">
        <v>2291</v>
      </c>
      <c r="M341" s="14" t="s">
        <v>3804</v>
      </c>
      <c r="N341" s="13"/>
      <c r="O341" s="13" t="s">
        <v>31</v>
      </c>
      <c r="P341" s="13"/>
      <c r="Q341" s="13"/>
      <c r="R341" s="13"/>
      <c r="S341" s="17">
        <v>44635</v>
      </c>
      <c r="T341" s="15">
        <v>2022</v>
      </c>
      <c r="V341" s="13" t="s">
        <v>29</v>
      </c>
      <c r="X341" s="14">
        <v>5</v>
      </c>
      <c r="Y341" s="14"/>
      <c r="Z341" s="14" t="s">
        <v>3835</v>
      </c>
      <c r="AA341" s="14" t="s">
        <v>3817</v>
      </c>
      <c r="AB341" s="14" t="s">
        <v>3884</v>
      </c>
    </row>
    <row r="342" spans="1:29" hidden="1" x14ac:dyDescent="0.3">
      <c r="B342" s="13" t="s">
        <v>2136</v>
      </c>
      <c r="C342" s="13" t="s">
        <v>320</v>
      </c>
      <c r="D342" s="13" t="s">
        <v>2135</v>
      </c>
      <c r="E342" s="13" t="s">
        <v>2140</v>
      </c>
      <c r="F342" s="13" t="s">
        <v>2139</v>
      </c>
      <c r="H342" s="13" t="s">
        <v>2137</v>
      </c>
      <c r="I342" s="13" t="s">
        <v>2138</v>
      </c>
      <c r="K342" s="13" t="s">
        <v>25</v>
      </c>
      <c r="L342" s="13" t="s">
        <v>2141</v>
      </c>
      <c r="M342" s="14" t="s">
        <v>141</v>
      </c>
      <c r="N342" s="13"/>
      <c r="O342" s="13" t="s">
        <v>31</v>
      </c>
      <c r="P342" s="13"/>
      <c r="Q342" s="13"/>
      <c r="R342" s="13"/>
      <c r="S342" s="17">
        <v>44635</v>
      </c>
      <c r="T342" s="15">
        <v>2022</v>
      </c>
      <c r="V342" s="13" t="s">
        <v>29</v>
      </c>
      <c r="X342" s="14">
        <v>5</v>
      </c>
      <c r="Y342" s="14"/>
      <c r="Z342" s="14" t="s">
        <v>3828</v>
      </c>
      <c r="AA342" s="14" t="s">
        <v>3819</v>
      </c>
      <c r="AB342" s="14" t="s">
        <v>3888</v>
      </c>
    </row>
    <row r="343" spans="1:29" hidden="1" x14ac:dyDescent="0.3">
      <c r="B343" s="13" t="s">
        <v>3196</v>
      </c>
      <c r="C343" s="13" t="s">
        <v>2214</v>
      </c>
      <c r="D343" s="13" t="s">
        <v>3195</v>
      </c>
      <c r="E343" s="13" t="s">
        <v>3200</v>
      </c>
      <c r="F343" s="13" t="s">
        <v>3199</v>
      </c>
      <c r="H343" s="13" t="s">
        <v>3197</v>
      </c>
      <c r="I343" s="13" t="s">
        <v>3198</v>
      </c>
      <c r="K343" s="13" t="s">
        <v>25</v>
      </c>
      <c r="L343" s="13" t="s">
        <v>3201</v>
      </c>
      <c r="M343" s="14" t="s">
        <v>141</v>
      </c>
      <c r="N343" s="13"/>
      <c r="O343" s="13" t="s">
        <v>31</v>
      </c>
      <c r="P343" s="13"/>
      <c r="Q343" s="13"/>
      <c r="R343" s="13"/>
      <c r="S343" s="17">
        <v>44635</v>
      </c>
      <c r="T343" s="15">
        <v>2022</v>
      </c>
      <c r="V343" s="13" t="s">
        <v>29</v>
      </c>
      <c r="X343" s="14">
        <v>50</v>
      </c>
      <c r="Y343" s="14"/>
      <c r="Z343" s="14" t="s">
        <v>3835</v>
      </c>
      <c r="AA343" s="14" t="s">
        <v>3817</v>
      </c>
      <c r="AB343" s="14" t="s">
        <v>3884</v>
      </c>
    </row>
    <row r="344" spans="1:29" hidden="1" x14ac:dyDescent="0.3">
      <c r="B344" s="13" t="s">
        <v>3244</v>
      </c>
      <c r="C344" s="13" t="s">
        <v>2214</v>
      </c>
      <c r="D344" s="13" t="s">
        <v>3243</v>
      </c>
      <c r="E344" s="13" t="s">
        <v>3248</v>
      </c>
      <c r="F344" s="13" t="s">
        <v>3247</v>
      </c>
      <c r="H344" s="13" t="s">
        <v>3245</v>
      </c>
      <c r="I344" s="13" t="s">
        <v>3246</v>
      </c>
      <c r="K344" s="13" t="s">
        <v>25</v>
      </c>
      <c r="L344" s="13" t="s">
        <v>3249</v>
      </c>
      <c r="M344" s="14" t="s">
        <v>141</v>
      </c>
      <c r="N344" s="13"/>
      <c r="O344" s="13" t="s">
        <v>31</v>
      </c>
      <c r="P344" s="13"/>
      <c r="Q344" s="13"/>
      <c r="R344" s="13"/>
      <c r="S344" s="17">
        <v>44635</v>
      </c>
      <c r="T344" s="15">
        <v>2022</v>
      </c>
      <c r="V344" s="13" t="s">
        <v>29</v>
      </c>
      <c r="X344" s="14">
        <v>5</v>
      </c>
      <c r="Y344" s="14"/>
      <c r="Z344" s="14" t="s">
        <v>3835</v>
      </c>
      <c r="AA344" s="14" t="s">
        <v>3813</v>
      </c>
      <c r="AB344" s="14" t="s">
        <v>3884</v>
      </c>
    </row>
    <row r="345" spans="1:29" hidden="1" x14ac:dyDescent="0.3">
      <c r="B345" s="13" t="s">
        <v>3560</v>
      </c>
      <c r="C345" s="13" t="s">
        <v>3566</v>
      </c>
      <c r="D345" s="13" t="s">
        <v>3565</v>
      </c>
      <c r="E345" s="13" t="s">
        <v>3568</v>
      </c>
      <c r="F345" s="13" t="s">
        <v>3567</v>
      </c>
      <c r="G345" s="13" t="s">
        <v>3569</v>
      </c>
      <c r="J345" s="13" t="s">
        <v>72</v>
      </c>
      <c r="K345" s="13" t="s">
        <v>25</v>
      </c>
      <c r="L345" s="13" t="s">
        <v>3570</v>
      </c>
      <c r="M345" s="14" t="s">
        <v>141</v>
      </c>
      <c r="N345" s="13"/>
      <c r="O345" s="13" t="s">
        <v>31</v>
      </c>
      <c r="P345" s="13"/>
      <c r="Q345" s="13"/>
      <c r="R345" s="13"/>
      <c r="S345" s="17">
        <v>44635</v>
      </c>
      <c r="T345" s="15">
        <v>2022</v>
      </c>
      <c r="U345" s="13" t="s">
        <v>45</v>
      </c>
      <c r="V345" s="13" t="s">
        <v>29</v>
      </c>
      <c r="X345" s="14">
        <v>5</v>
      </c>
      <c r="Y345" s="14"/>
      <c r="Z345" s="14" t="s">
        <v>3835</v>
      </c>
      <c r="AA345" s="14" t="s">
        <v>3877</v>
      </c>
      <c r="AB345" s="14" t="s">
        <v>3884</v>
      </c>
    </row>
    <row r="346" spans="1:29" ht="27.6" hidden="1" x14ac:dyDescent="0.3">
      <c r="A346" s="13" t="s">
        <v>22</v>
      </c>
      <c r="B346" s="13" t="s">
        <v>1590</v>
      </c>
      <c r="C346" s="13" t="s">
        <v>423</v>
      </c>
      <c r="D346" s="13" t="s">
        <v>1589</v>
      </c>
      <c r="E346" s="13" t="s">
        <v>1592</v>
      </c>
      <c r="F346" s="13" t="s">
        <v>1591</v>
      </c>
      <c r="G346" s="13" t="s">
        <v>1593</v>
      </c>
      <c r="K346" s="13" t="s">
        <v>25</v>
      </c>
      <c r="L346" s="13" t="s">
        <v>1595</v>
      </c>
      <c r="M346" s="14" t="s">
        <v>141</v>
      </c>
      <c r="N346" s="13"/>
      <c r="O346" s="13" t="s">
        <v>31</v>
      </c>
      <c r="P346" s="13"/>
      <c r="Q346" s="13"/>
      <c r="R346" s="13"/>
      <c r="S346" s="17">
        <v>44636</v>
      </c>
      <c r="T346" s="15">
        <v>2022</v>
      </c>
      <c r="V346" s="13" t="s">
        <v>29</v>
      </c>
      <c r="W346" s="13" t="s">
        <v>1594</v>
      </c>
      <c r="X346" s="14">
        <v>5</v>
      </c>
      <c r="Y346" s="14"/>
      <c r="Z346" s="14" t="s">
        <v>3835</v>
      </c>
      <c r="AA346" s="14" t="s">
        <v>3877</v>
      </c>
      <c r="AB346" s="14" t="s">
        <v>3884</v>
      </c>
    </row>
    <row r="347" spans="1:29" hidden="1" x14ac:dyDescent="0.3">
      <c r="A347" s="13" t="s">
        <v>100</v>
      </c>
      <c r="B347" s="13" t="s">
        <v>308</v>
      </c>
      <c r="C347" s="13" t="s">
        <v>309</v>
      </c>
      <c r="D347" s="13" t="s">
        <v>307</v>
      </c>
      <c r="E347" s="13" t="s">
        <v>315</v>
      </c>
      <c r="F347" s="13" t="s">
        <v>314</v>
      </c>
      <c r="G347" s="13" t="s">
        <v>316</v>
      </c>
      <c r="H347" s="13" t="s">
        <v>310</v>
      </c>
      <c r="I347" s="13" t="s">
        <v>311</v>
      </c>
      <c r="J347" s="13" t="s">
        <v>312</v>
      </c>
      <c r="K347" s="13" t="s">
        <v>313</v>
      </c>
      <c r="L347" s="13" t="s">
        <v>317</v>
      </c>
      <c r="M347" s="14" t="s">
        <v>141</v>
      </c>
      <c r="N347" s="13"/>
      <c r="O347" s="13" t="s">
        <v>31</v>
      </c>
      <c r="P347" s="13"/>
      <c r="Q347" s="13"/>
      <c r="R347" s="13"/>
      <c r="S347" s="17">
        <v>44636</v>
      </c>
      <c r="T347" s="15">
        <v>2022</v>
      </c>
      <c r="V347" s="13" t="s">
        <v>29</v>
      </c>
      <c r="X347" s="14">
        <v>5</v>
      </c>
      <c r="Y347" s="14"/>
      <c r="Z347" s="14" t="s">
        <v>3828</v>
      </c>
      <c r="AA347" s="14" t="s">
        <v>3807</v>
      </c>
      <c r="AB347" s="14" t="s">
        <v>3888</v>
      </c>
      <c r="AC347" s="13"/>
    </row>
    <row r="348" spans="1:29" hidden="1" x14ac:dyDescent="0.3">
      <c r="A348" s="13" t="s">
        <v>22</v>
      </c>
      <c r="B348" s="13" t="s">
        <v>594</v>
      </c>
      <c r="C348" s="13" t="s">
        <v>595</v>
      </c>
      <c r="D348" s="13" t="s">
        <v>593</v>
      </c>
      <c r="E348" s="13" t="s">
        <v>599</v>
      </c>
      <c r="F348" s="13" t="s">
        <v>598</v>
      </c>
      <c r="G348" s="13" t="s">
        <v>600</v>
      </c>
      <c r="H348" s="13" t="s">
        <v>596</v>
      </c>
      <c r="I348" s="13" t="s">
        <v>597</v>
      </c>
      <c r="J348" s="13" t="s">
        <v>488</v>
      </c>
      <c r="K348" s="13" t="s">
        <v>25</v>
      </c>
      <c r="L348" s="13" t="s">
        <v>601</v>
      </c>
      <c r="M348" s="14" t="s">
        <v>141</v>
      </c>
      <c r="N348" s="13"/>
      <c r="O348" s="13" t="s">
        <v>31</v>
      </c>
      <c r="P348" s="13"/>
      <c r="Q348" s="13"/>
      <c r="R348" s="13"/>
      <c r="S348" s="17">
        <v>44637</v>
      </c>
      <c r="T348" s="15">
        <v>2022</v>
      </c>
      <c r="V348" s="13" t="s">
        <v>29</v>
      </c>
      <c r="X348" s="14">
        <v>5</v>
      </c>
      <c r="Y348" s="14"/>
      <c r="Z348" s="14" t="s">
        <v>3835</v>
      </c>
      <c r="AA348" s="14" t="s">
        <v>3817</v>
      </c>
      <c r="AB348" s="14" t="s">
        <v>3884</v>
      </c>
    </row>
    <row r="349" spans="1:29" hidden="1" x14ac:dyDescent="0.3">
      <c r="B349" s="13" t="s">
        <v>657</v>
      </c>
      <c r="C349" s="13" t="s">
        <v>390</v>
      </c>
      <c r="D349" s="13" t="s">
        <v>656</v>
      </c>
      <c r="E349" s="13" t="s">
        <v>662</v>
      </c>
      <c r="F349" s="13" t="s">
        <v>661</v>
      </c>
      <c r="G349" s="13" t="s">
        <v>663</v>
      </c>
      <c r="H349" s="13" t="s">
        <v>658</v>
      </c>
      <c r="I349" s="13" t="s">
        <v>659</v>
      </c>
      <c r="J349" s="13" t="s">
        <v>660</v>
      </c>
      <c r="K349" s="13" t="s">
        <v>25</v>
      </c>
      <c r="L349" s="13" t="s">
        <v>664</v>
      </c>
      <c r="M349" s="14" t="s">
        <v>3804</v>
      </c>
      <c r="N349" s="13"/>
      <c r="O349" s="13" t="s">
        <v>31</v>
      </c>
      <c r="P349" s="13"/>
      <c r="Q349" s="13"/>
      <c r="R349" s="13"/>
      <c r="S349" s="17">
        <v>44637</v>
      </c>
      <c r="T349" s="15">
        <v>2022</v>
      </c>
      <c r="V349" s="13" t="s">
        <v>29</v>
      </c>
      <c r="X349" s="14">
        <v>10</v>
      </c>
      <c r="Y349" s="14"/>
      <c r="Z349" s="14" t="s">
        <v>3835</v>
      </c>
      <c r="AA349" s="14" t="s">
        <v>3817</v>
      </c>
      <c r="AB349" s="14" t="s">
        <v>3884</v>
      </c>
    </row>
    <row r="350" spans="1:29" hidden="1" x14ac:dyDescent="0.3">
      <c r="A350" s="13" t="s">
        <v>49</v>
      </c>
      <c r="B350" s="13" t="s">
        <v>2396</v>
      </c>
      <c r="C350" s="13" t="s">
        <v>2397</v>
      </c>
      <c r="D350" s="13" t="s">
        <v>2395</v>
      </c>
      <c r="E350" s="13" t="s">
        <v>2401</v>
      </c>
      <c r="F350" s="13" t="s">
        <v>2400</v>
      </c>
      <c r="G350" s="13" t="s">
        <v>2402</v>
      </c>
      <c r="H350" s="13" t="s">
        <v>2398</v>
      </c>
      <c r="I350" s="13" t="s">
        <v>2399</v>
      </c>
      <c r="J350" s="13" t="s">
        <v>52</v>
      </c>
      <c r="K350" s="13" t="s">
        <v>25</v>
      </c>
      <c r="L350" s="13" t="s">
        <v>520</v>
      </c>
      <c r="M350" s="14" t="s">
        <v>141</v>
      </c>
      <c r="N350" s="13"/>
      <c r="O350" s="13" t="s">
        <v>31</v>
      </c>
      <c r="P350" s="13"/>
      <c r="Q350" s="13"/>
      <c r="R350" s="13"/>
      <c r="S350" s="17">
        <v>44638</v>
      </c>
      <c r="T350" s="15">
        <v>2022</v>
      </c>
      <c r="V350" s="13" t="s">
        <v>29</v>
      </c>
      <c r="X350" s="14">
        <v>20</v>
      </c>
      <c r="Y350" s="14"/>
      <c r="Z350" s="14" t="s">
        <v>2148</v>
      </c>
      <c r="AA350" s="14" t="s">
        <v>3818</v>
      </c>
      <c r="AB350" s="14" t="s">
        <v>3890</v>
      </c>
    </row>
    <row r="351" spans="1:29" hidden="1" x14ac:dyDescent="0.3">
      <c r="A351" s="13" t="s">
        <v>100</v>
      </c>
      <c r="B351" s="13" t="s">
        <v>1093</v>
      </c>
      <c r="C351" s="13" t="s">
        <v>1094</v>
      </c>
      <c r="D351" s="13" t="s">
        <v>1092</v>
      </c>
      <c r="E351" s="13" t="s">
        <v>1098</v>
      </c>
      <c r="F351" s="13" t="s">
        <v>1097</v>
      </c>
      <c r="H351" s="13" t="s">
        <v>1095</v>
      </c>
      <c r="I351" s="13" t="s">
        <v>1096</v>
      </c>
      <c r="J351" s="13" t="s">
        <v>52</v>
      </c>
      <c r="K351" s="13" t="s">
        <v>25</v>
      </c>
      <c r="L351" s="13" t="s">
        <v>1099</v>
      </c>
      <c r="M351" s="14" t="s">
        <v>3804</v>
      </c>
      <c r="N351" s="13"/>
      <c r="O351" s="13" t="s">
        <v>31</v>
      </c>
      <c r="P351" s="13"/>
      <c r="Q351" s="13"/>
      <c r="R351" s="13"/>
      <c r="S351" s="17">
        <v>44641</v>
      </c>
      <c r="T351" s="15">
        <v>2022</v>
      </c>
      <c r="V351" s="13" t="s">
        <v>29</v>
      </c>
      <c r="X351" s="14">
        <v>5</v>
      </c>
      <c r="Y351" s="14"/>
      <c r="Z351" s="14" t="s">
        <v>3828</v>
      </c>
      <c r="AA351" s="14" t="s">
        <v>3821</v>
      </c>
      <c r="AB351" s="14" t="s">
        <v>3885</v>
      </c>
    </row>
    <row r="352" spans="1:29" hidden="1" x14ac:dyDescent="0.3">
      <c r="A352" s="13" t="s">
        <v>100</v>
      </c>
      <c r="B352" s="13" t="s">
        <v>379</v>
      </c>
      <c r="C352" s="13" t="s">
        <v>124</v>
      </c>
      <c r="D352" s="13" t="s">
        <v>378</v>
      </c>
      <c r="E352" s="13" t="s">
        <v>385</v>
      </c>
      <c r="F352" s="13" t="s">
        <v>384</v>
      </c>
      <c r="G352" s="13" t="s">
        <v>386</v>
      </c>
      <c r="H352" s="13" t="s">
        <v>380</v>
      </c>
      <c r="I352" s="13" t="s">
        <v>381</v>
      </c>
      <c r="J352" s="13" t="s">
        <v>382</v>
      </c>
      <c r="K352" s="13" t="s">
        <v>383</v>
      </c>
      <c r="L352" s="13" t="s">
        <v>387</v>
      </c>
      <c r="M352" s="14" t="s">
        <v>141</v>
      </c>
      <c r="N352" s="13"/>
      <c r="O352" s="13" t="s">
        <v>31</v>
      </c>
      <c r="P352" s="13"/>
      <c r="Q352" s="13"/>
      <c r="R352" s="13"/>
      <c r="S352" s="17">
        <v>44642</v>
      </c>
      <c r="T352" s="15">
        <v>2022</v>
      </c>
      <c r="V352" s="13" t="s">
        <v>29</v>
      </c>
      <c r="X352" s="14">
        <v>5</v>
      </c>
      <c r="Y352" s="14"/>
      <c r="Z352" s="14" t="s">
        <v>3828</v>
      </c>
      <c r="AA352" s="14" t="s">
        <v>3812</v>
      </c>
      <c r="AB352" s="14" t="s">
        <v>3887</v>
      </c>
    </row>
    <row r="353" spans="1:30" hidden="1" x14ac:dyDescent="0.3">
      <c r="A353" s="13" t="s">
        <v>100</v>
      </c>
      <c r="B353" s="13" t="s">
        <v>1278</v>
      </c>
      <c r="C353" s="13" t="s">
        <v>1279</v>
      </c>
      <c r="D353" s="13" t="s">
        <v>1277</v>
      </c>
      <c r="E353" s="13" t="s">
        <v>1282</v>
      </c>
      <c r="F353" s="34" t="s">
        <v>5285</v>
      </c>
      <c r="G353" s="13" t="s">
        <v>1283</v>
      </c>
      <c r="H353" s="13" t="s">
        <v>1280</v>
      </c>
      <c r="I353" s="13" t="s">
        <v>1281</v>
      </c>
      <c r="J353" s="13" t="s">
        <v>72</v>
      </c>
      <c r="K353" s="13" t="s">
        <v>39</v>
      </c>
      <c r="L353" s="13" t="s">
        <v>3841</v>
      </c>
      <c r="M353" s="14" t="s">
        <v>141</v>
      </c>
      <c r="N353" s="13"/>
      <c r="O353" s="13" t="s">
        <v>31</v>
      </c>
      <c r="P353" s="13"/>
      <c r="Q353" s="13"/>
      <c r="R353" s="13"/>
      <c r="S353" s="17">
        <v>44644</v>
      </c>
      <c r="T353" s="15">
        <v>2022</v>
      </c>
      <c r="V353" s="13" t="s">
        <v>29</v>
      </c>
      <c r="X353" s="14">
        <v>5</v>
      </c>
      <c r="Y353" s="14"/>
      <c r="Z353" s="14" t="s">
        <v>3828</v>
      </c>
      <c r="AA353" s="14" t="s">
        <v>3808</v>
      </c>
      <c r="AB353" s="14" t="s">
        <v>3888</v>
      </c>
      <c r="AC353" s="13"/>
    </row>
    <row r="354" spans="1:30" hidden="1" x14ac:dyDescent="0.3">
      <c r="A354" s="13" t="s">
        <v>460</v>
      </c>
      <c r="B354" s="13" t="s">
        <v>1337</v>
      </c>
      <c r="C354" s="13" t="s">
        <v>1338</v>
      </c>
      <c r="D354" s="13" t="s">
        <v>1336</v>
      </c>
      <c r="F354" s="13" t="s">
        <v>1341</v>
      </c>
      <c r="H354" s="13" t="s">
        <v>1339</v>
      </c>
      <c r="I354" s="13" t="s">
        <v>1340</v>
      </c>
      <c r="J354" s="13" t="s">
        <v>72</v>
      </c>
      <c r="K354" s="13" t="s">
        <v>39</v>
      </c>
      <c r="L354" s="13" t="s">
        <v>1342</v>
      </c>
      <c r="M354" s="14" t="s">
        <v>3804</v>
      </c>
      <c r="N354" s="13"/>
      <c r="O354" s="13" t="s">
        <v>31</v>
      </c>
      <c r="P354" s="13"/>
      <c r="Q354" s="13"/>
      <c r="R354" s="13"/>
      <c r="S354" s="17">
        <v>44648</v>
      </c>
      <c r="T354" s="15">
        <v>2022</v>
      </c>
      <c r="V354" s="13" t="s">
        <v>29</v>
      </c>
      <c r="X354" s="14">
        <v>10</v>
      </c>
      <c r="Y354" s="14"/>
      <c r="Z354" s="14" t="s">
        <v>3870</v>
      </c>
      <c r="AA354" s="14" t="s">
        <v>3808</v>
      </c>
      <c r="AB354" s="14" t="s">
        <v>3886</v>
      </c>
    </row>
    <row r="355" spans="1:30" hidden="1" x14ac:dyDescent="0.3">
      <c r="A355" s="13" t="s">
        <v>22</v>
      </c>
      <c r="B355" s="13" t="s">
        <v>776</v>
      </c>
      <c r="C355" s="13" t="s">
        <v>320</v>
      </c>
      <c r="D355" s="13" t="s">
        <v>775</v>
      </c>
      <c r="F355" s="13" t="s">
        <v>779</v>
      </c>
      <c r="H355" s="13" t="s">
        <v>3866</v>
      </c>
      <c r="I355" s="13" t="s">
        <v>777</v>
      </c>
      <c r="J355" s="13" t="s">
        <v>778</v>
      </c>
      <c r="K355" s="13" t="s">
        <v>39</v>
      </c>
      <c r="L355" s="13" t="s">
        <v>520</v>
      </c>
      <c r="M355" s="14" t="s">
        <v>3804</v>
      </c>
      <c r="N355" s="13"/>
      <c r="O355" s="13" t="s">
        <v>31</v>
      </c>
      <c r="P355" s="13"/>
      <c r="Q355" s="13"/>
      <c r="R355" s="13"/>
      <c r="S355" s="17">
        <v>44648</v>
      </c>
      <c r="T355" s="15">
        <v>2022</v>
      </c>
      <c r="V355" s="13" t="s">
        <v>29</v>
      </c>
      <c r="X355" s="14">
        <v>10</v>
      </c>
      <c r="Y355" s="14"/>
      <c r="Z355" s="14" t="s">
        <v>2148</v>
      </c>
      <c r="AA355" s="14" t="s">
        <v>3818</v>
      </c>
      <c r="AB355" s="14" t="s">
        <v>3890</v>
      </c>
    </row>
    <row r="356" spans="1:30" hidden="1" x14ac:dyDescent="0.3">
      <c r="A356" s="13" t="s">
        <v>22</v>
      </c>
      <c r="B356" s="13" t="s">
        <v>776</v>
      </c>
      <c r="C356" s="13" t="s">
        <v>354</v>
      </c>
      <c r="D356" s="13" t="s">
        <v>3878</v>
      </c>
      <c r="F356" s="13" t="s">
        <v>795</v>
      </c>
      <c r="H356" s="13" t="s">
        <v>793</v>
      </c>
      <c r="I356" s="13" t="s">
        <v>794</v>
      </c>
      <c r="J356" s="13" t="s">
        <v>72</v>
      </c>
      <c r="K356" s="13" t="s">
        <v>39</v>
      </c>
      <c r="L356" s="13" t="s">
        <v>796</v>
      </c>
      <c r="M356" s="14" t="s">
        <v>3804</v>
      </c>
      <c r="N356" s="13"/>
      <c r="O356" s="13" t="s">
        <v>31</v>
      </c>
      <c r="P356" s="13"/>
      <c r="Q356" s="13"/>
      <c r="R356" s="13"/>
      <c r="S356" s="17">
        <v>44648</v>
      </c>
      <c r="T356" s="15">
        <v>2022</v>
      </c>
      <c r="V356" s="13" t="s">
        <v>29</v>
      </c>
      <c r="X356" s="14">
        <v>10</v>
      </c>
      <c r="Y356" s="14"/>
      <c r="Z356" s="14" t="s">
        <v>3835</v>
      </c>
      <c r="AA356" s="14" t="s">
        <v>3874</v>
      </c>
      <c r="AB356" s="14" t="s">
        <v>3884</v>
      </c>
    </row>
    <row r="357" spans="1:30" hidden="1" x14ac:dyDescent="0.3">
      <c r="A357" s="13" t="s">
        <v>100</v>
      </c>
      <c r="B357" s="13" t="s">
        <v>1360</v>
      </c>
      <c r="C357" s="13" t="s">
        <v>397</v>
      </c>
      <c r="D357" s="13" t="s">
        <v>1368</v>
      </c>
      <c r="E357" s="13" t="s">
        <v>1373</v>
      </c>
      <c r="F357" s="13" t="s">
        <v>1372</v>
      </c>
      <c r="G357" s="13" t="s">
        <v>1374</v>
      </c>
      <c r="H357" s="13" t="s">
        <v>1369</v>
      </c>
      <c r="I357" s="13" t="s">
        <v>1370</v>
      </c>
      <c r="J357" s="13" t="s">
        <v>1371</v>
      </c>
      <c r="K357" s="13" t="s">
        <v>39</v>
      </c>
      <c r="L357" s="13" t="s">
        <v>1375</v>
      </c>
      <c r="M357" s="14" t="s">
        <v>3804</v>
      </c>
      <c r="N357" s="13"/>
      <c r="O357" s="13" t="s">
        <v>31</v>
      </c>
      <c r="P357" s="13"/>
      <c r="Q357" s="13"/>
      <c r="R357" s="13"/>
      <c r="S357" s="17">
        <v>44648</v>
      </c>
      <c r="T357" s="15">
        <v>2022</v>
      </c>
      <c r="V357" s="13" t="s">
        <v>29</v>
      </c>
      <c r="X357" s="14">
        <v>10</v>
      </c>
      <c r="Y357" s="14"/>
      <c r="Z357" s="14" t="s">
        <v>3828</v>
      </c>
      <c r="AA357" s="14" t="s">
        <v>3808</v>
      </c>
      <c r="AB357" s="14" t="s">
        <v>3885</v>
      </c>
    </row>
    <row r="358" spans="1:30" hidden="1" x14ac:dyDescent="0.3">
      <c r="A358" s="13" t="s">
        <v>100</v>
      </c>
      <c r="B358" s="13" t="s">
        <v>3173</v>
      </c>
      <c r="C358" s="13" t="s">
        <v>124</v>
      </c>
      <c r="D358" s="13" t="s">
        <v>3172</v>
      </c>
      <c r="E358" s="13" t="s">
        <v>3177</v>
      </c>
      <c r="F358" s="13" t="s">
        <v>3176</v>
      </c>
      <c r="G358" s="13" t="s">
        <v>3178</v>
      </c>
      <c r="H358" s="13" t="s">
        <v>3174</v>
      </c>
      <c r="I358" s="13" t="s">
        <v>3175</v>
      </c>
      <c r="J358" s="13" t="s">
        <v>2090</v>
      </c>
      <c r="K358" s="13" t="s">
        <v>383</v>
      </c>
      <c r="L358" s="13" t="s">
        <v>3179</v>
      </c>
      <c r="M358" s="14" t="s">
        <v>3804</v>
      </c>
      <c r="N358" s="13"/>
      <c r="O358" s="13" t="s">
        <v>31</v>
      </c>
      <c r="P358" s="13"/>
      <c r="Q358" s="13"/>
      <c r="R358" s="13"/>
      <c r="S358" s="17">
        <v>44648</v>
      </c>
      <c r="T358" s="15">
        <v>2022</v>
      </c>
      <c r="V358" s="13" t="s">
        <v>29</v>
      </c>
      <c r="X358" s="14">
        <v>5</v>
      </c>
      <c r="Y358" s="14"/>
      <c r="Z358" s="14" t="s">
        <v>3828</v>
      </c>
      <c r="AA358" s="14" t="s">
        <v>3872</v>
      </c>
      <c r="AB358" s="14" t="s">
        <v>3887</v>
      </c>
    </row>
    <row r="359" spans="1:30" hidden="1" x14ac:dyDescent="0.3">
      <c r="A359" s="13" t="s">
        <v>100</v>
      </c>
      <c r="B359" s="13" t="s">
        <v>1139</v>
      </c>
      <c r="C359" s="13" t="s">
        <v>1140</v>
      </c>
      <c r="D359" s="13" t="s">
        <v>1138</v>
      </c>
      <c r="E359" s="13" t="s">
        <v>1142</v>
      </c>
      <c r="F359" s="13" t="s">
        <v>1141</v>
      </c>
      <c r="G359" s="13" t="s">
        <v>1143</v>
      </c>
      <c r="J359" s="13" t="s">
        <v>72</v>
      </c>
      <c r="K359" s="13" t="s">
        <v>39</v>
      </c>
      <c r="L359" s="13" t="s">
        <v>1144</v>
      </c>
      <c r="M359" s="14" t="s">
        <v>141</v>
      </c>
      <c r="N359" s="13"/>
      <c r="O359" s="13" t="s">
        <v>31</v>
      </c>
      <c r="P359" s="13"/>
      <c r="Q359" s="13"/>
      <c r="R359" s="13"/>
      <c r="S359" s="17">
        <v>44649</v>
      </c>
      <c r="T359" s="15">
        <v>2022</v>
      </c>
      <c r="V359" s="13" t="s">
        <v>29</v>
      </c>
      <c r="X359" s="14">
        <v>5</v>
      </c>
      <c r="Y359" s="14"/>
      <c r="Z359" s="14" t="s">
        <v>3828</v>
      </c>
      <c r="AA359" s="14" t="s">
        <v>3809</v>
      </c>
      <c r="AB359" s="14" t="s">
        <v>3888</v>
      </c>
    </row>
    <row r="360" spans="1:30" ht="27.6" hidden="1" x14ac:dyDescent="0.3">
      <c r="B360" s="13" t="s">
        <v>1693</v>
      </c>
      <c r="C360" s="13" t="s">
        <v>181</v>
      </c>
      <c r="D360" s="13" t="s">
        <v>1692</v>
      </c>
      <c r="E360" s="13" t="s">
        <v>1696</v>
      </c>
      <c r="F360" s="13" t="s">
        <v>1695</v>
      </c>
      <c r="H360" s="13" t="s">
        <v>1694</v>
      </c>
      <c r="J360" s="13" t="s">
        <v>1540</v>
      </c>
      <c r="K360" s="13" t="s">
        <v>39</v>
      </c>
      <c r="L360" s="13" t="s">
        <v>1697</v>
      </c>
      <c r="M360" s="14" t="s">
        <v>141</v>
      </c>
      <c r="O360" s="13" t="s">
        <v>31</v>
      </c>
      <c r="P360" s="13"/>
      <c r="Q360" s="13"/>
      <c r="R360" s="13"/>
      <c r="S360" s="17">
        <v>44649</v>
      </c>
      <c r="T360" s="15">
        <v>2022</v>
      </c>
      <c r="U360" s="13" t="s">
        <v>45</v>
      </c>
      <c r="V360" s="13" t="s">
        <v>29</v>
      </c>
      <c r="X360" s="14">
        <v>5</v>
      </c>
      <c r="Y360" s="16">
        <v>45012</v>
      </c>
      <c r="Z360" s="14" t="s">
        <v>3835</v>
      </c>
      <c r="AA360" s="14" t="s">
        <v>3877</v>
      </c>
      <c r="AB360" s="14" t="s">
        <v>3884</v>
      </c>
      <c r="AD360" s="13" t="s">
        <v>53</v>
      </c>
    </row>
    <row r="361" spans="1:30" hidden="1" x14ac:dyDescent="0.3">
      <c r="B361" s="13" t="s">
        <v>2120</v>
      </c>
      <c r="C361" s="13" t="s">
        <v>354</v>
      </c>
      <c r="D361" s="13" t="s">
        <v>2119</v>
      </c>
      <c r="E361" s="13" t="s">
        <v>2124</v>
      </c>
      <c r="F361" s="13" t="s">
        <v>2123</v>
      </c>
      <c r="G361" s="13" t="s">
        <v>2125</v>
      </c>
      <c r="H361" s="13" t="s">
        <v>2121</v>
      </c>
      <c r="I361" s="13" t="s">
        <v>2122</v>
      </c>
      <c r="K361" s="13" t="s">
        <v>25</v>
      </c>
      <c r="L361" s="13" t="s">
        <v>2126</v>
      </c>
      <c r="M361" s="14" t="s">
        <v>3804</v>
      </c>
      <c r="N361" s="13"/>
      <c r="O361" s="13" t="s">
        <v>31</v>
      </c>
      <c r="P361" s="13"/>
      <c r="Q361" s="13"/>
      <c r="R361" s="13"/>
      <c r="S361" s="17">
        <v>44649</v>
      </c>
      <c r="T361" s="15">
        <v>2022</v>
      </c>
      <c r="V361" s="13" t="s">
        <v>29</v>
      </c>
      <c r="X361" s="14">
        <v>5</v>
      </c>
      <c r="Y361" s="14"/>
      <c r="Z361" s="14" t="s">
        <v>3835</v>
      </c>
      <c r="AA361" s="14" t="s">
        <v>3817</v>
      </c>
      <c r="AB361" s="14" t="s">
        <v>3884</v>
      </c>
    </row>
    <row r="362" spans="1:30" hidden="1" x14ac:dyDescent="0.3">
      <c r="B362" s="13" t="s">
        <v>684</v>
      </c>
      <c r="C362" s="13" t="s">
        <v>157</v>
      </c>
      <c r="D362" s="13" t="s">
        <v>683</v>
      </c>
      <c r="E362" s="13" t="s">
        <v>689</v>
      </c>
      <c r="F362" s="13" t="s">
        <v>688</v>
      </c>
      <c r="H362" s="13" t="s">
        <v>685</v>
      </c>
      <c r="I362" s="13" t="s">
        <v>686</v>
      </c>
      <c r="J362" s="13" t="s">
        <v>687</v>
      </c>
      <c r="K362" s="13" t="s">
        <v>39</v>
      </c>
      <c r="L362" s="13" t="s">
        <v>690</v>
      </c>
      <c r="M362" s="14" t="s">
        <v>141</v>
      </c>
      <c r="N362" s="13"/>
      <c r="O362" s="13" t="s">
        <v>31</v>
      </c>
      <c r="P362" s="13"/>
      <c r="Q362" s="13"/>
      <c r="R362" s="13"/>
      <c r="S362" s="17">
        <v>44651</v>
      </c>
      <c r="T362" s="15">
        <v>2022</v>
      </c>
      <c r="U362" s="13" t="s">
        <v>45</v>
      </c>
      <c r="V362" s="13" t="s">
        <v>29</v>
      </c>
      <c r="X362" s="14">
        <v>5</v>
      </c>
      <c r="Y362" s="14"/>
      <c r="Z362" s="14" t="s">
        <v>3828</v>
      </c>
      <c r="AA362" s="14" t="s">
        <v>3822</v>
      </c>
      <c r="AB362" s="14" t="s">
        <v>3887</v>
      </c>
    </row>
    <row r="363" spans="1:30" hidden="1" x14ac:dyDescent="0.3">
      <c r="B363" s="13" t="s">
        <v>1537</v>
      </c>
      <c r="C363" s="13" t="s">
        <v>557</v>
      </c>
      <c r="D363" s="13" t="s">
        <v>1570</v>
      </c>
      <c r="E363" s="13" t="s">
        <v>1573</v>
      </c>
      <c r="F363" s="13" t="s">
        <v>1572</v>
      </c>
      <c r="G363" s="13" t="s">
        <v>1574</v>
      </c>
      <c r="H363" s="13" t="s">
        <v>1571</v>
      </c>
      <c r="I363" s="13" t="s">
        <v>191</v>
      </c>
      <c r="J363" s="13" t="s">
        <v>52</v>
      </c>
      <c r="K363" s="13" t="s">
        <v>25</v>
      </c>
      <c r="L363" s="13" t="s">
        <v>1575</v>
      </c>
      <c r="M363" s="14" t="s">
        <v>141</v>
      </c>
      <c r="N363" s="13"/>
      <c r="O363" s="13" t="s">
        <v>31</v>
      </c>
      <c r="P363" s="13"/>
      <c r="Q363" s="13"/>
      <c r="R363" s="13"/>
      <c r="S363" s="35">
        <v>44656</v>
      </c>
      <c r="T363" s="15">
        <v>2022</v>
      </c>
      <c r="V363" s="13" t="s">
        <v>29</v>
      </c>
      <c r="X363" s="14">
        <v>5</v>
      </c>
      <c r="Y363" s="14"/>
      <c r="Z363" s="14" t="s">
        <v>3828</v>
      </c>
      <c r="AA363" s="14" t="s">
        <v>3809</v>
      </c>
      <c r="AB363" s="14" t="s">
        <v>3888</v>
      </c>
    </row>
    <row r="364" spans="1:30" ht="55.2" x14ac:dyDescent="0.3">
      <c r="A364" s="13" t="s">
        <v>125</v>
      </c>
      <c r="B364" s="13" t="s">
        <v>123</v>
      </c>
      <c r="C364" s="13" t="s">
        <v>124</v>
      </c>
      <c r="D364" s="13" t="s">
        <v>122</v>
      </c>
      <c r="E364" s="13" t="s">
        <v>131</v>
      </c>
      <c r="F364" s="13" t="s">
        <v>130</v>
      </c>
      <c r="G364" s="13" t="s">
        <v>132</v>
      </c>
      <c r="H364" s="13" t="s">
        <v>126</v>
      </c>
      <c r="I364" s="13" t="s">
        <v>127</v>
      </c>
      <c r="J364" s="13" t="s">
        <v>128</v>
      </c>
      <c r="K364" s="13" t="s">
        <v>129</v>
      </c>
      <c r="L364" s="13" t="s">
        <v>125</v>
      </c>
      <c r="M364" s="14" t="s">
        <v>3804</v>
      </c>
      <c r="N364" s="13"/>
      <c r="O364" s="13" t="s">
        <v>31</v>
      </c>
      <c r="P364" s="13"/>
      <c r="Q364" s="13"/>
      <c r="R364" s="13"/>
      <c r="S364" s="17" t="s">
        <v>133</v>
      </c>
      <c r="T364" s="15">
        <v>2022</v>
      </c>
      <c r="U364" s="13" t="s">
        <v>45</v>
      </c>
      <c r="V364" s="13" t="s">
        <v>29</v>
      </c>
      <c r="X364" s="14"/>
      <c r="Y364" s="16" t="s">
        <v>10081</v>
      </c>
      <c r="Z364" s="14" t="s">
        <v>3835</v>
      </c>
      <c r="AA364" s="14" t="s">
        <v>3814</v>
      </c>
      <c r="AB364" s="14" t="s">
        <v>3884</v>
      </c>
    </row>
    <row r="365" spans="1:30" ht="55.2" x14ac:dyDescent="0.3">
      <c r="A365" s="13" t="s">
        <v>2532</v>
      </c>
      <c r="B365" s="13" t="s">
        <v>2530</v>
      </c>
      <c r="C365" s="13" t="s">
        <v>2531</v>
      </c>
      <c r="D365" s="13" t="s">
        <v>2529</v>
      </c>
      <c r="E365" s="13" t="s">
        <v>2538</v>
      </c>
      <c r="F365" s="13" t="s">
        <v>2537</v>
      </c>
      <c r="G365" s="13" t="s">
        <v>2539</v>
      </c>
      <c r="H365" s="13" t="s">
        <v>2533</v>
      </c>
      <c r="I365" s="13" t="s">
        <v>2534</v>
      </c>
      <c r="J365" s="13" t="s">
        <v>2535</v>
      </c>
      <c r="K365" s="13" t="s">
        <v>2536</v>
      </c>
      <c r="L365" s="13" t="s">
        <v>2532</v>
      </c>
      <c r="M365" s="14" t="s">
        <v>3804</v>
      </c>
      <c r="N365" s="13"/>
      <c r="O365" s="13" t="s">
        <v>31</v>
      </c>
      <c r="P365" s="13"/>
      <c r="Q365" s="13"/>
      <c r="R365" s="13"/>
      <c r="S365" s="17" t="s">
        <v>2540</v>
      </c>
      <c r="T365" s="15">
        <v>2022</v>
      </c>
      <c r="U365" s="13" t="s">
        <v>45</v>
      </c>
      <c r="V365" s="13" t="s">
        <v>29</v>
      </c>
      <c r="X365" s="14"/>
      <c r="Y365" s="16" t="s">
        <v>10081</v>
      </c>
      <c r="Z365" s="14" t="s">
        <v>3828</v>
      </c>
      <c r="AA365" s="14" t="s">
        <v>3830</v>
      </c>
      <c r="AB365" s="14" t="s">
        <v>3887</v>
      </c>
    </row>
    <row r="366" spans="1:30" ht="55.2" hidden="1" x14ac:dyDescent="0.3">
      <c r="A366" s="13" t="s">
        <v>3462</v>
      </c>
      <c r="B366" s="13" t="s">
        <v>3461</v>
      </c>
      <c r="C366" s="13" t="s">
        <v>124</v>
      </c>
      <c r="D366" s="13" t="s">
        <v>3460</v>
      </c>
      <c r="E366" s="13" t="s">
        <v>3466</v>
      </c>
      <c r="F366" s="13" t="s">
        <v>3465</v>
      </c>
      <c r="G366" s="13" t="s">
        <v>3467</v>
      </c>
      <c r="H366" s="13" t="s">
        <v>3463</v>
      </c>
      <c r="I366" s="13" t="s">
        <v>3464</v>
      </c>
      <c r="J366" s="13" t="s">
        <v>72</v>
      </c>
      <c r="K366" s="13" t="s">
        <v>39</v>
      </c>
      <c r="L366" s="13" t="s">
        <v>3462</v>
      </c>
      <c r="M366" s="14" t="s">
        <v>141</v>
      </c>
      <c r="N366" s="13"/>
      <c r="O366" s="13" t="s">
        <v>31</v>
      </c>
      <c r="P366" s="13"/>
      <c r="Q366" s="13"/>
      <c r="R366" s="13"/>
      <c r="S366" s="17" t="s">
        <v>2540</v>
      </c>
      <c r="T366" s="15">
        <v>2022</v>
      </c>
      <c r="U366" s="13" t="s">
        <v>45</v>
      </c>
      <c r="V366" s="13" t="s">
        <v>29</v>
      </c>
      <c r="X366" s="14">
        <v>5</v>
      </c>
      <c r="Y366" s="14"/>
      <c r="Z366" s="14" t="s">
        <v>3828</v>
      </c>
      <c r="AA366" s="14" t="s">
        <v>3815</v>
      </c>
      <c r="AB366" s="14" t="s">
        <v>3888</v>
      </c>
    </row>
    <row r="367" spans="1:30" hidden="1" x14ac:dyDescent="0.3">
      <c r="A367" s="13" t="s">
        <v>1144</v>
      </c>
      <c r="B367" s="13" t="s">
        <v>2542</v>
      </c>
      <c r="C367" s="13" t="s">
        <v>1732</v>
      </c>
      <c r="D367" s="13" t="s">
        <v>2541</v>
      </c>
      <c r="E367" s="13" t="s">
        <v>2546</v>
      </c>
      <c r="F367" s="13" t="s">
        <v>2545</v>
      </c>
      <c r="G367" s="13" t="s">
        <v>2547</v>
      </c>
      <c r="H367" s="13" t="s">
        <v>2543</v>
      </c>
      <c r="J367" s="13" t="s">
        <v>2544</v>
      </c>
      <c r="K367" s="13" t="s">
        <v>39</v>
      </c>
      <c r="L367" s="13" t="s">
        <v>1144</v>
      </c>
      <c r="M367" s="14" t="s">
        <v>141</v>
      </c>
      <c r="N367" s="13"/>
      <c r="O367" s="13" t="s">
        <v>31</v>
      </c>
      <c r="P367" s="13"/>
      <c r="Q367" s="13"/>
      <c r="R367" s="13"/>
      <c r="S367" s="17" t="s">
        <v>1460</v>
      </c>
      <c r="T367" s="15">
        <v>2022</v>
      </c>
      <c r="U367" s="13" t="s">
        <v>45</v>
      </c>
      <c r="V367" s="13" t="s">
        <v>29</v>
      </c>
      <c r="X367" s="14">
        <v>5</v>
      </c>
      <c r="Y367" s="14"/>
      <c r="Z367" s="14" t="s">
        <v>3828</v>
      </c>
      <c r="AA367" s="14" t="s">
        <v>3824</v>
      </c>
      <c r="AB367" s="14" t="s">
        <v>3885</v>
      </c>
    </row>
    <row r="368" spans="1:30" ht="41.4" hidden="1" x14ac:dyDescent="0.3">
      <c r="A368" s="13" t="s">
        <v>1454</v>
      </c>
      <c r="B368" s="13" t="s">
        <v>1452</v>
      </c>
      <c r="C368" s="13" t="s">
        <v>1453</v>
      </c>
      <c r="D368" s="13" t="s">
        <v>1451</v>
      </c>
      <c r="E368" s="13" t="s">
        <v>1458</v>
      </c>
      <c r="F368" s="13" t="s">
        <v>1457</v>
      </c>
      <c r="G368" s="13" t="s">
        <v>1459</v>
      </c>
      <c r="H368" s="13" t="s">
        <v>1455</v>
      </c>
      <c r="I368" s="13" t="s">
        <v>1456</v>
      </c>
      <c r="J368" s="13" t="s">
        <v>72</v>
      </c>
      <c r="K368" s="13" t="s">
        <v>39</v>
      </c>
      <c r="L368" s="13" t="s">
        <v>1454</v>
      </c>
      <c r="M368" s="14" t="s">
        <v>3804</v>
      </c>
      <c r="N368" s="13"/>
      <c r="O368" s="13" t="s">
        <v>31</v>
      </c>
      <c r="P368" s="13"/>
      <c r="Q368" s="13"/>
      <c r="R368" s="13"/>
      <c r="S368" s="17" t="s">
        <v>1460</v>
      </c>
      <c r="T368" s="15">
        <v>2022</v>
      </c>
      <c r="U368" s="13" t="s">
        <v>45</v>
      </c>
      <c r="V368" s="13" t="s">
        <v>29</v>
      </c>
      <c r="X368" s="14">
        <v>10</v>
      </c>
      <c r="Y368" s="14"/>
      <c r="Z368" s="14" t="s">
        <v>3835</v>
      </c>
      <c r="AA368" s="14" t="s">
        <v>3817</v>
      </c>
      <c r="AB368" s="14" t="s">
        <v>3884</v>
      </c>
    </row>
    <row r="369" spans="1:28" ht="55.2" hidden="1" x14ac:dyDescent="0.3">
      <c r="A369" s="13" t="s">
        <v>907</v>
      </c>
      <c r="B369" s="13" t="s">
        <v>905</v>
      </c>
      <c r="C369" s="13" t="s">
        <v>906</v>
      </c>
      <c r="D369" s="13" t="s">
        <v>904</v>
      </c>
      <c r="F369" s="13" t="s">
        <v>910</v>
      </c>
      <c r="G369" s="13" t="s">
        <v>911</v>
      </c>
      <c r="H369" s="13" t="s">
        <v>908</v>
      </c>
      <c r="I369" s="13" t="s">
        <v>909</v>
      </c>
      <c r="J369" s="13" t="s">
        <v>72</v>
      </c>
      <c r="K369" s="13" t="s">
        <v>39</v>
      </c>
      <c r="L369" s="13" t="s">
        <v>907</v>
      </c>
      <c r="M369" s="14" t="s">
        <v>141</v>
      </c>
      <c r="N369" s="13"/>
      <c r="O369" s="13" t="s">
        <v>31</v>
      </c>
      <c r="P369" s="13"/>
      <c r="Q369" s="13"/>
      <c r="R369" s="13"/>
      <c r="S369" s="17" t="s">
        <v>912</v>
      </c>
      <c r="T369" s="15">
        <v>2022</v>
      </c>
      <c r="U369" s="13" t="s">
        <v>45</v>
      </c>
      <c r="V369" s="13" t="s">
        <v>29</v>
      </c>
      <c r="X369" s="14">
        <v>10</v>
      </c>
      <c r="Y369" s="14"/>
      <c r="Z369" s="14" t="s">
        <v>3870</v>
      </c>
      <c r="AA369" s="14" t="s">
        <v>3806</v>
      </c>
      <c r="AB369" s="14" t="s">
        <v>3886</v>
      </c>
    </row>
    <row r="370" spans="1:28" hidden="1" x14ac:dyDescent="0.3">
      <c r="A370" s="13" t="s">
        <v>1144</v>
      </c>
      <c r="B370" s="13" t="s">
        <v>1858</v>
      </c>
      <c r="C370" s="13" t="s">
        <v>68</v>
      </c>
      <c r="D370" s="13" t="s">
        <v>1857</v>
      </c>
      <c r="E370" s="13" t="s">
        <v>1862</v>
      </c>
      <c r="F370" s="13" t="s">
        <v>1861</v>
      </c>
      <c r="G370" s="13" t="s">
        <v>1863</v>
      </c>
      <c r="H370" s="13" t="s">
        <v>1859</v>
      </c>
      <c r="I370" s="13" t="s">
        <v>1860</v>
      </c>
      <c r="J370" s="13" t="s">
        <v>72</v>
      </c>
      <c r="K370" s="13" t="s">
        <v>39</v>
      </c>
      <c r="L370" s="13" t="s">
        <v>1144</v>
      </c>
      <c r="M370" s="14" t="s">
        <v>3804</v>
      </c>
      <c r="N370" s="13"/>
      <c r="O370" s="13" t="s">
        <v>31</v>
      </c>
      <c r="P370" s="13"/>
      <c r="Q370" s="13"/>
      <c r="R370" s="13"/>
      <c r="S370" s="17" t="s">
        <v>1864</v>
      </c>
      <c r="T370" s="15">
        <v>2022</v>
      </c>
      <c r="U370" s="13" t="s">
        <v>45</v>
      </c>
      <c r="V370" s="13" t="s">
        <v>29</v>
      </c>
      <c r="X370" s="14">
        <v>5</v>
      </c>
      <c r="Y370" s="14"/>
      <c r="Z370" s="14" t="s">
        <v>3835</v>
      </c>
      <c r="AA370" s="14" t="s">
        <v>3814</v>
      </c>
      <c r="AB370" s="14" t="s">
        <v>3884</v>
      </c>
    </row>
    <row r="371" spans="1:28" ht="55.2" hidden="1" x14ac:dyDescent="0.3">
      <c r="A371" s="13" t="s">
        <v>875</v>
      </c>
      <c r="B371" s="13" t="s">
        <v>874</v>
      </c>
      <c r="C371" s="13" t="s">
        <v>79</v>
      </c>
      <c r="D371" s="13" t="s">
        <v>873</v>
      </c>
      <c r="E371" s="13" t="s">
        <v>879</v>
      </c>
      <c r="F371" s="13" t="s">
        <v>878</v>
      </c>
      <c r="G371" s="13" t="s">
        <v>880</v>
      </c>
      <c r="H371" s="13" t="s">
        <v>876</v>
      </c>
      <c r="I371" s="13" t="s">
        <v>62</v>
      </c>
      <c r="J371" s="13" t="s">
        <v>877</v>
      </c>
      <c r="K371" s="13" t="s">
        <v>39</v>
      </c>
      <c r="L371" s="13" t="s">
        <v>875</v>
      </c>
      <c r="M371" s="14" t="s">
        <v>141</v>
      </c>
      <c r="N371" s="13"/>
      <c r="O371" s="13" t="s">
        <v>31</v>
      </c>
      <c r="P371" s="13"/>
      <c r="Q371" s="13"/>
      <c r="R371" s="13"/>
      <c r="S371" s="17" t="s">
        <v>881</v>
      </c>
      <c r="T371" s="15">
        <v>2022</v>
      </c>
      <c r="U371" s="13" t="s">
        <v>45</v>
      </c>
      <c r="V371" s="13" t="s">
        <v>29</v>
      </c>
      <c r="X371" s="14">
        <v>5</v>
      </c>
      <c r="Y371" s="14"/>
      <c r="Z371" s="14" t="s">
        <v>3828</v>
      </c>
      <c r="AA371" s="14" t="s">
        <v>3809</v>
      </c>
      <c r="AB371" s="14" t="s">
        <v>3888</v>
      </c>
    </row>
    <row r="372" spans="1:28" ht="55.2" x14ac:dyDescent="0.3">
      <c r="A372" s="13" t="s">
        <v>3856</v>
      </c>
      <c r="B372" s="13" t="s">
        <v>3298</v>
      </c>
      <c r="C372" s="13" t="s">
        <v>79</v>
      </c>
      <c r="D372" s="13" t="s">
        <v>3306</v>
      </c>
      <c r="F372" s="13" t="s">
        <v>3307</v>
      </c>
      <c r="G372" s="13" t="s">
        <v>3308</v>
      </c>
      <c r="J372" s="13" t="s">
        <v>1265</v>
      </c>
      <c r="K372" s="13" t="s">
        <v>39</v>
      </c>
      <c r="L372" s="13" t="s">
        <v>3856</v>
      </c>
      <c r="M372" s="14" t="s">
        <v>3804</v>
      </c>
      <c r="N372" s="13"/>
      <c r="O372" s="13" t="s">
        <v>31</v>
      </c>
      <c r="P372" s="13"/>
      <c r="Q372" s="13"/>
      <c r="R372" s="13"/>
      <c r="S372" s="17" t="s">
        <v>3309</v>
      </c>
      <c r="T372" s="15">
        <v>2022</v>
      </c>
      <c r="U372" s="13" t="s">
        <v>45</v>
      </c>
      <c r="V372" s="13" t="s">
        <v>29</v>
      </c>
      <c r="X372" s="14"/>
      <c r="Y372" s="16" t="s">
        <v>10081</v>
      </c>
      <c r="Z372" s="14" t="s">
        <v>3828</v>
      </c>
      <c r="AA372" s="14" t="s">
        <v>3809</v>
      </c>
      <c r="AB372" s="14" t="s">
        <v>3888</v>
      </c>
    </row>
    <row r="373" spans="1:28" ht="55.2" hidden="1" x14ac:dyDescent="0.3">
      <c r="A373" s="13" t="s">
        <v>3062</v>
      </c>
      <c r="B373" s="13" t="s">
        <v>3061</v>
      </c>
      <c r="C373" s="13" t="s">
        <v>189</v>
      </c>
      <c r="D373" s="13" t="s">
        <v>3060</v>
      </c>
      <c r="E373" s="13" t="s">
        <v>3067</v>
      </c>
      <c r="F373" s="13" t="s">
        <v>3066</v>
      </c>
      <c r="G373" s="13" t="s">
        <v>3068</v>
      </c>
      <c r="H373" s="13" t="s">
        <v>3063</v>
      </c>
      <c r="I373" s="13" t="s">
        <v>3064</v>
      </c>
      <c r="J373" s="13" t="s">
        <v>3065</v>
      </c>
      <c r="K373" s="13" t="s">
        <v>39</v>
      </c>
      <c r="L373" s="13" t="s">
        <v>3062</v>
      </c>
      <c r="M373" s="14" t="s">
        <v>141</v>
      </c>
      <c r="N373" s="13"/>
      <c r="O373" s="13" t="s">
        <v>31</v>
      </c>
      <c r="P373" s="13"/>
      <c r="Q373" s="13"/>
      <c r="R373" s="13"/>
      <c r="S373" s="17" t="s">
        <v>2914</v>
      </c>
      <c r="T373" s="15">
        <v>2022</v>
      </c>
      <c r="U373" s="13" t="s">
        <v>45</v>
      </c>
      <c r="V373" s="13" t="s">
        <v>29</v>
      </c>
      <c r="X373" s="14">
        <v>10</v>
      </c>
      <c r="Y373" s="14"/>
      <c r="Z373" s="14" t="s">
        <v>3835</v>
      </c>
      <c r="AA373" s="14" t="s">
        <v>3817</v>
      </c>
      <c r="AB373" s="14" t="s">
        <v>3884</v>
      </c>
    </row>
    <row r="374" spans="1:28" ht="27.6" hidden="1" x14ac:dyDescent="0.3">
      <c r="A374" s="13" t="s">
        <v>2908</v>
      </c>
      <c r="B374" s="13" t="s">
        <v>2907</v>
      </c>
      <c r="C374" s="13" t="s">
        <v>189</v>
      </c>
      <c r="D374" s="13" t="s">
        <v>2906</v>
      </c>
      <c r="E374" s="13" t="s">
        <v>2912</v>
      </c>
      <c r="F374" s="13" t="s">
        <v>2911</v>
      </c>
      <c r="G374" s="13" t="s">
        <v>2913</v>
      </c>
      <c r="H374" s="13" t="s">
        <v>2909</v>
      </c>
      <c r="I374" s="13" t="s">
        <v>2910</v>
      </c>
      <c r="J374" s="13" t="s">
        <v>72</v>
      </c>
      <c r="K374" s="13" t="s">
        <v>39</v>
      </c>
      <c r="L374" s="13" t="s">
        <v>2908</v>
      </c>
      <c r="M374" s="14" t="s">
        <v>141</v>
      </c>
      <c r="N374" s="13"/>
      <c r="O374" s="13" t="s">
        <v>31</v>
      </c>
      <c r="P374" s="13"/>
      <c r="Q374" s="13"/>
      <c r="R374" s="13"/>
      <c r="S374" s="17" t="s">
        <v>2914</v>
      </c>
      <c r="T374" s="15">
        <v>2022</v>
      </c>
      <c r="U374" s="13" t="s">
        <v>45</v>
      </c>
      <c r="V374" s="13" t="s">
        <v>29</v>
      </c>
      <c r="X374" s="14">
        <v>5</v>
      </c>
      <c r="Y374" s="14"/>
      <c r="Z374" s="14" t="s">
        <v>3835</v>
      </c>
      <c r="AA374" s="14" t="s">
        <v>3817</v>
      </c>
      <c r="AB374" s="14" t="s">
        <v>3884</v>
      </c>
    </row>
    <row r="375" spans="1:28" hidden="1" x14ac:dyDescent="0.3">
      <c r="A375" s="13" t="s">
        <v>1144</v>
      </c>
      <c r="B375" s="13" t="s">
        <v>2486</v>
      </c>
      <c r="C375" s="13" t="s">
        <v>2487</v>
      </c>
      <c r="D375" s="13" t="s">
        <v>2485</v>
      </c>
      <c r="E375" s="13" t="s">
        <v>2491</v>
      </c>
      <c r="F375" s="13" t="s">
        <v>2490</v>
      </c>
      <c r="G375" s="13" t="s">
        <v>2492</v>
      </c>
      <c r="H375" s="13" t="s">
        <v>2488</v>
      </c>
      <c r="I375" s="13" t="s">
        <v>2489</v>
      </c>
      <c r="J375" s="13" t="s">
        <v>72</v>
      </c>
      <c r="K375" s="13" t="s">
        <v>39</v>
      </c>
      <c r="L375" s="13" t="s">
        <v>1144</v>
      </c>
      <c r="M375" s="14" t="s">
        <v>141</v>
      </c>
      <c r="N375" s="13"/>
      <c r="O375" s="13" t="s">
        <v>31</v>
      </c>
      <c r="P375" s="13"/>
      <c r="Q375" s="13"/>
      <c r="R375" s="13"/>
      <c r="S375" s="17" t="s">
        <v>2493</v>
      </c>
      <c r="T375" s="15">
        <v>2022</v>
      </c>
      <c r="U375" s="13" t="s">
        <v>45</v>
      </c>
      <c r="V375" s="13" t="s">
        <v>29</v>
      </c>
      <c r="X375" s="14">
        <v>5</v>
      </c>
      <c r="Y375" s="14"/>
      <c r="Z375" s="14" t="s">
        <v>3835</v>
      </c>
      <c r="AA375" s="14" t="s">
        <v>3817</v>
      </c>
      <c r="AB375" s="14" t="s">
        <v>3884</v>
      </c>
    </row>
    <row r="376" spans="1:28" ht="69" hidden="1" x14ac:dyDescent="0.3">
      <c r="A376" s="13" t="s">
        <v>1733</v>
      </c>
      <c r="B376" s="13" t="s">
        <v>1731</v>
      </c>
      <c r="C376" s="13" t="s">
        <v>1732</v>
      </c>
      <c r="D376" s="13" t="s">
        <v>1730</v>
      </c>
      <c r="E376" s="13" t="s">
        <v>1737</v>
      </c>
      <c r="F376" s="13" t="s">
        <v>1736</v>
      </c>
      <c r="G376" s="13" t="s">
        <v>1738</v>
      </c>
      <c r="H376" s="13" t="s">
        <v>1734</v>
      </c>
      <c r="I376" s="13" t="s">
        <v>1735</v>
      </c>
      <c r="J376" s="13" t="s">
        <v>72</v>
      </c>
      <c r="K376" s="13" t="s">
        <v>39</v>
      </c>
      <c r="L376" s="13" t="s">
        <v>1733</v>
      </c>
      <c r="M376" s="14" t="s">
        <v>141</v>
      </c>
      <c r="N376" s="13"/>
      <c r="O376" s="13" t="s">
        <v>31</v>
      </c>
      <c r="P376" s="13"/>
      <c r="Q376" s="13"/>
      <c r="R376" s="13"/>
      <c r="S376" s="17" t="s">
        <v>1739</v>
      </c>
      <c r="T376" s="15">
        <v>2022</v>
      </c>
      <c r="U376" s="13" t="s">
        <v>45</v>
      </c>
      <c r="V376" s="13" t="s">
        <v>29</v>
      </c>
      <c r="X376" s="14">
        <v>50</v>
      </c>
      <c r="Y376" s="14"/>
      <c r="Z376" s="14" t="s">
        <v>3835</v>
      </c>
      <c r="AA376" s="14" t="s">
        <v>3814</v>
      </c>
      <c r="AB376" s="14" t="s">
        <v>3884</v>
      </c>
    </row>
    <row r="377" spans="1:28" ht="27.6" hidden="1" x14ac:dyDescent="0.3">
      <c r="A377" s="13" t="s">
        <v>283</v>
      </c>
      <c r="B377" s="13" t="s">
        <v>281</v>
      </c>
      <c r="C377" s="13" t="s">
        <v>282</v>
      </c>
      <c r="D377" s="13" t="s">
        <v>280</v>
      </c>
      <c r="E377" s="13" t="s">
        <v>286</v>
      </c>
      <c r="F377" s="13" t="s">
        <v>285</v>
      </c>
      <c r="G377" s="13" t="s">
        <v>287</v>
      </c>
      <c r="H377" s="13" t="s">
        <v>284</v>
      </c>
      <c r="J377" s="13" t="s">
        <v>72</v>
      </c>
      <c r="K377" s="13" t="s">
        <v>39</v>
      </c>
      <c r="L377" s="13" t="s">
        <v>283</v>
      </c>
      <c r="M377" s="14" t="s">
        <v>3804</v>
      </c>
      <c r="N377" s="13"/>
      <c r="O377" s="13" t="s">
        <v>31</v>
      </c>
      <c r="P377" s="13"/>
      <c r="Q377" s="13"/>
      <c r="R377" s="13"/>
      <c r="S377" s="17" t="s">
        <v>288</v>
      </c>
      <c r="T377" s="15">
        <v>2022</v>
      </c>
      <c r="U377" s="13" t="s">
        <v>45</v>
      </c>
      <c r="V377" s="13" t="s">
        <v>29</v>
      </c>
      <c r="X377" s="14">
        <v>5</v>
      </c>
      <c r="Y377" s="14"/>
      <c r="Z377" s="14" t="s">
        <v>2148</v>
      </c>
      <c r="AA377" s="14" t="s">
        <v>3818</v>
      </c>
      <c r="AB377" s="14" t="s">
        <v>3890</v>
      </c>
    </row>
    <row r="378" spans="1:28" ht="27.6" hidden="1" x14ac:dyDescent="0.3">
      <c r="A378" s="13" t="s">
        <v>1144</v>
      </c>
      <c r="B378" s="13" t="s">
        <v>3007</v>
      </c>
      <c r="C378" s="13" t="s">
        <v>3008</v>
      </c>
      <c r="D378" s="13" t="s">
        <v>3006</v>
      </c>
      <c r="E378" s="13" t="s">
        <v>3011</v>
      </c>
      <c r="F378" s="13" t="s">
        <v>3010</v>
      </c>
      <c r="J378" s="13" t="s">
        <v>1060</v>
      </c>
      <c r="K378" s="13" t="s">
        <v>3009</v>
      </c>
      <c r="L378" s="13" t="s">
        <v>1144</v>
      </c>
      <c r="M378" s="14" t="s">
        <v>3804</v>
      </c>
      <c r="N378" s="13"/>
      <c r="O378" s="13" t="s">
        <v>31</v>
      </c>
      <c r="P378" s="13"/>
      <c r="Q378" s="13"/>
      <c r="R378" s="13"/>
      <c r="S378" s="17" t="s">
        <v>3012</v>
      </c>
      <c r="T378" s="15">
        <v>2022</v>
      </c>
      <c r="U378" s="13" t="s">
        <v>45</v>
      </c>
      <c r="V378" s="13" t="s">
        <v>29</v>
      </c>
      <c r="X378" s="14">
        <v>5</v>
      </c>
      <c r="Y378" s="16" t="s">
        <v>5979</v>
      </c>
      <c r="Z378" s="14" t="s">
        <v>3835</v>
      </c>
      <c r="AA378" s="14" t="s">
        <v>3813</v>
      </c>
      <c r="AB378" s="14" t="s">
        <v>3884</v>
      </c>
    </row>
    <row r="379" spans="1:28" ht="55.2" hidden="1" x14ac:dyDescent="0.3">
      <c r="A379" s="13" t="s">
        <v>2294</v>
      </c>
      <c r="B379" s="13" t="s">
        <v>2293</v>
      </c>
      <c r="C379" s="13" t="s">
        <v>60</v>
      </c>
      <c r="D379" s="13" t="s">
        <v>2292</v>
      </c>
      <c r="E379" s="13" t="s">
        <v>2298</v>
      </c>
      <c r="F379" s="13" t="s">
        <v>2297</v>
      </c>
      <c r="G379" s="13" t="s">
        <v>2299</v>
      </c>
      <c r="H379" s="13" t="s">
        <v>2295</v>
      </c>
      <c r="I379" s="13" t="s">
        <v>2296</v>
      </c>
      <c r="J379" s="13" t="s">
        <v>284</v>
      </c>
      <c r="K379" s="13" t="s">
        <v>39</v>
      </c>
      <c r="L379" s="13" t="s">
        <v>2294</v>
      </c>
      <c r="N379" s="13"/>
      <c r="O379" s="13" t="s">
        <v>31</v>
      </c>
      <c r="P379" s="13"/>
      <c r="Q379" s="13"/>
      <c r="R379" s="13"/>
      <c r="S379" s="17" t="s">
        <v>2300</v>
      </c>
      <c r="T379" s="15">
        <v>2022</v>
      </c>
      <c r="U379" s="13" t="s">
        <v>45</v>
      </c>
      <c r="V379" s="13" t="s">
        <v>29</v>
      </c>
      <c r="X379" s="14">
        <v>10</v>
      </c>
      <c r="Y379" s="16" t="s">
        <v>10081</v>
      </c>
      <c r="Z379" s="14" t="s">
        <v>3828</v>
      </c>
      <c r="AA379" s="14" t="s">
        <v>3879</v>
      </c>
      <c r="AB379" s="14" t="s">
        <v>3888</v>
      </c>
    </row>
    <row r="380" spans="1:28" ht="82.8" x14ac:dyDescent="0.3">
      <c r="A380" s="13" t="s">
        <v>413</v>
      </c>
      <c r="B380" s="13" t="s">
        <v>411</v>
      </c>
      <c r="C380" s="13" t="s">
        <v>412</v>
      </c>
      <c r="D380" s="13" t="s">
        <v>410</v>
      </c>
      <c r="E380" s="13" t="s">
        <v>418</v>
      </c>
      <c r="F380" s="13" t="s">
        <v>417</v>
      </c>
      <c r="G380" s="13" t="s">
        <v>419</v>
      </c>
      <c r="H380" s="13" t="s">
        <v>414</v>
      </c>
      <c r="I380" s="13" t="s">
        <v>415</v>
      </c>
      <c r="J380" s="13" t="s">
        <v>416</v>
      </c>
      <c r="K380" s="13" t="s">
        <v>39</v>
      </c>
      <c r="L380" s="13" t="s">
        <v>413</v>
      </c>
      <c r="M380" s="14" t="s">
        <v>3804</v>
      </c>
      <c r="N380" s="13"/>
      <c r="O380" s="13" t="s">
        <v>31</v>
      </c>
      <c r="P380" s="13"/>
      <c r="Q380" s="13"/>
      <c r="R380" s="13"/>
      <c r="S380" s="17" t="s">
        <v>420</v>
      </c>
      <c r="T380" s="15">
        <v>2022</v>
      </c>
      <c r="U380" s="13" t="s">
        <v>45</v>
      </c>
      <c r="V380" s="13" t="s">
        <v>29</v>
      </c>
      <c r="X380" s="14"/>
      <c r="Y380" s="16" t="s">
        <v>10081</v>
      </c>
      <c r="Z380" s="14" t="s">
        <v>3835</v>
      </c>
      <c r="AA380" s="14" t="s">
        <v>3813</v>
      </c>
      <c r="AB380" s="14" t="s">
        <v>3884</v>
      </c>
    </row>
    <row r="381" spans="1:28" ht="41.4" hidden="1" x14ac:dyDescent="0.3">
      <c r="A381" s="13" t="s">
        <v>2560</v>
      </c>
      <c r="B381" s="13" t="s">
        <v>2559</v>
      </c>
      <c r="C381" s="13" t="s">
        <v>557</v>
      </c>
      <c r="D381" s="13" t="s">
        <v>2558</v>
      </c>
      <c r="E381" s="13" t="s">
        <v>2564</v>
      </c>
      <c r="F381" s="13" t="s">
        <v>2563</v>
      </c>
      <c r="G381" s="13" t="s">
        <v>2565</v>
      </c>
      <c r="H381" s="13" t="s">
        <v>2561</v>
      </c>
      <c r="I381" s="13" t="s">
        <v>2562</v>
      </c>
      <c r="J381" s="13" t="s">
        <v>72</v>
      </c>
      <c r="K381" s="13" t="s">
        <v>39</v>
      </c>
      <c r="L381" s="13" t="s">
        <v>2560</v>
      </c>
      <c r="M381" s="14" t="s">
        <v>3804</v>
      </c>
      <c r="N381" s="13"/>
      <c r="O381" s="13" t="s">
        <v>31</v>
      </c>
      <c r="P381" s="13"/>
      <c r="Q381" s="13"/>
      <c r="R381" s="13"/>
      <c r="S381" s="17" t="s">
        <v>96</v>
      </c>
      <c r="T381" s="15">
        <v>2022</v>
      </c>
      <c r="U381" s="13" t="s">
        <v>45</v>
      </c>
      <c r="V381" s="13" t="s">
        <v>29</v>
      </c>
      <c r="X381" s="14">
        <v>5</v>
      </c>
      <c r="Y381" s="14"/>
      <c r="Z381" s="14" t="s">
        <v>3835</v>
      </c>
      <c r="AA381" s="14" t="s">
        <v>3814</v>
      </c>
      <c r="AB381" s="14" t="s">
        <v>3884</v>
      </c>
    </row>
    <row r="382" spans="1:28" ht="55.2" hidden="1" x14ac:dyDescent="0.3">
      <c r="A382" s="13" t="s">
        <v>88</v>
      </c>
      <c r="B382" s="13" t="s">
        <v>86</v>
      </c>
      <c r="C382" s="13" t="s">
        <v>87</v>
      </c>
      <c r="D382" s="13" t="s">
        <v>85</v>
      </c>
      <c r="E382" s="13" t="s">
        <v>94</v>
      </c>
      <c r="F382" s="13" t="s">
        <v>93</v>
      </c>
      <c r="G382" s="13" t="s">
        <v>95</v>
      </c>
      <c r="H382" s="13" t="s">
        <v>89</v>
      </c>
      <c r="I382" s="13" t="s">
        <v>90</v>
      </c>
      <c r="J382" s="13" t="s">
        <v>91</v>
      </c>
      <c r="K382" s="13" t="s">
        <v>92</v>
      </c>
      <c r="L382" s="13" t="s">
        <v>88</v>
      </c>
      <c r="M382" s="14" t="s">
        <v>3804</v>
      </c>
      <c r="N382" s="13"/>
      <c r="O382" s="13" t="s">
        <v>31</v>
      </c>
      <c r="P382" s="13"/>
      <c r="Q382" s="13"/>
      <c r="R382" s="13"/>
      <c r="S382" s="17" t="s">
        <v>96</v>
      </c>
      <c r="T382" s="15">
        <v>2022</v>
      </c>
      <c r="U382" s="13" t="s">
        <v>45</v>
      </c>
      <c r="V382" s="13" t="s">
        <v>29</v>
      </c>
      <c r="X382" s="14">
        <v>5</v>
      </c>
      <c r="Y382" s="14"/>
      <c r="Z382" s="14" t="s">
        <v>3828</v>
      </c>
      <c r="AA382" s="14" t="s">
        <v>3811</v>
      </c>
      <c r="AB382" s="14" t="s">
        <v>3887</v>
      </c>
    </row>
    <row r="383" spans="1:28" ht="41.4" hidden="1" x14ac:dyDescent="0.3">
      <c r="A383" s="13" t="s">
        <v>3842</v>
      </c>
      <c r="B383" s="13" t="s">
        <v>1537</v>
      </c>
      <c r="C383" s="13" t="s">
        <v>229</v>
      </c>
      <c r="D383" s="13" t="s">
        <v>1536</v>
      </c>
      <c r="E383" s="13" t="s">
        <v>1542</v>
      </c>
      <c r="F383" s="13" t="s">
        <v>1541</v>
      </c>
      <c r="G383" s="13" t="s">
        <v>1543</v>
      </c>
      <c r="H383" s="13" t="s">
        <v>1538</v>
      </c>
      <c r="I383" s="13" t="s">
        <v>1539</v>
      </c>
      <c r="J383" s="13" t="s">
        <v>1540</v>
      </c>
      <c r="K383" s="13" t="s">
        <v>39</v>
      </c>
      <c r="L383" s="13" t="s">
        <v>3842</v>
      </c>
      <c r="M383" s="14" t="s">
        <v>141</v>
      </c>
      <c r="N383" s="13"/>
      <c r="O383" s="13" t="s">
        <v>31</v>
      </c>
      <c r="P383" s="13"/>
      <c r="Q383" s="13"/>
      <c r="R383" s="13"/>
      <c r="S383" s="17" t="s">
        <v>1544</v>
      </c>
      <c r="T383" s="15">
        <v>2022</v>
      </c>
      <c r="U383" s="13" t="s">
        <v>45</v>
      </c>
      <c r="V383" s="13" t="s">
        <v>29</v>
      </c>
      <c r="X383" s="14">
        <v>5</v>
      </c>
      <c r="Y383" s="14"/>
      <c r="Z383" s="14" t="s">
        <v>3828</v>
      </c>
      <c r="AA383" s="14" t="s">
        <v>3816</v>
      </c>
      <c r="AB383" s="14" t="s">
        <v>3885</v>
      </c>
    </row>
    <row r="384" spans="1:28" ht="55.2" x14ac:dyDescent="0.3">
      <c r="A384" s="13" t="s">
        <v>731</v>
      </c>
      <c r="B384" s="13" t="s">
        <v>2618</v>
      </c>
      <c r="C384" s="13" t="s">
        <v>2619</v>
      </c>
      <c r="D384" s="13" t="s">
        <v>2617</v>
      </c>
      <c r="E384" s="13" t="s">
        <v>2623</v>
      </c>
      <c r="F384" s="13" t="s">
        <v>2622</v>
      </c>
      <c r="G384" s="13" t="s">
        <v>2624</v>
      </c>
      <c r="H384" s="13" t="s">
        <v>2620</v>
      </c>
      <c r="I384" s="13" t="s">
        <v>2621</v>
      </c>
      <c r="J384" s="13" t="s">
        <v>72</v>
      </c>
      <c r="K384" s="13" t="s">
        <v>39</v>
      </c>
      <c r="L384" s="13" t="s">
        <v>731</v>
      </c>
      <c r="M384" s="14" t="s">
        <v>3804</v>
      </c>
      <c r="N384" s="13"/>
      <c r="O384" s="13" t="s">
        <v>31</v>
      </c>
      <c r="P384" s="13"/>
      <c r="Q384" s="13"/>
      <c r="R384" s="13"/>
      <c r="S384" s="17" t="s">
        <v>2625</v>
      </c>
      <c r="T384" s="15">
        <v>2022</v>
      </c>
      <c r="U384" s="13" t="s">
        <v>45</v>
      </c>
      <c r="V384" s="13" t="s">
        <v>29</v>
      </c>
      <c r="X384" s="14"/>
      <c r="Y384" s="16" t="s">
        <v>10081</v>
      </c>
      <c r="Z384" s="14" t="s">
        <v>3835</v>
      </c>
      <c r="AA384" s="14" t="s">
        <v>3817</v>
      </c>
      <c r="AB384" s="14" t="s">
        <v>3884</v>
      </c>
    </row>
    <row r="385" spans="1:30" ht="55.2" hidden="1" x14ac:dyDescent="0.3">
      <c r="A385" s="13" t="s">
        <v>3462</v>
      </c>
      <c r="B385" s="13" t="s">
        <v>1438</v>
      </c>
      <c r="C385" s="13" t="s">
        <v>1439</v>
      </c>
      <c r="D385" s="13" t="s">
        <v>1437</v>
      </c>
      <c r="E385" s="13" t="s">
        <v>1441</v>
      </c>
      <c r="F385" s="19" t="s">
        <v>1440</v>
      </c>
      <c r="G385" s="13" t="s">
        <v>1442</v>
      </c>
      <c r="J385" s="13" t="s">
        <v>72</v>
      </c>
      <c r="K385" s="13" t="s">
        <v>39</v>
      </c>
      <c r="L385" s="13" t="s">
        <v>3462</v>
      </c>
      <c r="M385" s="14" t="s">
        <v>3804</v>
      </c>
      <c r="N385" s="13"/>
      <c r="O385" s="13" t="s">
        <v>31</v>
      </c>
      <c r="P385" s="13"/>
      <c r="Q385" s="13"/>
      <c r="R385" s="13"/>
      <c r="S385" s="17" t="s">
        <v>1443</v>
      </c>
      <c r="T385" s="15">
        <v>2022</v>
      </c>
      <c r="U385" s="13" t="s">
        <v>45</v>
      </c>
      <c r="V385" s="13" t="s">
        <v>29</v>
      </c>
      <c r="X385" s="14">
        <v>5</v>
      </c>
      <c r="Y385" s="16">
        <v>45013</v>
      </c>
      <c r="Z385" s="14" t="s">
        <v>3828</v>
      </c>
      <c r="AA385" s="14" t="s">
        <v>3809</v>
      </c>
      <c r="AB385" s="14" t="s">
        <v>3888</v>
      </c>
    </row>
    <row r="386" spans="1:30" hidden="1" x14ac:dyDescent="0.3">
      <c r="A386" s="13" t="s">
        <v>1650</v>
      </c>
      <c r="B386" s="13" t="s">
        <v>1648</v>
      </c>
      <c r="C386" s="13" t="s">
        <v>1649</v>
      </c>
      <c r="D386" s="13" t="s">
        <v>1647</v>
      </c>
      <c r="E386" s="13" t="s">
        <v>1654</v>
      </c>
      <c r="F386" s="13" t="s">
        <v>1653</v>
      </c>
      <c r="G386" s="13" t="s">
        <v>1655</v>
      </c>
      <c r="H386" s="13" t="s">
        <v>1651</v>
      </c>
      <c r="I386" s="13" t="s">
        <v>1652</v>
      </c>
      <c r="J386" s="13" t="s">
        <v>72</v>
      </c>
      <c r="K386" s="13" t="s">
        <v>39</v>
      </c>
      <c r="L386" s="13" t="s">
        <v>1650</v>
      </c>
      <c r="M386" s="14" t="s">
        <v>141</v>
      </c>
      <c r="N386" s="13"/>
      <c r="O386" s="13" t="s">
        <v>31</v>
      </c>
      <c r="P386" s="13"/>
      <c r="Q386" s="13"/>
      <c r="R386" s="13"/>
      <c r="S386" s="17" t="s">
        <v>1656</v>
      </c>
      <c r="T386" s="15">
        <v>2022</v>
      </c>
      <c r="U386" s="13" t="s">
        <v>45</v>
      </c>
      <c r="V386" s="13" t="s">
        <v>29</v>
      </c>
      <c r="X386" s="14">
        <v>10</v>
      </c>
      <c r="Y386" s="14"/>
      <c r="Z386" s="14" t="s">
        <v>3835</v>
      </c>
      <c r="AA386" s="14" t="s">
        <v>3817</v>
      </c>
      <c r="AB386" s="14" t="s">
        <v>3884</v>
      </c>
    </row>
    <row r="387" spans="1:30" ht="110.4" hidden="1" x14ac:dyDescent="0.3">
      <c r="A387" s="22" t="s">
        <v>3261</v>
      </c>
      <c r="B387" s="22" t="s">
        <v>3259</v>
      </c>
      <c r="C387" s="22" t="s">
        <v>3260</v>
      </c>
      <c r="D387" s="22" t="s">
        <v>3258</v>
      </c>
      <c r="E387" s="22" t="s">
        <v>3265</v>
      </c>
      <c r="F387" s="22" t="s">
        <v>3264</v>
      </c>
      <c r="G387" s="22" t="s">
        <v>3266</v>
      </c>
      <c r="H387" s="22" t="s">
        <v>3262</v>
      </c>
      <c r="I387" s="22" t="s">
        <v>3263</v>
      </c>
      <c r="J387" s="22" t="s">
        <v>3065</v>
      </c>
      <c r="K387" s="22" t="s">
        <v>39</v>
      </c>
      <c r="L387" s="22" t="s">
        <v>3261</v>
      </c>
      <c r="M387" s="23" t="s">
        <v>3804</v>
      </c>
      <c r="N387" s="22"/>
      <c r="O387" s="22" t="s">
        <v>31</v>
      </c>
      <c r="P387" s="22"/>
      <c r="Q387" s="22"/>
      <c r="R387" s="22"/>
      <c r="S387" s="24" t="s">
        <v>1656</v>
      </c>
      <c r="T387" s="15">
        <v>2022</v>
      </c>
      <c r="U387" s="22" t="s">
        <v>45</v>
      </c>
      <c r="V387" s="13" t="s">
        <v>29</v>
      </c>
      <c r="W387" s="21"/>
      <c r="X387" s="23">
        <v>5</v>
      </c>
      <c r="Y387" s="23"/>
      <c r="Z387" s="14" t="s">
        <v>2148</v>
      </c>
      <c r="AA387" s="23" t="s">
        <v>3871</v>
      </c>
      <c r="AB387" s="23" t="s">
        <v>3889</v>
      </c>
      <c r="AC387" s="21"/>
      <c r="AD387" s="21"/>
    </row>
    <row r="388" spans="1:30" ht="55.2" x14ac:dyDescent="0.3">
      <c r="A388" s="13" t="s">
        <v>1102</v>
      </c>
      <c r="B388" s="13" t="s">
        <v>1101</v>
      </c>
      <c r="C388" s="13" t="s">
        <v>229</v>
      </c>
      <c r="D388" s="13" t="s">
        <v>1100</v>
      </c>
      <c r="E388" s="13" t="s">
        <v>1106</v>
      </c>
      <c r="F388" s="13" t="s">
        <v>1105</v>
      </c>
      <c r="G388" s="13" t="s">
        <v>1107</v>
      </c>
      <c r="H388" s="13" t="s">
        <v>1103</v>
      </c>
      <c r="I388" s="13" t="s">
        <v>1104</v>
      </c>
      <c r="J388" s="13" t="s">
        <v>72</v>
      </c>
      <c r="K388" s="13" t="s">
        <v>39</v>
      </c>
      <c r="L388" s="13" t="s">
        <v>1102</v>
      </c>
      <c r="M388" s="14" t="s">
        <v>3804</v>
      </c>
      <c r="N388" s="13"/>
      <c r="O388" s="13" t="s">
        <v>31</v>
      </c>
      <c r="P388" s="13"/>
      <c r="Q388" s="13"/>
      <c r="R388" s="13"/>
      <c r="S388" s="17" t="s">
        <v>1108</v>
      </c>
      <c r="T388" s="15">
        <v>2022</v>
      </c>
      <c r="U388" s="13" t="s">
        <v>45</v>
      </c>
      <c r="V388" s="13" t="s">
        <v>29</v>
      </c>
      <c r="X388" s="14"/>
      <c r="Y388" s="16" t="s">
        <v>10081</v>
      </c>
      <c r="Z388" s="14" t="s">
        <v>3828</v>
      </c>
      <c r="AA388" s="14" t="s">
        <v>3824</v>
      </c>
      <c r="AB388" s="14" t="s">
        <v>3885</v>
      </c>
    </row>
    <row r="389" spans="1:30" ht="179.4" hidden="1" x14ac:dyDescent="0.3">
      <c r="A389" s="13" t="s">
        <v>3645</v>
      </c>
      <c r="B389" s="13" t="s">
        <v>3643</v>
      </c>
      <c r="C389" s="13" t="s">
        <v>3644</v>
      </c>
      <c r="D389" s="13" t="s">
        <v>3642</v>
      </c>
      <c r="E389" s="13" t="s">
        <v>3651</v>
      </c>
      <c r="F389" s="13" t="s">
        <v>3650</v>
      </c>
      <c r="G389" s="13" t="s">
        <v>3652</v>
      </c>
      <c r="H389" s="13" t="s">
        <v>3646</v>
      </c>
      <c r="I389" s="13" t="s">
        <v>3647</v>
      </c>
      <c r="J389" s="13" t="s">
        <v>3648</v>
      </c>
      <c r="K389" s="13" t="s">
        <v>3649</v>
      </c>
      <c r="L389" s="13" t="s">
        <v>3645</v>
      </c>
      <c r="N389" s="13"/>
      <c r="O389" s="13" t="s">
        <v>31</v>
      </c>
      <c r="P389" s="13"/>
      <c r="Q389" s="13"/>
      <c r="R389" s="13"/>
      <c r="S389" s="17" t="s">
        <v>3653</v>
      </c>
      <c r="T389" s="15">
        <v>2022</v>
      </c>
      <c r="U389" s="13" t="s">
        <v>45</v>
      </c>
      <c r="V389" s="13" t="s">
        <v>29</v>
      </c>
      <c r="X389" s="14">
        <v>5</v>
      </c>
      <c r="Y389" s="14"/>
      <c r="Z389" s="14" t="s">
        <v>3870</v>
      </c>
      <c r="AA389" s="14" t="s">
        <v>3873</v>
      </c>
      <c r="AB389" s="14" t="s">
        <v>3886</v>
      </c>
    </row>
    <row r="390" spans="1:30" ht="55.2" hidden="1" x14ac:dyDescent="0.3">
      <c r="A390" s="13" t="s">
        <v>693</v>
      </c>
      <c r="B390" s="13" t="s">
        <v>692</v>
      </c>
      <c r="C390" s="13" t="s">
        <v>60</v>
      </c>
      <c r="D390" s="13" t="s">
        <v>691</v>
      </c>
      <c r="E390" s="13" t="s">
        <v>699</v>
      </c>
      <c r="F390" s="13" t="s">
        <v>698</v>
      </c>
      <c r="G390" s="13" t="s">
        <v>700</v>
      </c>
      <c r="H390" s="13" t="s">
        <v>694</v>
      </c>
      <c r="I390" s="13" t="s">
        <v>695</v>
      </c>
      <c r="J390" s="13" t="s">
        <v>696</v>
      </c>
      <c r="K390" s="13" t="s">
        <v>697</v>
      </c>
      <c r="L390" s="13" t="s">
        <v>693</v>
      </c>
      <c r="M390" s="14" t="s">
        <v>3804</v>
      </c>
      <c r="N390" s="13"/>
      <c r="O390" s="13" t="s">
        <v>31</v>
      </c>
      <c r="P390" s="13"/>
      <c r="Q390" s="13"/>
      <c r="R390" s="13"/>
      <c r="S390" s="17" t="s">
        <v>701</v>
      </c>
      <c r="T390" s="15">
        <v>2022</v>
      </c>
      <c r="U390" s="13" t="s">
        <v>45</v>
      </c>
      <c r="V390" s="13" t="s">
        <v>29</v>
      </c>
      <c r="X390" s="14">
        <v>5</v>
      </c>
      <c r="Y390" s="16">
        <v>45012</v>
      </c>
      <c r="Z390" s="14" t="s">
        <v>3835</v>
      </c>
      <c r="AA390" s="14" t="s">
        <v>3813</v>
      </c>
      <c r="AB390" s="14" t="s">
        <v>3884</v>
      </c>
    </row>
    <row r="391" spans="1:30" ht="55.2" hidden="1" x14ac:dyDescent="0.3">
      <c r="A391" s="13" t="s">
        <v>467</v>
      </c>
      <c r="B391" s="13" t="s">
        <v>458</v>
      </c>
      <c r="C391" s="13" t="s">
        <v>466</v>
      </c>
      <c r="D391" s="13" t="s">
        <v>465</v>
      </c>
      <c r="E391" s="13" t="s">
        <v>472</v>
      </c>
      <c r="F391" s="13" t="s">
        <v>471</v>
      </c>
      <c r="G391" s="13" t="s">
        <v>473</v>
      </c>
      <c r="H391" s="13" t="s">
        <v>468</v>
      </c>
      <c r="I391" s="13" t="s">
        <v>469</v>
      </c>
      <c r="J391" s="13" t="s">
        <v>470</v>
      </c>
      <c r="K391" s="13" t="s">
        <v>39</v>
      </c>
      <c r="L391" s="13" t="s">
        <v>467</v>
      </c>
      <c r="M391" s="14" t="s">
        <v>141</v>
      </c>
      <c r="N391" s="13"/>
      <c r="O391" s="13" t="s">
        <v>31</v>
      </c>
      <c r="P391" s="13"/>
      <c r="Q391" s="13"/>
      <c r="R391" s="13"/>
      <c r="S391" s="17" t="s">
        <v>474</v>
      </c>
      <c r="T391" s="15">
        <v>2022</v>
      </c>
      <c r="U391" s="13" t="s">
        <v>45</v>
      </c>
      <c r="V391" s="13" t="s">
        <v>29</v>
      </c>
      <c r="X391" s="14">
        <v>5</v>
      </c>
      <c r="Y391" s="14"/>
      <c r="Z391" s="14" t="s">
        <v>3835</v>
      </c>
      <c r="AA391" s="14" t="s">
        <v>3817</v>
      </c>
      <c r="AB391" s="14" t="s">
        <v>3884</v>
      </c>
    </row>
    <row r="392" spans="1:30" ht="27.6" hidden="1" x14ac:dyDescent="0.3">
      <c r="A392" s="13" t="s">
        <v>300</v>
      </c>
      <c r="B392" s="13" t="s">
        <v>298</v>
      </c>
      <c r="C392" s="13" t="s">
        <v>299</v>
      </c>
      <c r="D392" s="13" t="s">
        <v>297</v>
      </c>
      <c r="E392" s="13" t="s">
        <v>304</v>
      </c>
      <c r="F392" s="13" t="s">
        <v>303</v>
      </c>
      <c r="G392" s="13" t="s">
        <v>305</v>
      </c>
      <c r="H392" s="13" t="s">
        <v>301</v>
      </c>
      <c r="I392" s="13" t="s">
        <v>302</v>
      </c>
      <c r="J392" s="13" t="s">
        <v>72</v>
      </c>
      <c r="K392" s="13" t="s">
        <v>39</v>
      </c>
      <c r="N392" s="13"/>
      <c r="S392" s="17" t="s">
        <v>306</v>
      </c>
      <c r="T392" s="15">
        <v>2022</v>
      </c>
      <c r="U392" s="13" t="s">
        <v>45</v>
      </c>
      <c r="V392" s="13" t="s">
        <v>29</v>
      </c>
      <c r="X392" s="14">
        <v>10</v>
      </c>
      <c r="Y392" s="14"/>
      <c r="Z392" s="14" t="s">
        <v>2148</v>
      </c>
      <c r="AA392" s="14" t="s">
        <v>3818</v>
      </c>
      <c r="AB392" s="14" t="s">
        <v>3890</v>
      </c>
    </row>
    <row r="393" spans="1:30" ht="55.2" hidden="1" x14ac:dyDescent="0.3">
      <c r="A393" s="13" t="s">
        <v>3719</v>
      </c>
      <c r="B393" s="13" t="s">
        <v>3718</v>
      </c>
      <c r="C393" s="13" t="s">
        <v>60</v>
      </c>
      <c r="D393" s="13" t="s">
        <v>3717</v>
      </c>
      <c r="E393" s="13" t="s">
        <v>3724</v>
      </c>
      <c r="F393" s="13" t="s">
        <v>3723</v>
      </c>
      <c r="G393" s="13" t="s">
        <v>3725</v>
      </c>
      <c r="H393" s="13" t="s">
        <v>3720</v>
      </c>
      <c r="I393" s="13" t="s">
        <v>3721</v>
      </c>
      <c r="J393" s="13" t="s">
        <v>3722</v>
      </c>
      <c r="K393" s="13" t="s">
        <v>39</v>
      </c>
      <c r="L393" s="13" t="s">
        <v>3719</v>
      </c>
      <c r="M393" s="14" t="s">
        <v>3804</v>
      </c>
      <c r="N393" s="13"/>
      <c r="O393" s="13" t="s">
        <v>31</v>
      </c>
      <c r="P393" s="13"/>
      <c r="Q393" s="13"/>
      <c r="R393" s="13"/>
      <c r="S393" s="17" t="s">
        <v>3726</v>
      </c>
      <c r="T393" s="15">
        <v>2022</v>
      </c>
      <c r="U393" s="13" t="s">
        <v>45</v>
      </c>
      <c r="V393" s="13" t="s">
        <v>29</v>
      </c>
      <c r="X393" s="14">
        <v>5</v>
      </c>
      <c r="Y393" s="14"/>
      <c r="Z393" s="14" t="s">
        <v>3828</v>
      </c>
      <c r="AA393" s="14" t="s">
        <v>3837</v>
      </c>
      <c r="AB393" s="14" t="s">
        <v>3885</v>
      </c>
    </row>
    <row r="394" spans="1:30" ht="41.4" hidden="1" x14ac:dyDescent="0.3">
      <c r="A394" s="13" t="s">
        <v>2309</v>
      </c>
      <c r="B394" s="13" t="s">
        <v>2302</v>
      </c>
      <c r="C394" s="13" t="s">
        <v>354</v>
      </c>
      <c r="D394" s="13" t="s">
        <v>2308</v>
      </c>
      <c r="E394" s="13" t="s">
        <v>2314</v>
      </c>
      <c r="F394" s="13" t="s">
        <v>2313</v>
      </c>
      <c r="G394" s="13" t="s">
        <v>2315</v>
      </c>
      <c r="H394" s="13" t="s">
        <v>2310</v>
      </c>
      <c r="I394" s="13" t="s">
        <v>2311</v>
      </c>
      <c r="J394" s="13" t="s">
        <v>2312</v>
      </c>
      <c r="K394" s="13" t="s">
        <v>39</v>
      </c>
      <c r="L394" s="13" t="s">
        <v>2309</v>
      </c>
      <c r="M394" s="14" t="s">
        <v>141</v>
      </c>
      <c r="N394" s="13"/>
      <c r="O394" s="13" t="s">
        <v>31</v>
      </c>
      <c r="P394" s="13"/>
      <c r="Q394" s="13"/>
      <c r="R394" s="13"/>
      <c r="S394" s="17" t="s">
        <v>2316</v>
      </c>
      <c r="T394" s="15">
        <v>2022</v>
      </c>
      <c r="U394" s="13" t="s">
        <v>45</v>
      </c>
      <c r="V394" s="13" t="s">
        <v>29</v>
      </c>
      <c r="X394" s="14">
        <v>5</v>
      </c>
      <c r="Y394" s="14"/>
      <c r="Z394" s="14" t="s">
        <v>3828</v>
      </c>
      <c r="AA394" s="14" t="s">
        <v>3822</v>
      </c>
      <c r="AB394" s="14" t="s">
        <v>3887</v>
      </c>
    </row>
    <row r="395" spans="1:30" ht="41.4" hidden="1" x14ac:dyDescent="0.3">
      <c r="A395" s="13" t="s">
        <v>1530</v>
      </c>
      <c r="B395" s="13" t="s">
        <v>1529</v>
      </c>
      <c r="C395" s="13" t="s">
        <v>229</v>
      </c>
      <c r="D395" s="13" t="s">
        <v>1528</v>
      </c>
      <c r="E395" s="13" t="s">
        <v>1534</v>
      </c>
      <c r="F395" s="13" t="s">
        <v>1533</v>
      </c>
      <c r="H395" s="13" t="s">
        <v>1531</v>
      </c>
      <c r="J395" s="13" t="s">
        <v>1532</v>
      </c>
      <c r="K395" s="13" t="s">
        <v>39</v>
      </c>
      <c r="L395" s="13" t="s">
        <v>1530</v>
      </c>
      <c r="M395" s="14" t="s">
        <v>3804</v>
      </c>
      <c r="N395" s="13"/>
      <c r="O395" s="13" t="s">
        <v>31</v>
      </c>
      <c r="P395" s="13"/>
      <c r="Q395" s="13"/>
      <c r="R395" s="13"/>
      <c r="S395" s="17" t="s">
        <v>1535</v>
      </c>
      <c r="T395" s="15">
        <v>2022</v>
      </c>
      <c r="U395" s="13" t="s">
        <v>45</v>
      </c>
      <c r="V395" s="13" t="s">
        <v>29</v>
      </c>
      <c r="X395" s="14">
        <v>100</v>
      </c>
      <c r="Y395" s="16" t="s">
        <v>7278</v>
      </c>
      <c r="Z395" s="14" t="s">
        <v>3870</v>
      </c>
      <c r="AA395" s="14" t="s">
        <v>3806</v>
      </c>
      <c r="AB395" s="14" t="s">
        <v>3886</v>
      </c>
    </row>
    <row r="396" spans="1:30" ht="69" hidden="1" x14ac:dyDescent="0.3">
      <c r="A396" s="13" t="s">
        <v>3848</v>
      </c>
      <c r="B396" s="13" t="s">
        <v>2477</v>
      </c>
      <c r="C396" s="13" t="s">
        <v>466</v>
      </c>
      <c r="D396" s="13" t="s">
        <v>2476</v>
      </c>
      <c r="E396" s="13" t="s">
        <v>2482</v>
      </c>
      <c r="F396" s="13" t="s">
        <v>2481</v>
      </c>
      <c r="G396" s="13" t="s">
        <v>2483</v>
      </c>
      <c r="H396" s="13" t="s">
        <v>2478</v>
      </c>
      <c r="I396" s="13" t="s">
        <v>2479</v>
      </c>
      <c r="J396" s="13" t="s">
        <v>2480</v>
      </c>
      <c r="K396" s="13" t="s">
        <v>39</v>
      </c>
      <c r="L396" s="13" t="s">
        <v>3848</v>
      </c>
      <c r="M396" s="14" t="s">
        <v>3804</v>
      </c>
      <c r="N396" s="13"/>
      <c r="O396" s="13" t="s">
        <v>31</v>
      </c>
      <c r="P396" s="13"/>
      <c r="Q396" s="13"/>
      <c r="R396" s="13"/>
      <c r="S396" s="17" t="s">
        <v>2484</v>
      </c>
      <c r="T396" s="15">
        <v>2022</v>
      </c>
      <c r="U396" s="13" t="s">
        <v>45</v>
      </c>
      <c r="V396" s="13" t="s">
        <v>29</v>
      </c>
      <c r="X396" s="14">
        <v>5</v>
      </c>
      <c r="Y396" s="16" t="s">
        <v>7278</v>
      </c>
      <c r="Z396" s="14" t="s">
        <v>3828</v>
      </c>
      <c r="AA396" s="14" t="s">
        <v>3807</v>
      </c>
      <c r="AB396" s="14" t="s">
        <v>3888</v>
      </c>
    </row>
    <row r="397" spans="1:30" ht="55.2" x14ac:dyDescent="0.3">
      <c r="A397" s="13" t="s">
        <v>1059</v>
      </c>
      <c r="B397" s="13" t="s">
        <v>1058</v>
      </c>
      <c r="C397" s="13" t="s">
        <v>994</v>
      </c>
      <c r="D397" s="13" t="s">
        <v>1057</v>
      </c>
      <c r="E397" s="13" t="s">
        <v>1062</v>
      </c>
      <c r="F397" s="13" t="s">
        <v>1061</v>
      </c>
      <c r="H397" s="13" t="s">
        <v>1060</v>
      </c>
      <c r="J397" s="13" t="s">
        <v>1060</v>
      </c>
      <c r="K397" s="13" t="s">
        <v>39</v>
      </c>
      <c r="L397" s="13" t="s">
        <v>1059</v>
      </c>
      <c r="M397" s="14" t="s">
        <v>3804</v>
      </c>
      <c r="N397" s="13"/>
      <c r="O397" s="13" t="s">
        <v>31</v>
      </c>
      <c r="P397" s="13"/>
      <c r="Q397" s="13"/>
      <c r="R397" s="13"/>
      <c r="S397" s="17" t="s">
        <v>1063</v>
      </c>
      <c r="T397" s="15">
        <v>2022</v>
      </c>
      <c r="U397" s="13" t="s">
        <v>45</v>
      </c>
      <c r="V397" s="13" t="s">
        <v>29</v>
      </c>
      <c r="X397" s="14"/>
      <c r="Y397" s="16" t="s">
        <v>10081</v>
      </c>
      <c r="Z397" s="14" t="s">
        <v>3835</v>
      </c>
      <c r="AA397" s="14" t="s">
        <v>3813</v>
      </c>
      <c r="AB397" s="14" t="s">
        <v>3884</v>
      </c>
    </row>
    <row r="398" spans="1:30" ht="82.8" hidden="1" x14ac:dyDescent="0.3">
      <c r="A398" s="13" t="s">
        <v>2066</v>
      </c>
      <c r="B398" s="13" t="s">
        <v>2064</v>
      </c>
      <c r="C398" s="13" t="s">
        <v>2065</v>
      </c>
      <c r="D398" s="13" t="s">
        <v>2063</v>
      </c>
      <c r="E398" s="13" t="s">
        <v>2070</v>
      </c>
      <c r="F398" s="13" t="s">
        <v>2069</v>
      </c>
      <c r="G398" s="13" t="s">
        <v>2071</v>
      </c>
      <c r="H398" s="13" t="s">
        <v>2067</v>
      </c>
      <c r="I398" s="13" t="s">
        <v>2068</v>
      </c>
      <c r="J398" s="13" t="s">
        <v>72</v>
      </c>
      <c r="K398" s="13" t="s">
        <v>39</v>
      </c>
      <c r="L398" s="13" t="s">
        <v>2066</v>
      </c>
      <c r="M398" s="14" t="s">
        <v>141</v>
      </c>
      <c r="N398" s="13"/>
      <c r="O398" s="13" t="s">
        <v>31</v>
      </c>
      <c r="P398" s="13"/>
      <c r="Q398" s="13"/>
      <c r="R398" s="13"/>
      <c r="S398" s="17" t="s">
        <v>44</v>
      </c>
      <c r="T398" s="15">
        <v>2022</v>
      </c>
      <c r="U398" s="13" t="s">
        <v>45</v>
      </c>
      <c r="V398" s="13" t="s">
        <v>29</v>
      </c>
      <c r="X398" s="14">
        <v>5</v>
      </c>
      <c r="Y398" s="14"/>
      <c r="Z398" s="14" t="s">
        <v>3828</v>
      </c>
      <c r="AA398" s="14" t="s">
        <v>3819</v>
      </c>
      <c r="AB398" s="14" t="s">
        <v>3888</v>
      </c>
    </row>
    <row r="399" spans="1:30" ht="82.8" x14ac:dyDescent="0.3">
      <c r="A399" s="13" t="s">
        <v>35</v>
      </c>
      <c r="B399" s="13" t="s">
        <v>33</v>
      </c>
      <c r="C399" s="13" t="s">
        <v>34</v>
      </c>
      <c r="D399" s="13" t="s">
        <v>32</v>
      </c>
      <c r="E399" s="13" t="s">
        <v>41</v>
      </c>
      <c r="F399" s="13" t="s">
        <v>40</v>
      </c>
      <c r="G399" s="13" t="s">
        <v>43</v>
      </c>
      <c r="H399" s="13" t="s">
        <v>36</v>
      </c>
      <c r="I399" s="13" t="s">
        <v>37</v>
      </c>
      <c r="J399" s="13" t="s">
        <v>38</v>
      </c>
      <c r="K399" s="13" t="s">
        <v>39</v>
      </c>
      <c r="L399" s="13" t="s">
        <v>35</v>
      </c>
      <c r="M399" s="14" t="s">
        <v>3804</v>
      </c>
      <c r="N399" s="13"/>
      <c r="O399" s="13" t="s">
        <v>31</v>
      </c>
      <c r="P399" s="13"/>
      <c r="Q399" s="13"/>
      <c r="R399" s="13"/>
      <c r="S399" s="17" t="s">
        <v>44</v>
      </c>
      <c r="T399" s="15">
        <v>2022</v>
      </c>
      <c r="U399" s="13" t="s">
        <v>45</v>
      </c>
      <c r="V399" s="13" t="s">
        <v>29</v>
      </c>
      <c r="X399" s="14"/>
      <c r="Y399" s="16" t="s">
        <v>10081</v>
      </c>
      <c r="Z399" s="14" t="s">
        <v>3828</v>
      </c>
      <c r="AA399" s="14" t="s">
        <v>3807</v>
      </c>
      <c r="AB399" s="14" t="s">
        <v>3888</v>
      </c>
    </row>
    <row r="400" spans="1:30" hidden="1" x14ac:dyDescent="0.3">
      <c r="A400" s="13" t="s">
        <v>1025</v>
      </c>
      <c r="B400" s="13" t="s">
        <v>2601</v>
      </c>
      <c r="C400" s="13" t="s">
        <v>2602</v>
      </c>
      <c r="D400" s="13" t="s">
        <v>2600</v>
      </c>
      <c r="E400" s="13" t="s">
        <v>2605</v>
      </c>
      <c r="F400" s="13" t="s">
        <v>2604</v>
      </c>
      <c r="J400" s="13" t="s">
        <v>2603</v>
      </c>
      <c r="K400" s="13" t="s">
        <v>39</v>
      </c>
      <c r="L400" s="13" t="s">
        <v>1025</v>
      </c>
      <c r="M400" s="14" t="s">
        <v>141</v>
      </c>
      <c r="N400" s="13"/>
      <c r="O400" s="13" t="s">
        <v>31</v>
      </c>
      <c r="P400" s="13"/>
      <c r="Q400" s="13"/>
      <c r="R400" s="13"/>
      <c r="S400" s="17" t="s">
        <v>2606</v>
      </c>
      <c r="T400" s="15">
        <v>2022</v>
      </c>
      <c r="U400" s="13" t="s">
        <v>45</v>
      </c>
      <c r="V400" s="13" t="s">
        <v>29</v>
      </c>
      <c r="X400" s="14">
        <v>5</v>
      </c>
      <c r="Y400" s="14"/>
      <c r="Z400" s="14" t="s">
        <v>3835</v>
      </c>
      <c r="AA400" s="14" t="s">
        <v>3813</v>
      </c>
      <c r="AB400" s="14" t="s">
        <v>3884</v>
      </c>
    </row>
    <row r="401" spans="1:28" ht="69" x14ac:dyDescent="0.3">
      <c r="A401" s="13" t="s">
        <v>147</v>
      </c>
      <c r="B401" s="13" t="s">
        <v>145</v>
      </c>
      <c r="C401" s="13" t="s">
        <v>146</v>
      </c>
      <c r="D401" s="13" t="s">
        <v>144</v>
      </c>
      <c r="E401" s="13" t="s">
        <v>151</v>
      </c>
      <c r="F401" s="13" t="s">
        <v>150</v>
      </c>
      <c r="G401" s="13" t="s">
        <v>153</v>
      </c>
      <c r="H401" s="13" t="s">
        <v>148</v>
      </c>
      <c r="I401" s="13" t="s">
        <v>149</v>
      </c>
      <c r="J401" s="13" t="s">
        <v>72</v>
      </c>
      <c r="K401" s="13" t="s">
        <v>39</v>
      </c>
      <c r="L401" s="13" t="s">
        <v>147</v>
      </c>
      <c r="M401" s="14" t="s">
        <v>152</v>
      </c>
      <c r="N401" s="13"/>
      <c r="O401" s="13" t="s">
        <v>31</v>
      </c>
      <c r="P401" s="13"/>
      <c r="Q401" s="13"/>
      <c r="R401" s="13"/>
      <c r="S401" s="17" t="s">
        <v>154</v>
      </c>
      <c r="T401" s="15">
        <v>2022</v>
      </c>
      <c r="U401" s="13" t="s">
        <v>45</v>
      </c>
      <c r="V401" s="13" t="s">
        <v>29</v>
      </c>
      <c r="X401" s="14"/>
      <c r="Y401" s="16" t="s">
        <v>10081</v>
      </c>
      <c r="Z401" s="14" t="s">
        <v>3835</v>
      </c>
      <c r="AA401" s="14" t="s">
        <v>3813</v>
      </c>
      <c r="AB401" s="14" t="s">
        <v>3884</v>
      </c>
    </row>
    <row r="402" spans="1:28" ht="27.6" hidden="1" x14ac:dyDescent="0.3">
      <c r="A402" s="13" t="s">
        <v>1926</v>
      </c>
      <c r="B402" s="13" t="s">
        <v>1925</v>
      </c>
      <c r="C402" s="13" t="s">
        <v>60</v>
      </c>
      <c r="D402" s="13" t="s">
        <v>1924</v>
      </c>
      <c r="E402" s="13" t="s">
        <v>1931</v>
      </c>
      <c r="F402" s="13" t="s">
        <v>1930</v>
      </c>
      <c r="G402" s="13" t="s">
        <v>1932</v>
      </c>
      <c r="H402" s="13" t="s">
        <v>1927</v>
      </c>
      <c r="I402" s="13" t="s">
        <v>1928</v>
      </c>
      <c r="J402" s="13" t="s">
        <v>1929</v>
      </c>
      <c r="K402" s="13" t="s">
        <v>39</v>
      </c>
      <c r="L402" s="13" t="s">
        <v>1926</v>
      </c>
      <c r="M402" s="14" t="s">
        <v>3804</v>
      </c>
      <c r="N402" s="13"/>
      <c r="O402" s="13" t="s">
        <v>31</v>
      </c>
      <c r="P402" s="13"/>
      <c r="Q402" s="13"/>
      <c r="R402" s="13"/>
      <c r="S402" s="17" t="s">
        <v>1933</v>
      </c>
      <c r="T402" s="15">
        <v>2022</v>
      </c>
      <c r="U402" s="13" t="s">
        <v>45</v>
      </c>
      <c r="V402" s="13" t="s">
        <v>29</v>
      </c>
      <c r="X402" s="14">
        <v>5</v>
      </c>
      <c r="Y402" s="14"/>
      <c r="Z402" s="14" t="s">
        <v>3835</v>
      </c>
      <c r="AA402" s="14" t="s">
        <v>3813</v>
      </c>
      <c r="AB402" s="14" t="s">
        <v>3884</v>
      </c>
    </row>
    <row r="403" spans="1:28" ht="55.2" x14ac:dyDescent="0.3">
      <c r="A403" s="13" t="s">
        <v>69</v>
      </c>
      <c r="B403" s="13" t="s">
        <v>67</v>
      </c>
      <c r="C403" s="13" t="s">
        <v>68</v>
      </c>
      <c r="D403" s="13" t="s">
        <v>66</v>
      </c>
      <c r="E403" s="13" t="s">
        <v>74</v>
      </c>
      <c r="F403" s="13" t="s">
        <v>73</v>
      </c>
      <c r="G403" s="13" t="s">
        <v>75</v>
      </c>
      <c r="H403" s="13" t="s">
        <v>70</v>
      </c>
      <c r="I403" s="13" t="s">
        <v>71</v>
      </c>
      <c r="J403" s="13" t="s">
        <v>72</v>
      </c>
      <c r="K403" s="13" t="s">
        <v>39</v>
      </c>
      <c r="L403" s="13" t="s">
        <v>69</v>
      </c>
      <c r="M403" s="14" t="s">
        <v>3804</v>
      </c>
      <c r="N403" s="13"/>
      <c r="O403" s="13" t="s">
        <v>31</v>
      </c>
      <c r="P403" s="13"/>
      <c r="Q403" s="13"/>
      <c r="R403" s="13"/>
      <c r="S403" s="17" t="s">
        <v>76</v>
      </c>
      <c r="T403" s="15">
        <v>2022</v>
      </c>
      <c r="U403" s="13" t="s">
        <v>45</v>
      </c>
      <c r="V403" s="13" t="s">
        <v>29</v>
      </c>
      <c r="X403" s="14"/>
      <c r="Y403" s="16" t="s">
        <v>10081</v>
      </c>
      <c r="Z403" s="14" t="s">
        <v>3828</v>
      </c>
      <c r="AA403" s="14" t="s">
        <v>3809</v>
      </c>
      <c r="AB403" s="14" t="s">
        <v>3888</v>
      </c>
    </row>
    <row r="404" spans="1:28" ht="55.2" hidden="1" x14ac:dyDescent="0.3">
      <c r="A404" s="13" t="s">
        <v>2741</v>
      </c>
      <c r="B404" s="13" t="s">
        <v>2740</v>
      </c>
      <c r="C404" s="13" t="s">
        <v>447</v>
      </c>
      <c r="D404" s="13" t="s">
        <v>2739</v>
      </c>
      <c r="E404" s="13" t="s">
        <v>2745</v>
      </c>
      <c r="F404" s="13" t="s">
        <v>2744</v>
      </c>
      <c r="G404" s="13" t="s">
        <v>2746</v>
      </c>
      <c r="J404" s="13" t="s">
        <v>2742</v>
      </c>
      <c r="K404" s="13" t="s">
        <v>2743</v>
      </c>
      <c r="L404" s="13" t="s">
        <v>2741</v>
      </c>
      <c r="M404" s="14" t="s">
        <v>141</v>
      </c>
      <c r="N404" s="13"/>
      <c r="O404" s="13" t="s">
        <v>31</v>
      </c>
      <c r="P404" s="13"/>
      <c r="Q404" s="13"/>
      <c r="R404" s="13"/>
      <c r="S404" s="17" t="s">
        <v>2747</v>
      </c>
      <c r="T404" s="15">
        <v>2022</v>
      </c>
      <c r="U404" s="13" t="s">
        <v>45</v>
      </c>
      <c r="V404" s="13" t="s">
        <v>29</v>
      </c>
      <c r="X404" s="14">
        <v>5</v>
      </c>
      <c r="Y404" s="14"/>
      <c r="Z404" s="14" t="s">
        <v>3835</v>
      </c>
      <c r="AA404" s="14" t="s">
        <v>3814</v>
      </c>
      <c r="AB404" s="14" t="s">
        <v>3884</v>
      </c>
    </row>
    <row r="405" spans="1:28" ht="41.4" hidden="1" x14ac:dyDescent="0.3">
      <c r="A405" s="13" t="s">
        <v>566</v>
      </c>
      <c r="B405" s="13" t="s">
        <v>556</v>
      </c>
      <c r="C405" s="13" t="s">
        <v>565</v>
      </c>
      <c r="D405" s="13" t="s">
        <v>564</v>
      </c>
      <c r="E405" s="13" t="s">
        <v>571</v>
      </c>
      <c r="F405" s="13" t="s">
        <v>570</v>
      </c>
      <c r="G405" s="13" t="s">
        <v>572</v>
      </c>
      <c r="H405" s="13" t="s">
        <v>567</v>
      </c>
      <c r="I405" s="13" t="s">
        <v>568</v>
      </c>
      <c r="J405" s="13" t="s">
        <v>569</v>
      </c>
      <c r="K405" s="13" t="s">
        <v>39</v>
      </c>
      <c r="L405" s="13" t="s">
        <v>566</v>
      </c>
      <c r="M405" s="14" t="s">
        <v>3804</v>
      </c>
      <c r="N405" s="13"/>
      <c r="O405" s="13" t="s">
        <v>31</v>
      </c>
      <c r="P405" s="13"/>
      <c r="Q405" s="13"/>
      <c r="R405" s="13"/>
      <c r="S405" s="17" t="s">
        <v>573</v>
      </c>
      <c r="T405" s="15">
        <v>2022</v>
      </c>
      <c r="U405" s="13" t="s">
        <v>45</v>
      </c>
      <c r="V405" s="13" t="s">
        <v>5284</v>
      </c>
      <c r="W405" s="12" t="s">
        <v>5283</v>
      </c>
      <c r="X405" s="14" t="s">
        <v>10076</v>
      </c>
      <c r="Y405" s="16">
        <v>45012</v>
      </c>
      <c r="Z405" s="14" t="s">
        <v>3828</v>
      </c>
      <c r="AA405" s="14" t="s">
        <v>3811</v>
      </c>
      <c r="AB405" s="14" t="s">
        <v>3887</v>
      </c>
    </row>
    <row r="406" spans="1:28" ht="69" x14ac:dyDescent="0.3">
      <c r="A406" s="13" t="s">
        <v>2111</v>
      </c>
      <c r="B406" s="13" t="s">
        <v>2109</v>
      </c>
      <c r="C406" s="13" t="s">
        <v>2110</v>
      </c>
      <c r="D406" s="13" t="s">
        <v>2108</v>
      </c>
      <c r="E406" s="13" t="s">
        <v>2116</v>
      </c>
      <c r="F406" s="13" t="s">
        <v>2115</v>
      </c>
      <c r="G406" s="13" t="s">
        <v>2117</v>
      </c>
      <c r="H406" s="13" t="s">
        <v>2112</v>
      </c>
      <c r="I406" s="13" t="s">
        <v>2113</v>
      </c>
      <c r="J406" s="13" t="s">
        <v>2114</v>
      </c>
      <c r="K406" s="13" t="s">
        <v>39</v>
      </c>
      <c r="L406" s="13" t="s">
        <v>2111</v>
      </c>
      <c r="M406" s="14" t="s">
        <v>3804</v>
      </c>
      <c r="N406" s="13"/>
      <c r="O406" s="13" t="s">
        <v>31</v>
      </c>
      <c r="P406" s="13"/>
      <c r="Q406" s="13"/>
      <c r="R406" s="13"/>
      <c r="S406" s="17" t="s">
        <v>2118</v>
      </c>
      <c r="T406" s="15">
        <v>2022</v>
      </c>
      <c r="U406" s="13" t="s">
        <v>45</v>
      </c>
      <c r="V406" s="13" t="s">
        <v>29</v>
      </c>
      <c r="X406" s="14"/>
      <c r="Y406" s="16" t="s">
        <v>10081</v>
      </c>
      <c r="Z406" s="14" t="s">
        <v>3835</v>
      </c>
      <c r="AA406" s="14" t="s">
        <v>3814</v>
      </c>
      <c r="AB406" s="14" t="s">
        <v>3884</v>
      </c>
    </row>
    <row r="407" spans="1:28" ht="124.2" x14ac:dyDescent="0.3">
      <c r="A407" s="13" t="s">
        <v>3791</v>
      </c>
      <c r="B407" s="13" t="s">
        <v>3790</v>
      </c>
      <c r="C407" s="13" t="s">
        <v>557</v>
      </c>
      <c r="D407" s="13" t="s">
        <v>3789</v>
      </c>
      <c r="E407" s="13" t="s">
        <v>3796</v>
      </c>
      <c r="F407" s="13" t="s">
        <v>3795</v>
      </c>
      <c r="G407" s="13" t="s">
        <v>3797</v>
      </c>
      <c r="H407" s="13" t="s">
        <v>3792</v>
      </c>
      <c r="I407" s="13" t="s">
        <v>3793</v>
      </c>
      <c r="J407" s="13" t="s">
        <v>3794</v>
      </c>
      <c r="K407" s="13" t="s">
        <v>39</v>
      </c>
      <c r="L407" s="13" t="s">
        <v>3791</v>
      </c>
      <c r="M407" s="14" t="s">
        <v>3804</v>
      </c>
      <c r="N407" s="13"/>
      <c r="O407" s="13" t="s">
        <v>31</v>
      </c>
      <c r="P407" s="13"/>
      <c r="Q407" s="13"/>
      <c r="R407" s="13"/>
      <c r="S407" s="17" t="s">
        <v>3798</v>
      </c>
      <c r="T407" s="15">
        <v>2022</v>
      </c>
      <c r="U407" s="13" t="s">
        <v>45</v>
      </c>
      <c r="V407" s="13" t="s">
        <v>29</v>
      </c>
      <c r="X407" s="14"/>
      <c r="Y407" s="16" t="s">
        <v>10081</v>
      </c>
      <c r="Z407" s="14" t="s">
        <v>3835</v>
      </c>
      <c r="AA407" s="14" t="s">
        <v>3813</v>
      </c>
      <c r="AB407" s="14" t="s">
        <v>3884</v>
      </c>
    </row>
    <row r="408" spans="1:28" ht="55.2" x14ac:dyDescent="0.3">
      <c r="A408" s="13" t="s">
        <v>3121</v>
      </c>
      <c r="B408" s="13" t="s">
        <v>3116</v>
      </c>
      <c r="C408" s="13" t="s">
        <v>3120</v>
      </c>
      <c r="D408" s="13" t="s">
        <v>3119</v>
      </c>
      <c r="E408" s="13" t="s">
        <v>3125</v>
      </c>
      <c r="F408" s="13" t="s">
        <v>3124</v>
      </c>
      <c r="G408" s="13" t="s">
        <v>3126</v>
      </c>
      <c r="H408" s="13" t="s">
        <v>3122</v>
      </c>
      <c r="I408" s="13" t="s">
        <v>3123</v>
      </c>
      <c r="J408" s="13" t="s">
        <v>72</v>
      </c>
      <c r="K408" s="13" t="s">
        <v>39</v>
      </c>
      <c r="L408" s="13" t="s">
        <v>3121</v>
      </c>
      <c r="M408" s="14" t="s">
        <v>3804</v>
      </c>
      <c r="N408" s="13"/>
      <c r="O408" s="13" t="s">
        <v>31</v>
      </c>
      <c r="P408" s="13"/>
      <c r="Q408" s="13"/>
      <c r="R408" s="13"/>
      <c r="S408" s="17" t="s">
        <v>3127</v>
      </c>
      <c r="T408" s="15">
        <v>2022</v>
      </c>
      <c r="U408" s="13" t="s">
        <v>45</v>
      </c>
      <c r="V408" s="13" t="s">
        <v>29</v>
      </c>
      <c r="X408" s="14"/>
      <c r="Y408" s="16" t="s">
        <v>10081</v>
      </c>
      <c r="Z408" s="14" t="s">
        <v>3828</v>
      </c>
      <c r="AA408" s="14" t="s">
        <v>3837</v>
      </c>
      <c r="AB408" s="14" t="s">
        <v>3885</v>
      </c>
    </row>
    <row r="409" spans="1:28" ht="55.2" x14ac:dyDescent="0.3">
      <c r="A409" s="13" t="s">
        <v>3860</v>
      </c>
      <c r="B409" s="13" t="s">
        <v>3551</v>
      </c>
      <c r="C409" s="13" t="s">
        <v>346</v>
      </c>
      <c r="D409" s="13" t="s">
        <v>3550</v>
      </c>
      <c r="E409" s="13" t="s">
        <v>3556</v>
      </c>
      <c r="F409" s="13" t="s">
        <v>3555</v>
      </c>
      <c r="G409" s="13" t="s">
        <v>3557</v>
      </c>
      <c r="H409" s="13" t="s">
        <v>3552</v>
      </c>
      <c r="I409" s="13" t="s">
        <v>3553</v>
      </c>
      <c r="J409" s="13" t="s">
        <v>3554</v>
      </c>
      <c r="K409" s="13" t="s">
        <v>39</v>
      </c>
      <c r="L409" s="13" t="s">
        <v>3860</v>
      </c>
      <c r="M409" s="14" t="s">
        <v>141</v>
      </c>
      <c r="N409" s="13"/>
      <c r="O409" s="13" t="s">
        <v>31</v>
      </c>
      <c r="P409" s="13"/>
      <c r="Q409" s="13"/>
      <c r="R409" s="13"/>
      <c r="S409" s="17" t="s">
        <v>3558</v>
      </c>
      <c r="T409" s="15">
        <v>2022</v>
      </c>
      <c r="U409" s="13" t="s">
        <v>45</v>
      </c>
      <c r="V409" s="13" t="s">
        <v>29</v>
      </c>
      <c r="X409" s="14"/>
      <c r="Y409" s="16" t="s">
        <v>10081</v>
      </c>
      <c r="Z409" s="14" t="s">
        <v>3828</v>
      </c>
      <c r="AA409" s="14" t="s">
        <v>3816</v>
      </c>
      <c r="AB409" s="14" t="s">
        <v>3885</v>
      </c>
    </row>
    <row r="410" spans="1:28" hidden="1" x14ac:dyDescent="0.3">
      <c r="A410" s="13" t="s">
        <v>1025</v>
      </c>
      <c r="B410" s="13" t="s">
        <v>2073</v>
      </c>
      <c r="C410" s="13" t="s">
        <v>124</v>
      </c>
      <c r="D410" s="13" t="s">
        <v>2079</v>
      </c>
      <c r="E410" s="13" t="s">
        <v>2083</v>
      </c>
      <c r="F410" s="13" t="s">
        <v>2082</v>
      </c>
      <c r="G410" s="13" t="s">
        <v>2084</v>
      </c>
      <c r="H410" s="13" t="s">
        <v>2080</v>
      </c>
      <c r="J410" s="13" t="s">
        <v>2081</v>
      </c>
      <c r="K410" s="13" t="s">
        <v>39</v>
      </c>
      <c r="L410" s="13" t="s">
        <v>1025</v>
      </c>
      <c r="M410" s="14" t="s">
        <v>141</v>
      </c>
      <c r="N410" s="13"/>
      <c r="O410" s="13" t="s">
        <v>31</v>
      </c>
      <c r="P410" s="13"/>
      <c r="Q410" s="13"/>
      <c r="R410" s="13"/>
      <c r="S410" s="17" t="s">
        <v>2085</v>
      </c>
      <c r="T410" s="15">
        <v>2022</v>
      </c>
      <c r="U410" s="13" t="s">
        <v>45</v>
      </c>
      <c r="V410" s="13" t="s">
        <v>29</v>
      </c>
      <c r="X410" s="14">
        <v>5</v>
      </c>
      <c r="Y410" s="14"/>
      <c r="Z410" s="14" t="s">
        <v>3828</v>
      </c>
      <c r="AA410" s="14" t="s">
        <v>3821</v>
      </c>
      <c r="AB410" s="14" t="s">
        <v>3885</v>
      </c>
    </row>
    <row r="411" spans="1:28" ht="124.2" hidden="1" x14ac:dyDescent="0.3">
      <c r="A411" s="13" t="s">
        <v>3361</v>
      </c>
      <c r="B411" s="13" t="s">
        <v>3360</v>
      </c>
      <c r="C411" s="13" t="s">
        <v>3319</v>
      </c>
      <c r="D411" s="13" t="s">
        <v>3359</v>
      </c>
      <c r="E411" s="13" t="s">
        <v>3364</v>
      </c>
      <c r="F411" s="13" t="s">
        <v>3363</v>
      </c>
      <c r="H411" s="13" t="s">
        <v>2148</v>
      </c>
      <c r="J411" s="13" t="s">
        <v>3362</v>
      </c>
      <c r="K411" s="13" t="s">
        <v>39</v>
      </c>
      <c r="L411" s="13" t="s">
        <v>3361</v>
      </c>
      <c r="M411" s="14" t="s">
        <v>3804</v>
      </c>
      <c r="N411" s="13"/>
      <c r="O411" s="13" t="s">
        <v>31</v>
      </c>
      <c r="P411" s="13"/>
      <c r="Q411" s="13"/>
      <c r="R411" s="13"/>
      <c r="S411" s="17" t="s">
        <v>2085</v>
      </c>
      <c r="T411" s="15">
        <v>2022</v>
      </c>
      <c r="U411" s="13" t="s">
        <v>45</v>
      </c>
      <c r="V411" s="13" t="s">
        <v>29</v>
      </c>
      <c r="X411" s="14">
        <v>5</v>
      </c>
      <c r="Y411" s="16" t="s">
        <v>7278</v>
      </c>
      <c r="Z411" s="14" t="s">
        <v>2148</v>
      </c>
      <c r="AA411" s="14" t="s">
        <v>3818</v>
      </c>
      <c r="AB411" s="14" t="s">
        <v>3890</v>
      </c>
    </row>
    <row r="412" spans="1:28" ht="55.2" x14ac:dyDescent="0.3">
      <c r="A412" s="13" t="s">
        <v>2366</v>
      </c>
      <c r="B412" s="13" t="s">
        <v>2365</v>
      </c>
      <c r="C412" s="13" t="s">
        <v>157</v>
      </c>
      <c r="D412" s="13" t="s">
        <v>2364</v>
      </c>
      <c r="E412" s="13" t="s">
        <v>2368</v>
      </c>
      <c r="F412" s="13" t="s">
        <v>2367</v>
      </c>
      <c r="G412" s="13" t="s">
        <v>2369</v>
      </c>
      <c r="J412" s="13" t="s">
        <v>72</v>
      </c>
      <c r="K412" s="13" t="s">
        <v>39</v>
      </c>
      <c r="L412" s="13" t="s">
        <v>2366</v>
      </c>
      <c r="M412" s="14" t="s">
        <v>3804</v>
      </c>
      <c r="N412" s="13"/>
      <c r="O412" s="13" t="s">
        <v>31</v>
      </c>
      <c r="P412" s="13"/>
      <c r="Q412" s="13"/>
      <c r="R412" s="13"/>
      <c r="S412" s="17" t="s">
        <v>2370</v>
      </c>
      <c r="T412" s="15">
        <v>2022</v>
      </c>
      <c r="U412" s="13" t="s">
        <v>45</v>
      </c>
      <c r="V412" s="13" t="s">
        <v>29</v>
      </c>
      <c r="X412" s="14"/>
      <c r="Y412" s="16" t="s">
        <v>10081</v>
      </c>
      <c r="Z412" s="14" t="s">
        <v>3835</v>
      </c>
      <c r="AA412" s="14" t="s">
        <v>3813</v>
      </c>
      <c r="AB412" s="14" t="s">
        <v>3884</v>
      </c>
    </row>
    <row r="413" spans="1:28" ht="55.2" x14ac:dyDescent="0.3">
      <c r="A413" s="13" t="s">
        <v>1553</v>
      </c>
      <c r="B413" s="13" t="s">
        <v>1537</v>
      </c>
      <c r="C413" s="13" t="s">
        <v>346</v>
      </c>
      <c r="D413" s="13" t="s">
        <v>1552</v>
      </c>
      <c r="E413" s="13" t="s">
        <v>1558</v>
      </c>
      <c r="F413" s="13" t="s">
        <v>1557</v>
      </c>
      <c r="G413" s="13" t="s">
        <v>1559</v>
      </c>
      <c r="H413" s="13" t="s">
        <v>1554</v>
      </c>
      <c r="I413" s="13" t="s">
        <v>1555</v>
      </c>
      <c r="J413" s="13" t="s">
        <v>1556</v>
      </c>
      <c r="K413" s="13" t="s">
        <v>39</v>
      </c>
      <c r="L413" s="13" t="s">
        <v>1553</v>
      </c>
      <c r="M413" s="14" t="s">
        <v>3804</v>
      </c>
      <c r="N413" s="13"/>
      <c r="O413" s="13" t="s">
        <v>31</v>
      </c>
      <c r="P413" s="13"/>
      <c r="Q413" s="13"/>
      <c r="R413" s="13"/>
      <c r="S413" s="17" t="s">
        <v>1560</v>
      </c>
      <c r="T413" s="15">
        <v>2022</v>
      </c>
      <c r="U413" s="13" t="s">
        <v>45</v>
      </c>
      <c r="V413" s="13" t="s">
        <v>29</v>
      </c>
      <c r="X413" s="14"/>
      <c r="Y413" s="16" t="s">
        <v>10081</v>
      </c>
      <c r="Z413" s="14" t="s">
        <v>3835</v>
      </c>
      <c r="AA413" s="14" t="s">
        <v>3814</v>
      </c>
      <c r="AB413" s="14" t="s">
        <v>3884</v>
      </c>
    </row>
    <row r="414" spans="1:28" ht="55.2" x14ac:dyDescent="0.3">
      <c r="A414" s="13" t="s">
        <v>2441</v>
      </c>
      <c r="B414" s="13" t="s">
        <v>2440</v>
      </c>
      <c r="C414" s="13" t="s">
        <v>523</v>
      </c>
      <c r="D414" s="13" t="s">
        <v>2439</v>
      </c>
      <c r="E414" s="13" t="s">
        <v>2445</v>
      </c>
      <c r="F414" s="13" t="s">
        <v>2444</v>
      </c>
      <c r="G414" s="13" t="s">
        <v>2446</v>
      </c>
      <c r="H414" s="13" t="s">
        <v>2442</v>
      </c>
      <c r="I414" s="13" t="s">
        <v>2443</v>
      </c>
      <c r="J414" s="13" t="s">
        <v>72</v>
      </c>
      <c r="K414" s="13" t="s">
        <v>39</v>
      </c>
      <c r="L414" s="13" t="s">
        <v>2441</v>
      </c>
      <c r="M414" s="14" t="s">
        <v>3804</v>
      </c>
      <c r="N414" s="13"/>
      <c r="O414" s="13" t="s">
        <v>31</v>
      </c>
      <c r="P414" s="13"/>
      <c r="Q414" s="13"/>
      <c r="R414" s="13"/>
      <c r="S414" s="17" t="s">
        <v>2447</v>
      </c>
      <c r="T414" s="15">
        <v>2022</v>
      </c>
      <c r="U414" s="13" t="s">
        <v>45</v>
      </c>
      <c r="V414" s="13" t="s">
        <v>29</v>
      </c>
      <c r="X414" s="14"/>
      <c r="Y414" s="16" t="s">
        <v>10081</v>
      </c>
      <c r="Z414" s="14" t="s">
        <v>3828</v>
      </c>
      <c r="AA414" s="14" t="s">
        <v>3847</v>
      </c>
      <c r="AB414" s="14" t="s">
        <v>3888</v>
      </c>
    </row>
    <row r="415" spans="1:28" ht="41.4" hidden="1" x14ac:dyDescent="0.3">
      <c r="A415" s="13" t="s">
        <v>540</v>
      </c>
      <c r="B415" s="13" t="s">
        <v>538</v>
      </c>
      <c r="C415" s="13" t="s">
        <v>539</v>
      </c>
      <c r="D415" s="13" t="s">
        <v>537</v>
      </c>
      <c r="E415" s="13" t="s">
        <v>542</v>
      </c>
      <c r="F415" s="13" t="s">
        <v>541</v>
      </c>
      <c r="G415" s="13" t="s">
        <v>543</v>
      </c>
      <c r="J415" s="13" t="s">
        <v>72</v>
      </c>
      <c r="K415" s="13" t="s">
        <v>39</v>
      </c>
      <c r="L415" s="13" t="s">
        <v>540</v>
      </c>
      <c r="M415" s="14" t="s">
        <v>3804</v>
      </c>
      <c r="N415" s="13"/>
      <c r="O415" s="13" t="s">
        <v>31</v>
      </c>
      <c r="P415" s="13"/>
      <c r="Q415" s="13"/>
      <c r="R415" s="13"/>
      <c r="S415" s="17" t="s">
        <v>544</v>
      </c>
      <c r="T415" s="15">
        <v>2022</v>
      </c>
      <c r="U415" s="13" t="s">
        <v>45</v>
      </c>
      <c r="V415" s="13" t="s">
        <v>29</v>
      </c>
      <c r="X415" s="14">
        <v>5</v>
      </c>
      <c r="Y415" s="14"/>
      <c r="Z415" s="14" t="s">
        <v>2148</v>
      </c>
      <c r="AA415" s="14" t="s">
        <v>3818</v>
      </c>
      <c r="AB415" s="14" t="s">
        <v>3890</v>
      </c>
    </row>
    <row r="416" spans="1:28" ht="55.2" x14ac:dyDescent="0.3">
      <c r="A416" s="13" t="s">
        <v>731</v>
      </c>
      <c r="B416" s="13" t="s">
        <v>3655</v>
      </c>
      <c r="C416" s="13" t="s">
        <v>477</v>
      </c>
      <c r="D416" s="13" t="s">
        <v>3654</v>
      </c>
      <c r="E416" s="13" t="s">
        <v>3660</v>
      </c>
      <c r="F416" s="13" t="s">
        <v>3659</v>
      </c>
      <c r="H416" s="13" t="s">
        <v>3656</v>
      </c>
      <c r="I416" s="13" t="s">
        <v>3657</v>
      </c>
      <c r="J416" s="13" t="s">
        <v>3658</v>
      </c>
      <c r="K416" s="13" t="s">
        <v>39</v>
      </c>
      <c r="L416" s="13" t="s">
        <v>731</v>
      </c>
      <c r="M416" s="14" t="s">
        <v>3804</v>
      </c>
      <c r="N416" s="13"/>
      <c r="O416" s="13" t="s">
        <v>31</v>
      </c>
      <c r="P416" s="13"/>
      <c r="Q416" s="13"/>
      <c r="R416" s="13"/>
      <c r="S416" s="17" t="s">
        <v>3661</v>
      </c>
      <c r="T416" s="15">
        <v>2022</v>
      </c>
      <c r="U416" s="13" t="s">
        <v>45</v>
      </c>
      <c r="V416" s="13" t="s">
        <v>29</v>
      </c>
      <c r="X416" s="14"/>
      <c r="Y416" s="16" t="s">
        <v>10081</v>
      </c>
      <c r="Z416" s="14" t="s">
        <v>3835</v>
      </c>
      <c r="AA416" s="14" t="s">
        <v>3817</v>
      </c>
      <c r="AB416" s="14" t="s">
        <v>3884</v>
      </c>
    </row>
    <row r="417" spans="1:30" ht="55.2" hidden="1" x14ac:dyDescent="0.3">
      <c r="A417" s="13" t="s">
        <v>337</v>
      </c>
      <c r="B417" s="13" t="s">
        <v>335</v>
      </c>
      <c r="C417" s="13" t="s">
        <v>336</v>
      </c>
      <c r="D417" s="13" t="s">
        <v>334</v>
      </c>
      <c r="E417" s="13" t="s">
        <v>341</v>
      </c>
      <c r="F417" s="13" t="s">
        <v>340</v>
      </c>
      <c r="G417" s="13" t="s">
        <v>342</v>
      </c>
      <c r="I417" s="13" t="s">
        <v>338</v>
      </c>
      <c r="J417" s="13" t="s">
        <v>339</v>
      </c>
      <c r="K417" s="13" t="s">
        <v>39</v>
      </c>
      <c r="L417" s="13" t="s">
        <v>337</v>
      </c>
      <c r="M417" s="14" t="s">
        <v>3804</v>
      </c>
      <c r="N417" s="13"/>
      <c r="O417" s="13" t="s">
        <v>31</v>
      </c>
      <c r="P417" s="13"/>
      <c r="Q417" s="13"/>
      <c r="R417" s="13"/>
      <c r="S417" s="17" t="s">
        <v>343</v>
      </c>
      <c r="T417" s="15">
        <v>2022</v>
      </c>
      <c r="U417" s="13" t="s">
        <v>45</v>
      </c>
      <c r="V417" s="13" t="s">
        <v>29</v>
      </c>
      <c r="X417" s="14">
        <v>5</v>
      </c>
      <c r="Y417" s="14"/>
      <c r="Z417" s="14" t="s">
        <v>3835</v>
      </c>
      <c r="AA417" s="14" t="s">
        <v>3813</v>
      </c>
      <c r="AB417" s="14" t="s">
        <v>3884</v>
      </c>
    </row>
    <row r="418" spans="1:30" ht="55.2" x14ac:dyDescent="0.3">
      <c r="A418" s="13" t="s">
        <v>3852</v>
      </c>
      <c r="B418" s="13" t="s">
        <v>2877</v>
      </c>
      <c r="C418" s="13" t="s">
        <v>2878</v>
      </c>
      <c r="D418" s="13" t="s">
        <v>2876</v>
      </c>
      <c r="E418" s="13" t="s">
        <v>2881</v>
      </c>
      <c r="F418" s="13" t="s">
        <v>2880</v>
      </c>
      <c r="G418" s="13" t="s">
        <v>2882</v>
      </c>
      <c r="H418" s="13" t="s">
        <v>1379</v>
      </c>
      <c r="I418" s="13" t="s">
        <v>2879</v>
      </c>
      <c r="J418" s="13" t="s">
        <v>72</v>
      </c>
      <c r="K418" s="13" t="s">
        <v>39</v>
      </c>
      <c r="L418" s="13" t="s">
        <v>3852</v>
      </c>
      <c r="M418" s="14" t="s">
        <v>3804</v>
      </c>
      <c r="N418" s="13"/>
      <c r="O418" s="13" t="s">
        <v>31</v>
      </c>
      <c r="P418" s="13"/>
      <c r="Q418" s="13"/>
      <c r="R418" s="13"/>
      <c r="S418" s="17" t="s">
        <v>2883</v>
      </c>
      <c r="T418" s="15">
        <v>2022</v>
      </c>
      <c r="U418" s="13" t="s">
        <v>45</v>
      </c>
      <c r="V418" s="13" t="s">
        <v>29</v>
      </c>
      <c r="X418" s="14"/>
      <c r="Y418" s="16" t="s">
        <v>10081</v>
      </c>
      <c r="Z418" s="14" t="s">
        <v>3828</v>
      </c>
      <c r="AA418" s="14" t="s">
        <v>3816</v>
      </c>
      <c r="AB418" s="14" t="s">
        <v>3885</v>
      </c>
    </row>
    <row r="419" spans="1:30" ht="55.2" hidden="1" x14ac:dyDescent="0.3">
      <c r="A419" s="13" t="s">
        <v>2807</v>
      </c>
      <c r="B419" s="13" t="s">
        <v>2806</v>
      </c>
      <c r="C419" s="13" t="s">
        <v>157</v>
      </c>
      <c r="D419" s="13" t="s">
        <v>2805</v>
      </c>
      <c r="E419" s="13" t="s">
        <v>2810</v>
      </c>
      <c r="F419" s="13" t="s">
        <v>2809</v>
      </c>
      <c r="G419" s="13" t="s">
        <v>2811</v>
      </c>
      <c r="H419" s="13" t="s">
        <v>2808</v>
      </c>
      <c r="I419" s="13" t="s">
        <v>589</v>
      </c>
      <c r="J419" s="13" t="s">
        <v>1123</v>
      </c>
      <c r="K419" s="13" t="s">
        <v>39</v>
      </c>
      <c r="L419" s="13" t="s">
        <v>2807</v>
      </c>
      <c r="M419" s="14" t="s">
        <v>3804</v>
      </c>
      <c r="N419" s="13"/>
      <c r="O419" s="13" t="s">
        <v>31</v>
      </c>
      <c r="P419" s="13"/>
      <c r="Q419" s="13"/>
      <c r="R419" s="13"/>
      <c r="S419" s="17" t="s">
        <v>2812</v>
      </c>
      <c r="T419" s="15">
        <v>2022</v>
      </c>
      <c r="U419" s="13" t="s">
        <v>45</v>
      </c>
      <c r="V419" s="13" t="s">
        <v>29</v>
      </c>
      <c r="X419" s="14">
        <v>5</v>
      </c>
      <c r="Y419" s="16" t="s">
        <v>5979</v>
      </c>
      <c r="Z419" s="14" t="s">
        <v>3835</v>
      </c>
      <c r="AA419" s="14" t="s">
        <v>3817</v>
      </c>
      <c r="AB419" s="14" t="s">
        <v>3884</v>
      </c>
    </row>
    <row r="420" spans="1:30" ht="96.6" x14ac:dyDescent="0.3">
      <c r="A420" s="13" t="s">
        <v>1044</v>
      </c>
      <c r="B420" s="13" t="s">
        <v>1042</v>
      </c>
      <c r="C420" s="13" t="s">
        <v>1043</v>
      </c>
      <c r="D420" s="13" t="s">
        <v>1041</v>
      </c>
      <c r="E420" s="13" t="s">
        <v>1046</v>
      </c>
      <c r="F420" s="13" t="s">
        <v>1045</v>
      </c>
      <c r="G420" s="13" t="s">
        <v>1047</v>
      </c>
      <c r="J420" s="13" t="s">
        <v>72</v>
      </c>
      <c r="K420" s="13" t="s">
        <v>39</v>
      </c>
      <c r="L420" s="13" t="s">
        <v>1044</v>
      </c>
      <c r="M420" s="14" t="s">
        <v>3804</v>
      </c>
      <c r="N420" s="13"/>
      <c r="O420" s="13" t="s">
        <v>31</v>
      </c>
      <c r="P420" s="13"/>
      <c r="Q420" s="13"/>
      <c r="R420" s="13"/>
      <c r="S420" s="17" t="s">
        <v>1048</v>
      </c>
      <c r="T420" s="15">
        <v>2022</v>
      </c>
      <c r="U420" s="13" t="s">
        <v>45</v>
      </c>
      <c r="V420" s="13" t="s">
        <v>29</v>
      </c>
      <c r="X420" s="14"/>
      <c r="Y420" s="16" t="s">
        <v>10081</v>
      </c>
      <c r="Z420" s="14" t="s">
        <v>3828</v>
      </c>
      <c r="AA420" s="14" t="s">
        <v>3809</v>
      </c>
      <c r="AB420" s="14" t="s">
        <v>3888</v>
      </c>
    </row>
    <row r="421" spans="1:30" ht="69" hidden="1" x14ac:dyDescent="0.3">
      <c r="A421" s="13" t="s">
        <v>2726</v>
      </c>
      <c r="B421" s="13" t="s">
        <v>2725</v>
      </c>
      <c r="C421" s="13" t="s">
        <v>2097</v>
      </c>
      <c r="D421" s="13" t="s">
        <v>2724</v>
      </c>
      <c r="F421" s="13" t="s">
        <v>2728</v>
      </c>
      <c r="G421" s="13" t="s">
        <v>2729</v>
      </c>
      <c r="J421" s="13" t="s">
        <v>2727</v>
      </c>
      <c r="K421" s="13" t="s">
        <v>39</v>
      </c>
      <c r="L421" s="13" t="s">
        <v>2726</v>
      </c>
      <c r="M421" s="14" t="s">
        <v>3804</v>
      </c>
      <c r="N421" s="13"/>
      <c r="O421" s="13" t="s">
        <v>31</v>
      </c>
      <c r="P421" s="13"/>
      <c r="Q421" s="13"/>
      <c r="R421" s="13"/>
      <c r="S421" s="17" t="s">
        <v>2730</v>
      </c>
      <c r="T421" s="15">
        <v>2022</v>
      </c>
      <c r="U421" s="13" t="s">
        <v>45</v>
      </c>
      <c r="V421" s="13" t="s">
        <v>29</v>
      </c>
      <c r="X421" s="14">
        <v>5</v>
      </c>
      <c r="Y421" s="14"/>
      <c r="Z421" s="14" t="s">
        <v>2148</v>
      </c>
      <c r="AA421" s="14" t="s">
        <v>3831</v>
      </c>
      <c r="AB421" s="14" t="s">
        <v>3891</v>
      </c>
    </row>
    <row r="422" spans="1:30" ht="69" x14ac:dyDescent="0.3">
      <c r="A422" s="13" t="s">
        <v>1614</v>
      </c>
      <c r="B422" s="13" t="s">
        <v>1613</v>
      </c>
      <c r="C422" s="13" t="s">
        <v>466</v>
      </c>
      <c r="D422" s="13" t="s">
        <v>1612</v>
      </c>
      <c r="E422" s="13" t="s">
        <v>1616</v>
      </c>
      <c r="F422" s="13" t="s">
        <v>1615</v>
      </c>
      <c r="J422" s="13" t="s">
        <v>72</v>
      </c>
      <c r="K422" s="13" t="s">
        <v>39</v>
      </c>
      <c r="L422" s="13" t="s">
        <v>1614</v>
      </c>
      <c r="M422" s="14" t="s">
        <v>3804</v>
      </c>
      <c r="N422" s="13"/>
      <c r="O422" s="13" t="s">
        <v>31</v>
      </c>
      <c r="P422" s="13"/>
      <c r="Q422" s="13"/>
      <c r="R422" s="13"/>
      <c r="S422" s="17" t="s">
        <v>1617</v>
      </c>
      <c r="T422" s="15">
        <v>2022</v>
      </c>
      <c r="U422" s="13" t="s">
        <v>45</v>
      </c>
      <c r="V422" s="13" t="s">
        <v>29</v>
      </c>
      <c r="X422" s="14"/>
      <c r="Y422" s="16" t="s">
        <v>10081</v>
      </c>
      <c r="Z422" s="14" t="s">
        <v>2148</v>
      </c>
      <c r="AA422" s="14" t="s">
        <v>3818</v>
      </c>
      <c r="AB422" s="14" t="s">
        <v>3890</v>
      </c>
    </row>
    <row r="423" spans="1:30" ht="82.8" hidden="1" x14ac:dyDescent="0.3">
      <c r="A423" s="13" t="s">
        <v>3188</v>
      </c>
      <c r="B423" s="13" t="s">
        <v>3181</v>
      </c>
      <c r="C423" s="13" t="s">
        <v>1387</v>
      </c>
      <c r="D423" s="13" t="s">
        <v>3187</v>
      </c>
      <c r="E423" s="13" t="s">
        <v>3192</v>
      </c>
      <c r="F423" s="13" t="s">
        <v>3191</v>
      </c>
      <c r="G423" s="13" t="s">
        <v>3193</v>
      </c>
      <c r="H423" s="13" t="s">
        <v>3189</v>
      </c>
      <c r="I423" s="13" t="s">
        <v>3190</v>
      </c>
      <c r="J423" s="13" t="s">
        <v>72</v>
      </c>
      <c r="K423" s="13" t="s">
        <v>39</v>
      </c>
      <c r="L423" s="13" t="s">
        <v>3188</v>
      </c>
      <c r="M423" s="14" t="s">
        <v>141</v>
      </c>
      <c r="N423" s="13"/>
      <c r="O423" s="13" t="s">
        <v>31</v>
      </c>
      <c r="P423" s="13"/>
      <c r="Q423" s="13"/>
      <c r="R423" s="13"/>
      <c r="S423" s="17" t="s">
        <v>3194</v>
      </c>
      <c r="T423" s="15">
        <v>2022</v>
      </c>
      <c r="U423" s="13" t="s">
        <v>45</v>
      </c>
      <c r="V423" s="13" t="s">
        <v>29</v>
      </c>
      <c r="X423" s="14">
        <v>5</v>
      </c>
      <c r="Y423" s="14"/>
      <c r="Z423" s="14" t="s">
        <v>3835</v>
      </c>
      <c r="AA423" s="14" t="s">
        <v>3810</v>
      </c>
      <c r="AB423" s="14" t="s">
        <v>3884</v>
      </c>
    </row>
    <row r="424" spans="1:30" ht="69" hidden="1" x14ac:dyDescent="0.3">
      <c r="A424" s="13" t="s">
        <v>1883</v>
      </c>
      <c r="B424" s="13" t="s">
        <v>1881</v>
      </c>
      <c r="C424" s="13" t="s">
        <v>1882</v>
      </c>
      <c r="D424" s="13" t="s">
        <v>1880</v>
      </c>
      <c r="E424" s="13" t="s">
        <v>1888</v>
      </c>
      <c r="F424" s="13" t="s">
        <v>1887</v>
      </c>
      <c r="H424" s="13" t="s">
        <v>1884</v>
      </c>
      <c r="I424" s="13" t="s">
        <v>1885</v>
      </c>
      <c r="J424" s="13" t="s">
        <v>1886</v>
      </c>
      <c r="K424" s="13" t="s">
        <v>39</v>
      </c>
      <c r="L424" s="13" t="s">
        <v>1883</v>
      </c>
      <c r="M424" s="14" t="s">
        <v>3804</v>
      </c>
      <c r="N424" s="13"/>
      <c r="O424" s="13" t="s">
        <v>31</v>
      </c>
      <c r="P424" s="13"/>
      <c r="Q424" s="13"/>
      <c r="R424" s="13"/>
      <c r="S424" s="17" t="s">
        <v>1889</v>
      </c>
      <c r="T424" s="15">
        <v>2022</v>
      </c>
      <c r="U424" s="13" t="s">
        <v>45</v>
      </c>
      <c r="V424" s="13" t="s">
        <v>29</v>
      </c>
      <c r="X424" s="14">
        <v>5</v>
      </c>
      <c r="Y424" s="14"/>
      <c r="Z424" s="14" t="s">
        <v>3828</v>
      </c>
      <c r="AA424" s="14" t="s">
        <v>3815</v>
      </c>
      <c r="AB424" s="14" t="s">
        <v>3888</v>
      </c>
    </row>
    <row r="425" spans="1:30" ht="55.2" x14ac:dyDescent="0.3">
      <c r="A425" s="13" t="s">
        <v>3165</v>
      </c>
      <c r="B425" s="13" t="s">
        <v>3158</v>
      </c>
      <c r="C425" s="13" t="s">
        <v>2097</v>
      </c>
      <c r="D425" s="13" t="s">
        <v>3164</v>
      </c>
      <c r="E425" s="13" t="s">
        <v>3169</v>
      </c>
      <c r="F425" s="13" t="s">
        <v>3168</v>
      </c>
      <c r="G425" s="13" t="s">
        <v>3170</v>
      </c>
      <c r="H425" s="13" t="s">
        <v>3166</v>
      </c>
      <c r="I425" s="13" t="s">
        <v>3167</v>
      </c>
      <c r="J425" s="13" t="s">
        <v>72</v>
      </c>
      <c r="K425" s="13" t="s">
        <v>39</v>
      </c>
      <c r="L425" s="13" t="s">
        <v>3165</v>
      </c>
      <c r="M425" s="14" t="s">
        <v>3804</v>
      </c>
      <c r="N425" s="13"/>
      <c r="O425" s="13" t="s">
        <v>31</v>
      </c>
      <c r="P425" s="13"/>
      <c r="Q425" s="13"/>
      <c r="R425" s="13"/>
      <c r="S425" s="17" t="s">
        <v>3171</v>
      </c>
      <c r="T425" s="15">
        <v>2022</v>
      </c>
      <c r="U425" s="13" t="s">
        <v>45</v>
      </c>
      <c r="V425" s="13" t="s">
        <v>29</v>
      </c>
      <c r="X425" s="14"/>
      <c r="Y425" s="16" t="s">
        <v>10081</v>
      </c>
      <c r="Z425" s="14" t="s">
        <v>3828</v>
      </c>
      <c r="AA425" s="14" t="s">
        <v>3819</v>
      </c>
      <c r="AB425" s="14" t="s">
        <v>3888</v>
      </c>
    </row>
    <row r="426" spans="1:30" ht="151.80000000000001" hidden="1" x14ac:dyDescent="0.3">
      <c r="A426" s="13" t="s">
        <v>204</v>
      </c>
      <c r="B426" s="13" t="s">
        <v>203</v>
      </c>
      <c r="C426" s="13" t="s">
        <v>60</v>
      </c>
      <c r="D426" s="13" t="s">
        <v>202</v>
      </c>
      <c r="E426" s="13" t="s">
        <v>208</v>
      </c>
      <c r="F426" s="13" t="s">
        <v>207</v>
      </c>
      <c r="G426" s="13" t="s">
        <v>209</v>
      </c>
      <c r="H426" s="13" t="s">
        <v>205</v>
      </c>
      <c r="I426" s="13" t="s">
        <v>206</v>
      </c>
      <c r="J426" s="13" t="s">
        <v>72</v>
      </c>
      <c r="K426" s="13" t="s">
        <v>39</v>
      </c>
      <c r="L426" s="13" t="s">
        <v>204</v>
      </c>
      <c r="M426" s="14" t="s">
        <v>3804</v>
      </c>
      <c r="N426" s="13"/>
      <c r="O426" s="13" t="s">
        <v>31</v>
      </c>
      <c r="P426" s="13"/>
      <c r="Q426" s="13"/>
      <c r="R426" s="13"/>
      <c r="S426" s="17" t="s">
        <v>210</v>
      </c>
      <c r="T426" s="15">
        <v>2022</v>
      </c>
      <c r="U426" s="13" t="s">
        <v>45</v>
      </c>
      <c r="V426" s="13" t="s">
        <v>29</v>
      </c>
      <c r="X426" s="14">
        <v>5</v>
      </c>
      <c r="Y426" s="14"/>
      <c r="Z426" s="14" t="s">
        <v>3828</v>
      </c>
      <c r="AA426" s="14" t="s">
        <v>3807</v>
      </c>
      <c r="AB426" s="14" t="s">
        <v>3888</v>
      </c>
    </row>
    <row r="427" spans="1:30" hidden="1" x14ac:dyDescent="0.3">
      <c r="A427" s="13" t="s">
        <v>22</v>
      </c>
      <c r="B427" s="13" t="s">
        <v>2344</v>
      </c>
      <c r="C427" s="13" t="s">
        <v>354</v>
      </c>
      <c r="D427" s="13" t="s">
        <v>2343</v>
      </c>
      <c r="E427" s="13" t="s">
        <v>2347</v>
      </c>
      <c r="F427" s="13" t="s">
        <v>2346</v>
      </c>
      <c r="J427" s="13" t="s">
        <v>2345</v>
      </c>
      <c r="K427" s="13" t="s">
        <v>39</v>
      </c>
      <c r="L427" s="13" t="s">
        <v>2349</v>
      </c>
      <c r="M427" s="14" t="s">
        <v>3804</v>
      </c>
      <c r="N427" s="13"/>
      <c r="O427" s="13" t="s">
        <v>31</v>
      </c>
      <c r="P427" s="13"/>
      <c r="Q427" s="13"/>
      <c r="R427" s="13"/>
      <c r="S427" s="17" t="s">
        <v>2348</v>
      </c>
      <c r="T427" s="15">
        <v>2022</v>
      </c>
      <c r="U427" s="13" t="s">
        <v>45</v>
      </c>
      <c r="V427" s="13" t="s">
        <v>29</v>
      </c>
      <c r="X427" s="14">
        <v>5</v>
      </c>
      <c r="Y427" s="14"/>
      <c r="Z427" s="14" t="s">
        <v>3835</v>
      </c>
      <c r="AA427" s="14" t="s">
        <v>3814</v>
      </c>
      <c r="AB427" s="14" t="s">
        <v>3884</v>
      </c>
    </row>
    <row r="428" spans="1:30" s="21" customFormat="1" ht="27.6" hidden="1" x14ac:dyDescent="0.3">
      <c r="A428" s="13" t="s">
        <v>2657</v>
      </c>
      <c r="B428" s="13" t="s">
        <v>2655</v>
      </c>
      <c r="C428" s="13" t="s">
        <v>2656</v>
      </c>
      <c r="D428" s="13" t="s">
        <v>2654</v>
      </c>
      <c r="E428" s="13" t="s">
        <v>2662</v>
      </c>
      <c r="F428" s="13" t="s">
        <v>2661</v>
      </c>
      <c r="G428" s="12"/>
      <c r="H428" s="13" t="s">
        <v>2658</v>
      </c>
      <c r="I428" s="13" t="s">
        <v>2659</v>
      </c>
      <c r="J428" s="13" t="s">
        <v>2660</v>
      </c>
      <c r="K428" s="13" t="s">
        <v>39</v>
      </c>
      <c r="L428" s="13" t="s">
        <v>2657</v>
      </c>
      <c r="M428" s="14" t="s">
        <v>3804</v>
      </c>
      <c r="N428" s="13"/>
      <c r="O428" s="13" t="s">
        <v>31</v>
      </c>
      <c r="P428" s="13"/>
      <c r="Q428" s="13"/>
      <c r="R428" s="13"/>
      <c r="S428" s="17" t="s">
        <v>2663</v>
      </c>
      <c r="T428" s="15">
        <v>2022</v>
      </c>
      <c r="U428" s="13" t="s">
        <v>45</v>
      </c>
      <c r="V428" s="13" t="s">
        <v>29</v>
      </c>
      <c r="W428" s="12"/>
      <c r="X428" s="14">
        <v>5</v>
      </c>
      <c r="Y428" s="14"/>
      <c r="Z428" s="14" t="s">
        <v>3835</v>
      </c>
      <c r="AA428" s="14" t="s">
        <v>3813</v>
      </c>
      <c r="AB428" s="14" t="s">
        <v>3884</v>
      </c>
      <c r="AC428" s="12"/>
      <c r="AD428" s="12"/>
    </row>
    <row r="429" spans="1:30" ht="27.6" hidden="1" x14ac:dyDescent="0.3">
      <c r="A429" s="13" t="s">
        <v>136</v>
      </c>
      <c r="B429" s="13" t="s">
        <v>135</v>
      </c>
      <c r="C429" s="13" t="s">
        <v>79</v>
      </c>
      <c r="D429" s="13" t="s">
        <v>134</v>
      </c>
      <c r="E429" s="13" t="s">
        <v>140</v>
      </c>
      <c r="F429" s="13" t="s">
        <v>139</v>
      </c>
      <c r="G429" s="13" t="s">
        <v>142</v>
      </c>
      <c r="H429" s="13" t="s">
        <v>137</v>
      </c>
      <c r="I429" s="13" t="s">
        <v>138</v>
      </c>
      <c r="J429" s="13" t="s">
        <v>72</v>
      </c>
      <c r="K429" s="13" t="s">
        <v>39</v>
      </c>
      <c r="L429" s="13" t="s">
        <v>136</v>
      </c>
      <c r="M429" s="14" t="s">
        <v>141</v>
      </c>
      <c r="N429" s="13"/>
      <c r="O429" s="13" t="s">
        <v>31</v>
      </c>
      <c r="P429" s="13"/>
      <c r="Q429" s="13"/>
      <c r="R429" s="13"/>
      <c r="S429" s="17" t="s">
        <v>143</v>
      </c>
      <c r="T429" s="15">
        <v>2022</v>
      </c>
      <c r="U429" s="13" t="s">
        <v>45</v>
      </c>
      <c r="V429" s="13" t="s">
        <v>29</v>
      </c>
      <c r="X429" s="14">
        <v>5</v>
      </c>
      <c r="Y429" s="14"/>
      <c r="Z429" s="14" t="s">
        <v>3870</v>
      </c>
      <c r="AA429" s="14" t="s">
        <v>3806</v>
      </c>
      <c r="AB429" s="14" t="s">
        <v>3886</v>
      </c>
    </row>
    <row r="430" spans="1:30" ht="41.4" hidden="1" x14ac:dyDescent="0.3">
      <c r="A430" s="13" t="s">
        <v>547</v>
      </c>
      <c r="B430" s="13" t="s">
        <v>546</v>
      </c>
      <c r="C430" s="13" t="s">
        <v>447</v>
      </c>
      <c r="D430" s="13" t="s">
        <v>545</v>
      </c>
      <c r="E430" s="13" t="s">
        <v>552</v>
      </c>
      <c r="F430" s="13" t="s">
        <v>551</v>
      </c>
      <c r="G430" s="13" t="s">
        <v>553</v>
      </c>
      <c r="H430" s="13" t="s">
        <v>548</v>
      </c>
      <c r="I430" s="13" t="s">
        <v>549</v>
      </c>
      <c r="J430" s="13" t="s">
        <v>550</v>
      </c>
      <c r="K430" s="13" t="s">
        <v>39</v>
      </c>
      <c r="L430" s="13" t="s">
        <v>547</v>
      </c>
      <c r="M430" s="14" t="s">
        <v>141</v>
      </c>
      <c r="N430" s="13"/>
      <c r="O430" s="13" t="s">
        <v>31</v>
      </c>
      <c r="P430" s="13"/>
      <c r="Q430" s="13"/>
      <c r="R430" s="13"/>
      <c r="S430" s="17" t="s">
        <v>554</v>
      </c>
      <c r="T430" s="15">
        <v>2022</v>
      </c>
      <c r="U430" s="13" t="s">
        <v>45</v>
      </c>
      <c r="V430" s="13" t="s">
        <v>29</v>
      </c>
      <c r="X430" s="14">
        <v>5</v>
      </c>
      <c r="Y430" s="14"/>
      <c r="Z430" s="14" t="s">
        <v>3828</v>
      </c>
      <c r="AA430" s="14" t="s">
        <v>3812</v>
      </c>
      <c r="AB430" s="14" t="s">
        <v>3887</v>
      </c>
    </row>
    <row r="431" spans="1:30" ht="41.4" hidden="1" x14ac:dyDescent="0.3">
      <c r="A431" s="13" t="s">
        <v>1322</v>
      </c>
      <c r="B431" s="13" t="s">
        <v>1320</v>
      </c>
      <c r="C431" s="13" t="s">
        <v>1321</v>
      </c>
      <c r="D431" s="13" t="s">
        <v>1319</v>
      </c>
      <c r="E431" s="13" t="s">
        <v>1328</v>
      </c>
      <c r="F431" s="13" t="s">
        <v>1327</v>
      </c>
      <c r="G431" s="13" t="s">
        <v>1329</v>
      </c>
      <c r="H431" s="13" t="s">
        <v>1323</v>
      </c>
      <c r="I431" s="13" t="s">
        <v>1324</v>
      </c>
      <c r="J431" s="13" t="s">
        <v>1325</v>
      </c>
      <c r="K431" s="13" t="s">
        <v>1326</v>
      </c>
      <c r="L431" s="13" t="s">
        <v>1322</v>
      </c>
      <c r="M431" s="14" t="s">
        <v>141</v>
      </c>
      <c r="N431" s="13"/>
      <c r="O431" s="13" t="s">
        <v>31</v>
      </c>
      <c r="P431" s="13"/>
      <c r="Q431" s="13"/>
      <c r="R431" s="13"/>
      <c r="S431" s="17" t="s">
        <v>1330</v>
      </c>
      <c r="T431" s="15">
        <v>2022</v>
      </c>
      <c r="U431" s="13" t="s">
        <v>45</v>
      </c>
      <c r="V431" s="13" t="s">
        <v>29</v>
      </c>
      <c r="X431" s="14">
        <v>5</v>
      </c>
      <c r="Y431" s="14"/>
      <c r="Z431" s="14" t="s">
        <v>3870</v>
      </c>
      <c r="AA431" s="14" t="s">
        <v>3806</v>
      </c>
      <c r="AB431" s="14" t="s">
        <v>3886</v>
      </c>
    </row>
    <row r="432" spans="1:30" hidden="1" x14ac:dyDescent="0.3">
      <c r="B432" s="13" t="s">
        <v>1806</v>
      </c>
      <c r="C432" s="13" t="s">
        <v>1807</v>
      </c>
      <c r="D432" s="13" t="s">
        <v>1805</v>
      </c>
      <c r="E432" s="13" t="s">
        <v>1810</v>
      </c>
      <c r="F432" s="13" t="s">
        <v>1809</v>
      </c>
      <c r="G432" s="13" t="s">
        <v>1811</v>
      </c>
      <c r="H432" s="13" t="s">
        <v>1808</v>
      </c>
      <c r="J432" s="13" t="s">
        <v>72</v>
      </c>
      <c r="K432" s="13" t="s">
        <v>39</v>
      </c>
      <c r="L432" s="13" t="s">
        <v>1813</v>
      </c>
      <c r="M432" s="14" t="s">
        <v>3804</v>
      </c>
      <c r="O432" s="13" t="s">
        <v>31</v>
      </c>
      <c r="P432" s="13"/>
      <c r="Q432" s="13"/>
      <c r="R432" s="13"/>
      <c r="S432" s="17" t="s">
        <v>1812</v>
      </c>
      <c r="T432" s="15">
        <v>2022</v>
      </c>
      <c r="U432" s="13" t="s">
        <v>45</v>
      </c>
      <c r="V432" s="13" t="s">
        <v>29</v>
      </c>
      <c r="X432" s="14">
        <v>10</v>
      </c>
      <c r="Y432" s="14"/>
      <c r="Z432" s="14" t="s">
        <v>2148</v>
      </c>
      <c r="AA432" s="14" t="s">
        <v>3831</v>
      </c>
      <c r="AB432" s="14" t="s">
        <v>3891</v>
      </c>
    </row>
    <row r="433" spans="2:28" ht="55.2" x14ac:dyDescent="0.3">
      <c r="B433" s="13" t="s">
        <v>1866</v>
      </c>
      <c r="C433" s="13" t="s">
        <v>1867</v>
      </c>
      <c r="D433" s="13" t="s">
        <v>1865</v>
      </c>
      <c r="E433" s="13" t="s">
        <v>1871</v>
      </c>
      <c r="F433" s="13" t="s">
        <v>1870</v>
      </c>
      <c r="H433" s="13" t="s">
        <v>1868</v>
      </c>
      <c r="I433" s="13" t="s">
        <v>1869</v>
      </c>
      <c r="J433" s="13" t="s">
        <v>1060</v>
      </c>
      <c r="K433" s="13" t="s">
        <v>39</v>
      </c>
      <c r="L433" s="13" t="s">
        <v>1873</v>
      </c>
      <c r="M433" s="14" t="s">
        <v>3804</v>
      </c>
      <c r="O433" s="13" t="s">
        <v>31</v>
      </c>
      <c r="P433" s="13"/>
      <c r="Q433" s="13"/>
      <c r="R433" s="13"/>
      <c r="S433" s="17" t="s">
        <v>1872</v>
      </c>
      <c r="T433" s="15">
        <v>2022</v>
      </c>
      <c r="U433" s="13" t="s">
        <v>45</v>
      </c>
      <c r="V433" s="13" t="s">
        <v>29</v>
      </c>
      <c r="X433" s="14"/>
      <c r="Y433" s="16" t="s">
        <v>10081</v>
      </c>
      <c r="Z433" s="14" t="s">
        <v>3870</v>
      </c>
      <c r="AA433" s="14" t="s">
        <v>3806</v>
      </c>
      <c r="AB433" s="14" t="s">
        <v>3886</v>
      </c>
    </row>
    <row r="434" spans="2:28" hidden="1" x14ac:dyDescent="0.3">
      <c r="B434" s="13" t="s">
        <v>2322</v>
      </c>
      <c r="C434" s="13" t="s">
        <v>1678</v>
      </c>
      <c r="D434" s="13" t="s">
        <v>2321</v>
      </c>
      <c r="E434" s="13" t="s">
        <v>2326</v>
      </c>
      <c r="F434" s="13" t="s">
        <v>2325</v>
      </c>
      <c r="G434" s="13" t="s">
        <v>2327</v>
      </c>
      <c r="H434" s="13" t="s">
        <v>2323</v>
      </c>
      <c r="I434" s="13" t="s">
        <v>2324</v>
      </c>
      <c r="J434" s="13" t="s">
        <v>72</v>
      </c>
      <c r="K434" s="13" t="s">
        <v>39</v>
      </c>
      <c r="L434" s="13" t="s">
        <v>2329</v>
      </c>
      <c r="M434" s="14" t="s">
        <v>141</v>
      </c>
      <c r="O434" s="13" t="s">
        <v>31</v>
      </c>
      <c r="P434" s="13"/>
      <c r="Q434" s="13"/>
      <c r="R434" s="13"/>
      <c r="S434" s="17" t="s">
        <v>2328</v>
      </c>
      <c r="T434" s="15">
        <v>2022</v>
      </c>
      <c r="U434" s="13" t="s">
        <v>45</v>
      </c>
      <c r="V434" s="13" t="s">
        <v>29</v>
      </c>
      <c r="X434" s="14">
        <v>10</v>
      </c>
      <c r="Y434" s="14"/>
      <c r="Z434" s="14" t="s">
        <v>3835</v>
      </c>
      <c r="AA434" s="14" t="s">
        <v>3814</v>
      </c>
      <c r="AB434" s="14" t="s">
        <v>3884</v>
      </c>
    </row>
    <row r="435" spans="2:28" hidden="1" x14ac:dyDescent="0.3">
      <c r="B435" s="13" t="s">
        <v>776</v>
      </c>
      <c r="C435" s="13" t="s">
        <v>769</v>
      </c>
      <c r="D435" s="13" t="s">
        <v>780</v>
      </c>
      <c r="E435" s="13" t="s">
        <v>784</v>
      </c>
      <c r="F435" s="13" t="s">
        <v>783</v>
      </c>
      <c r="G435" s="13" t="s">
        <v>785</v>
      </c>
      <c r="H435" s="13" t="s">
        <v>781</v>
      </c>
      <c r="I435" s="13" t="s">
        <v>782</v>
      </c>
      <c r="J435" s="13" t="s">
        <v>72</v>
      </c>
      <c r="K435" s="13" t="s">
        <v>39</v>
      </c>
      <c r="L435" s="13" t="s">
        <v>787</v>
      </c>
      <c r="M435" s="14" t="s">
        <v>141</v>
      </c>
      <c r="O435" s="13" t="s">
        <v>31</v>
      </c>
      <c r="P435" s="13"/>
      <c r="Q435" s="13"/>
      <c r="R435" s="13"/>
      <c r="S435" s="17" t="s">
        <v>786</v>
      </c>
      <c r="T435" s="15">
        <v>2022</v>
      </c>
      <c r="U435" s="13" t="s">
        <v>45</v>
      </c>
      <c r="V435" s="13" t="s">
        <v>29</v>
      </c>
      <c r="X435" s="14">
        <v>5</v>
      </c>
      <c r="Y435" s="14"/>
      <c r="Z435" s="14" t="s">
        <v>3870</v>
      </c>
      <c r="AA435" s="14" t="s">
        <v>3806</v>
      </c>
      <c r="AB435" s="14" t="s">
        <v>3886</v>
      </c>
    </row>
    <row r="436" spans="2:28" hidden="1" x14ac:dyDescent="0.3">
      <c r="B436" s="13" t="s">
        <v>3203</v>
      </c>
      <c r="C436" s="13" t="s">
        <v>157</v>
      </c>
      <c r="D436" s="13" t="s">
        <v>3210</v>
      </c>
      <c r="E436" s="13" t="s">
        <v>3214</v>
      </c>
      <c r="F436" s="13" t="s">
        <v>3213</v>
      </c>
      <c r="G436" s="13" t="s">
        <v>3215</v>
      </c>
      <c r="H436" s="13" t="s">
        <v>3211</v>
      </c>
      <c r="I436" s="13" t="s">
        <v>3212</v>
      </c>
      <c r="J436" s="13" t="s">
        <v>284</v>
      </c>
      <c r="K436" s="13" t="s">
        <v>39</v>
      </c>
      <c r="L436" s="13" t="s">
        <v>731</v>
      </c>
      <c r="M436" s="14" t="s">
        <v>141</v>
      </c>
      <c r="O436" s="13" t="s">
        <v>31</v>
      </c>
      <c r="P436" s="13"/>
      <c r="Q436" s="13"/>
      <c r="R436" s="13"/>
      <c r="S436" s="17" t="s">
        <v>3216</v>
      </c>
      <c r="T436" s="15">
        <v>2022</v>
      </c>
      <c r="U436" s="13" t="s">
        <v>45</v>
      </c>
      <c r="V436" s="13" t="s">
        <v>29</v>
      </c>
      <c r="X436" s="14">
        <v>5</v>
      </c>
      <c r="Y436" s="14"/>
      <c r="Z436" s="14" t="s">
        <v>3835</v>
      </c>
      <c r="AA436" s="14" t="s">
        <v>3814</v>
      </c>
      <c r="AB436" s="14" t="s">
        <v>3884</v>
      </c>
    </row>
    <row r="437" spans="2:28" hidden="1" x14ac:dyDescent="0.3">
      <c r="B437" s="13" t="s">
        <v>1161</v>
      </c>
      <c r="C437" s="13" t="s">
        <v>229</v>
      </c>
      <c r="D437" s="13" t="s">
        <v>1160</v>
      </c>
      <c r="E437" s="13" t="s">
        <v>1163</v>
      </c>
      <c r="F437" s="13" t="s">
        <v>1162</v>
      </c>
      <c r="J437" s="13" t="s">
        <v>72</v>
      </c>
      <c r="K437" s="13" t="s">
        <v>39</v>
      </c>
      <c r="L437" s="13" t="s">
        <v>1165</v>
      </c>
      <c r="M437" s="14" t="s">
        <v>141</v>
      </c>
      <c r="O437" s="13" t="s">
        <v>31</v>
      </c>
      <c r="P437" s="13"/>
      <c r="Q437" s="13"/>
      <c r="R437" s="13"/>
      <c r="S437" s="17" t="s">
        <v>1164</v>
      </c>
      <c r="T437" s="15">
        <v>2022</v>
      </c>
      <c r="U437" s="13" t="s">
        <v>45</v>
      </c>
      <c r="V437" s="13" t="s">
        <v>29</v>
      </c>
      <c r="X437" s="14">
        <v>5</v>
      </c>
      <c r="Y437" s="14"/>
      <c r="Z437" s="14" t="s">
        <v>3835</v>
      </c>
      <c r="AA437" s="14" t="s">
        <v>3813</v>
      </c>
      <c r="AB437" s="14" t="s">
        <v>3884</v>
      </c>
    </row>
    <row r="438" spans="2:28" hidden="1" x14ac:dyDescent="0.3">
      <c r="B438" s="13" t="s">
        <v>3234</v>
      </c>
      <c r="C438" s="13" t="s">
        <v>3235</v>
      </c>
      <c r="D438" s="13" t="s">
        <v>3233</v>
      </c>
      <c r="E438" s="13" t="s">
        <v>3240</v>
      </c>
      <c r="F438" s="13" t="s">
        <v>3239</v>
      </c>
      <c r="G438" s="13" t="s">
        <v>3241</v>
      </c>
      <c r="H438" s="13" t="s">
        <v>3236</v>
      </c>
      <c r="I438" s="13" t="s">
        <v>3237</v>
      </c>
      <c r="J438" s="13" t="s">
        <v>3238</v>
      </c>
      <c r="K438" s="13" t="s">
        <v>39</v>
      </c>
      <c r="L438" s="13" t="s">
        <v>3855</v>
      </c>
      <c r="M438" s="14" t="s">
        <v>141</v>
      </c>
      <c r="O438" s="13" t="s">
        <v>31</v>
      </c>
      <c r="P438" s="13"/>
      <c r="Q438" s="13"/>
      <c r="R438" s="13"/>
      <c r="S438" s="17" t="s">
        <v>3242</v>
      </c>
      <c r="T438" s="15">
        <v>2022</v>
      </c>
      <c r="U438" s="13" t="s">
        <v>45</v>
      </c>
      <c r="V438" s="13" t="s">
        <v>29</v>
      </c>
      <c r="X438" s="14">
        <v>5</v>
      </c>
      <c r="Y438" s="14"/>
      <c r="Z438" s="14" t="s">
        <v>3828</v>
      </c>
      <c r="AA438" s="14" t="s">
        <v>3807</v>
      </c>
      <c r="AB438" s="14" t="s">
        <v>3888</v>
      </c>
    </row>
    <row r="439" spans="2:28" ht="55.2" hidden="1" x14ac:dyDescent="0.3">
      <c r="B439" s="13" t="s">
        <v>2776</v>
      </c>
      <c r="C439" s="13" t="s">
        <v>229</v>
      </c>
      <c r="D439" s="13" t="s">
        <v>2775</v>
      </c>
      <c r="E439" s="13" t="s">
        <v>2778</v>
      </c>
      <c r="F439" s="13" t="s">
        <v>2777</v>
      </c>
      <c r="J439" s="13" t="s">
        <v>72</v>
      </c>
      <c r="K439" s="13" t="s">
        <v>39</v>
      </c>
      <c r="L439" s="13" t="s">
        <v>2780</v>
      </c>
      <c r="M439" s="14" t="s">
        <v>3804</v>
      </c>
      <c r="O439" s="13" t="s">
        <v>31</v>
      </c>
      <c r="P439" s="13"/>
      <c r="Q439" s="13"/>
      <c r="R439" s="13"/>
      <c r="S439" s="17" t="s">
        <v>2779</v>
      </c>
      <c r="T439" s="15">
        <v>2022</v>
      </c>
      <c r="U439" s="13" t="s">
        <v>45</v>
      </c>
      <c r="V439" s="13" t="s">
        <v>29</v>
      </c>
      <c r="X439" s="14">
        <v>5</v>
      </c>
      <c r="Y439" s="16" t="s">
        <v>10081</v>
      </c>
      <c r="Z439" s="14" t="s">
        <v>3828</v>
      </c>
      <c r="AA439" s="14" t="s">
        <v>3837</v>
      </c>
      <c r="AB439" s="14" t="s">
        <v>3885</v>
      </c>
    </row>
    <row r="440" spans="2:28" hidden="1" x14ac:dyDescent="0.3">
      <c r="B440" s="13" t="s">
        <v>1642</v>
      </c>
      <c r="C440" s="13" t="s">
        <v>354</v>
      </c>
      <c r="D440" s="13" t="s">
        <v>1641</v>
      </c>
      <c r="F440" s="13" t="s">
        <v>1644</v>
      </c>
      <c r="G440" s="13" t="s">
        <v>1645</v>
      </c>
      <c r="J440" s="13" t="s">
        <v>1643</v>
      </c>
      <c r="K440" s="13" t="s">
        <v>39</v>
      </c>
      <c r="S440" s="17" t="s">
        <v>1646</v>
      </c>
      <c r="T440" s="15">
        <v>2022</v>
      </c>
      <c r="U440" s="13" t="s">
        <v>45</v>
      </c>
      <c r="V440" s="13" t="s">
        <v>29</v>
      </c>
      <c r="X440" s="14">
        <v>25</v>
      </c>
      <c r="Y440" s="14"/>
      <c r="Z440" s="14" t="s">
        <v>3870</v>
      </c>
      <c r="AA440" s="14" t="s">
        <v>3806</v>
      </c>
      <c r="AB440" s="14" t="s">
        <v>3886</v>
      </c>
    </row>
    <row r="441" spans="2:28" hidden="1" x14ac:dyDescent="0.3">
      <c r="B441" s="13" t="s">
        <v>1019</v>
      </c>
      <c r="C441" s="13" t="s">
        <v>397</v>
      </c>
      <c r="D441" s="13" t="s">
        <v>1018</v>
      </c>
      <c r="E441" s="13" t="s">
        <v>1022</v>
      </c>
      <c r="F441" s="13" t="s">
        <v>1021</v>
      </c>
      <c r="G441" s="13" t="s">
        <v>1023</v>
      </c>
      <c r="H441" s="13" t="s">
        <v>1020</v>
      </c>
      <c r="J441" s="13" t="s">
        <v>72</v>
      </c>
      <c r="K441" s="13" t="s">
        <v>39</v>
      </c>
      <c r="L441" s="13" t="s">
        <v>1025</v>
      </c>
      <c r="M441" s="14" t="s">
        <v>3804</v>
      </c>
      <c r="O441" s="13" t="s">
        <v>31</v>
      </c>
      <c r="P441" s="13"/>
      <c r="Q441" s="13"/>
      <c r="R441" s="13"/>
      <c r="S441" s="17" t="s">
        <v>1024</v>
      </c>
      <c r="T441" s="15">
        <v>2022</v>
      </c>
      <c r="U441" s="13" t="s">
        <v>45</v>
      </c>
      <c r="V441" s="13" t="s">
        <v>29</v>
      </c>
      <c r="X441" s="14">
        <v>5</v>
      </c>
      <c r="Y441" s="14"/>
      <c r="Z441" s="14" t="s">
        <v>3835</v>
      </c>
      <c r="AA441" s="14" t="s">
        <v>3813</v>
      </c>
      <c r="AB441" s="14" t="s">
        <v>3884</v>
      </c>
    </row>
    <row r="442" spans="2:28" ht="55.2" x14ac:dyDescent="0.3">
      <c r="B442" s="13" t="s">
        <v>1972</v>
      </c>
      <c r="C442" s="13" t="s">
        <v>1828</v>
      </c>
      <c r="D442" s="13" t="s">
        <v>1971</v>
      </c>
      <c r="E442" s="13" t="s">
        <v>1976</v>
      </c>
      <c r="F442" s="13" t="s">
        <v>1975</v>
      </c>
      <c r="H442" s="13" t="s">
        <v>1973</v>
      </c>
      <c r="I442" s="13" t="s">
        <v>1974</v>
      </c>
      <c r="J442" s="13" t="s">
        <v>1265</v>
      </c>
      <c r="K442" s="13" t="s">
        <v>39</v>
      </c>
      <c r="L442" s="13" t="s">
        <v>1978</v>
      </c>
      <c r="M442" s="14" t="s">
        <v>3804</v>
      </c>
      <c r="O442" s="13" t="s">
        <v>31</v>
      </c>
      <c r="P442" s="13"/>
      <c r="Q442" s="13"/>
      <c r="R442" s="13"/>
      <c r="S442" s="17" t="s">
        <v>1977</v>
      </c>
      <c r="T442" s="15">
        <v>2022</v>
      </c>
      <c r="U442" s="13" t="s">
        <v>45</v>
      </c>
      <c r="V442" s="13" t="s">
        <v>29</v>
      </c>
      <c r="X442" s="14"/>
      <c r="Y442" s="16" t="s">
        <v>10081</v>
      </c>
      <c r="Z442" s="14" t="s">
        <v>3870</v>
      </c>
      <c r="AA442" s="14" t="s">
        <v>3806</v>
      </c>
      <c r="AB442" s="14" t="s">
        <v>3886</v>
      </c>
    </row>
    <row r="443" spans="2:28" hidden="1" x14ac:dyDescent="0.3">
      <c r="B443" s="13" t="s">
        <v>1414</v>
      </c>
      <c r="C443" s="13" t="s">
        <v>1415</v>
      </c>
      <c r="D443" s="13" t="s">
        <v>1413</v>
      </c>
      <c r="F443" s="13" t="s">
        <v>1419</v>
      </c>
      <c r="G443" s="13" t="s">
        <v>1420</v>
      </c>
      <c r="H443" s="13" t="s">
        <v>1416</v>
      </c>
      <c r="I443" s="13" t="s">
        <v>1417</v>
      </c>
      <c r="J443" s="13" t="s">
        <v>1418</v>
      </c>
      <c r="K443" s="13" t="s">
        <v>39</v>
      </c>
      <c r="L443" s="13" t="s">
        <v>566</v>
      </c>
      <c r="M443" s="14" t="s">
        <v>141</v>
      </c>
      <c r="O443" s="13" t="s">
        <v>31</v>
      </c>
      <c r="P443" s="13"/>
      <c r="Q443" s="13"/>
      <c r="R443" s="13"/>
      <c r="S443" s="17" t="s">
        <v>1421</v>
      </c>
      <c r="T443" s="15">
        <v>2022</v>
      </c>
      <c r="U443" s="13" t="s">
        <v>45</v>
      </c>
      <c r="V443" s="13" t="s">
        <v>29</v>
      </c>
      <c r="X443" s="14">
        <v>5</v>
      </c>
      <c r="Y443" s="14"/>
      <c r="Z443" s="14" t="s">
        <v>3828</v>
      </c>
      <c r="AA443" s="14" t="s">
        <v>3811</v>
      </c>
      <c r="AB443" s="14" t="s">
        <v>3887</v>
      </c>
    </row>
    <row r="444" spans="2:28" hidden="1" x14ac:dyDescent="0.3">
      <c r="B444" s="13" t="s">
        <v>1119</v>
      </c>
      <c r="C444" s="13" t="s">
        <v>1120</v>
      </c>
      <c r="D444" s="13" t="s">
        <v>1118</v>
      </c>
      <c r="E444" s="13" t="s">
        <v>1125</v>
      </c>
      <c r="F444" s="13" t="s">
        <v>1124</v>
      </c>
      <c r="G444" s="13" t="s">
        <v>1126</v>
      </c>
      <c r="H444" s="13" t="s">
        <v>1121</v>
      </c>
      <c r="I444" s="13" t="s">
        <v>1122</v>
      </c>
      <c r="J444" s="13" t="s">
        <v>1123</v>
      </c>
      <c r="K444" s="13" t="s">
        <v>39</v>
      </c>
      <c r="L444" s="13" t="s">
        <v>1128</v>
      </c>
      <c r="M444" s="14" t="s">
        <v>141</v>
      </c>
      <c r="O444" s="13" t="s">
        <v>31</v>
      </c>
      <c r="P444" s="13"/>
      <c r="Q444" s="13"/>
      <c r="R444" s="13"/>
      <c r="S444" s="17" t="s">
        <v>1127</v>
      </c>
      <c r="T444" s="15">
        <v>2022</v>
      </c>
      <c r="U444" s="13" t="s">
        <v>45</v>
      </c>
      <c r="V444" s="13" t="s">
        <v>29</v>
      </c>
      <c r="X444" s="14">
        <v>5</v>
      </c>
      <c r="Y444" s="14"/>
      <c r="Z444" s="14" t="s">
        <v>2148</v>
      </c>
      <c r="AA444" s="14" t="s">
        <v>3825</v>
      </c>
      <c r="AB444" s="14" t="s">
        <v>3891</v>
      </c>
    </row>
    <row r="445" spans="2:28" ht="55.2" x14ac:dyDescent="0.3">
      <c r="B445" s="13" t="s">
        <v>805</v>
      </c>
      <c r="C445" s="13" t="s">
        <v>806</v>
      </c>
      <c r="D445" s="13" t="s">
        <v>804</v>
      </c>
      <c r="F445" s="13" t="s">
        <v>810</v>
      </c>
      <c r="G445" s="13" t="s">
        <v>811</v>
      </c>
      <c r="H445" s="13" t="s">
        <v>807</v>
      </c>
      <c r="I445" s="13" t="s">
        <v>808</v>
      </c>
      <c r="J445" s="13" t="s">
        <v>809</v>
      </c>
      <c r="K445" s="13" t="s">
        <v>39</v>
      </c>
      <c r="L445" s="13" t="s">
        <v>813</v>
      </c>
      <c r="M445" s="14" t="s">
        <v>3804</v>
      </c>
      <c r="O445" s="13" t="s">
        <v>31</v>
      </c>
      <c r="P445" s="13"/>
      <c r="Q445" s="13"/>
      <c r="R445" s="13"/>
      <c r="S445" s="17" t="s">
        <v>812</v>
      </c>
      <c r="T445" s="15">
        <v>2022</v>
      </c>
      <c r="U445" s="13" t="s">
        <v>45</v>
      </c>
      <c r="V445" s="13" t="s">
        <v>29</v>
      </c>
      <c r="X445" s="14"/>
      <c r="Y445" s="16" t="s">
        <v>10081</v>
      </c>
      <c r="Z445" s="14" t="s">
        <v>3828</v>
      </c>
      <c r="AA445" s="14" t="s">
        <v>3819</v>
      </c>
      <c r="AB445" s="14" t="s">
        <v>3888</v>
      </c>
    </row>
    <row r="446" spans="2:28" ht="55.2" x14ac:dyDescent="0.3">
      <c r="B446" s="13" t="s">
        <v>2005</v>
      </c>
      <c r="C446" s="13" t="s">
        <v>2006</v>
      </c>
      <c r="D446" s="13" t="s">
        <v>2004</v>
      </c>
      <c r="E446" s="13" t="s">
        <v>2010</v>
      </c>
      <c r="F446" s="13" t="s">
        <v>2009</v>
      </c>
      <c r="G446" s="13" t="s">
        <v>2011</v>
      </c>
      <c r="H446" s="13" t="s">
        <v>2007</v>
      </c>
      <c r="I446" s="13" t="s">
        <v>2008</v>
      </c>
      <c r="J446" s="13" t="s">
        <v>72</v>
      </c>
      <c r="K446" s="13" t="s">
        <v>39</v>
      </c>
      <c r="L446" s="13" t="s">
        <v>2013</v>
      </c>
      <c r="M446" s="14" t="s">
        <v>3804</v>
      </c>
      <c r="O446" s="13" t="s">
        <v>31</v>
      </c>
      <c r="P446" s="13"/>
      <c r="Q446" s="13"/>
      <c r="R446" s="13"/>
      <c r="S446" s="17" t="s">
        <v>2012</v>
      </c>
      <c r="T446" s="15">
        <v>2022</v>
      </c>
      <c r="U446" s="13" t="s">
        <v>45</v>
      </c>
      <c r="V446" s="13" t="s">
        <v>29</v>
      </c>
      <c r="X446" s="14"/>
      <c r="Y446" s="16" t="s">
        <v>10081</v>
      </c>
      <c r="Z446" s="14" t="s">
        <v>3828</v>
      </c>
      <c r="AA446" s="14" t="s">
        <v>3830</v>
      </c>
      <c r="AB446" s="14" t="s">
        <v>3887</v>
      </c>
    </row>
    <row r="447" spans="2:28" hidden="1" x14ac:dyDescent="0.3">
      <c r="B447" s="13" t="s">
        <v>2054</v>
      </c>
      <c r="C447" s="13" t="s">
        <v>2055</v>
      </c>
      <c r="D447" s="13" t="s">
        <v>2053</v>
      </c>
      <c r="E447" s="13" t="s">
        <v>2059</v>
      </c>
      <c r="F447" s="13" t="s">
        <v>2058</v>
      </c>
      <c r="G447" s="13" t="s">
        <v>2060</v>
      </c>
      <c r="H447" s="13" t="s">
        <v>2056</v>
      </c>
      <c r="I447" s="13" t="s">
        <v>2057</v>
      </c>
      <c r="J447" s="13" t="s">
        <v>1900</v>
      </c>
      <c r="K447" s="13" t="s">
        <v>39</v>
      </c>
      <c r="L447" s="13" t="s">
        <v>2062</v>
      </c>
      <c r="M447" s="14" t="s">
        <v>141</v>
      </c>
      <c r="O447" s="13" t="s">
        <v>31</v>
      </c>
      <c r="P447" s="13"/>
      <c r="Q447" s="13"/>
      <c r="R447" s="13"/>
      <c r="S447" s="17" t="s">
        <v>2061</v>
      </c>
      <c r="T447" s="15">
        <v>2022</v>
      </c>
      <c r="U447" s="13" t="s">
        <v>45</v>
      </c>
      <c r="V447" s="13" t="s">
        <v>29</v>
      </c>
      <c r="X447" s="14">
        <v>10</v>
      </c>
      <c r="Y447" s="14"/>
      <c r="Z447" s="14" t="s">
        <v>3835</v>
      </c>
      <c r="AA447" s="14" t="s">
        <v>3813</v>
      </c>
      <c r="AB447" s="14" t="s">
        <v>3884</v>
      </c>
    </row>
    <row r="448" spans="2:28" hidden="1" x14ac:dyDescent="0.3">
      <c r="B448" s="13" t="s">
        <v>865</v>
      </c>
      <c r="C448" s="13" t="s">
        <v>447</v>
      </c>
      <c r="D448" s="13" t="s">
        <v>864</v>
      </c>
      <c r="E448" s="13" t="s">
        <v>869</v>
      </c>
      <c r="F448" s="13" t="s">
        <v>868</v>
      </c>
      <c r="G448" s="13" t="s">
        <v>870</v>
      </c>
      <c r="H448" s="13" t="s">
        <v>866</v>
      </c>
      <c r="I448" s="13" t="s">
        <v>867</v>
      </c>
      <c r="J448" s="13" t="s">
        <v>72</v>
      </c>
      <c r="K448" s="13" t="s">
        <v>39</v>
      </c>
      <c r="L448" s="13" t="s">
        <v>872</v>
      </c>
      <c r="M448" s="14" t="s">
        <v>141</v>
      </c>
      <c r="O448" s="13" t="s">
        <v>31</v>
      </c>
      <c r="P448" s="13"/>
      <c r="Q448" s="13"/>
      <c r="R448" s="13"/>
      <c r="S448" s="17" t="s">
        <v>871</v>
      </c>
      <c r="T448" s="15">
        <v>2022</v>
      </c>
      <c r="U448" s="13" t="s">
        <v>45</v>
      </c>
      <c r="V448" s="13" t="s">
        <v>29</v>
      </c>
      <c r="X448" s="14">
        <v>10</v>
      </c>
      <c r="Y448" s="14"/>
      <c r="Z448" s="14" t="s">
        <v>3870</v>
      </c>
      <c r="AA448" s="14" t="s">
        <v>3806</v>
      </c>
      <c r="AB448" s="14" t="s">
        <v>3886</v>
      </c>
    </row>
    <row r="449" spans="1:28" ht="27.6" hidden="1" x14ac:dyDescent="0.3">
      <c r="A449" s="13" t="s">
        <v>1597</v>
      </c>
      <c r="B449" s="13" t="s">
        <v>1590</v>
      </c>
      <c r="C449" s="13" t="s">
        <v>354</v>
      </c>
      <c r="D449" s="13" t="s">
        <v>1596</v>
      </c>
      <c r="E449" s="13" t="s">
        <v>1600</v>
      </c>
      <c r="F449" s="13" t="s">
        <v>1599</v>
      </c>
      <c r="G449" s="13" t="s">
        <v>1601</v>
      </c>
      <c r="H449" s="13" t="s">
        <v>1598</v>
      </c>
      <c r="I449" s="13" t="s">
        <v>191</v>
      </c>
      <c r="J449" s="13" t="s">
        <v>72</v>
      </c>
      <c r="K449" s="13" t="s">
        <v>39</v>
      </c>
      <c r="L449" s="13" t="s">
        <v>1603</v>
      </c>
      <c r="M449" s="14" t="s">
        <v>3804</v>
      </c>
      <c r="O449" s="13" t="s">
        <v>31</v>
      </c>
      <c r="P449" s="13"/>
      <c r="Q449" s="13"/>
      <c r="R449" s="13"/>
      <c r="S449" s="17" t="s">
        <v>1602</v>
      </c>
      <c r="T449" s="15">
        <v>2022</v>
      </c>
      <c r="U449" s="13" t="s">
        <v>45</v>
      </c>
      <c r="V449" s="13" t="s">
        <v>29</v>
      </c>
      <c r="X449" s="14">
        <v>20</v>
      </c>
      <c r="Y449" s="14"/>
      <c r="Z449" s="14" t="s">
        <v>3870</v>
      </c>
      <c r="AA449" s="14" t="s">
        <v>3806</v>
      </c>
      <c r="AB449" s="14" t="s">
        <v>3886</v>
      </c>
    </row>
    <row r="450" spans="1:28" hidden="1" x14ac:dyDescent="0.3">
      <c r="A450" s="13" t="s">
        <v>100</v>
      </c>
      <c r="B450" s="13" t="s">
        <v>236</v>
      </c>
      <c r="C450" s="13" t="s">
        <v>237</v>
      </c>
      <c r="D450" s="13" t="s">
        <v>235</v>
      </c>
      <c r="E450" s="13" t="s">
        <v>241</v>
      </c>
      <c r="F450" s="13" t="s">
        <v>240</v>
      </c>
      <c r="H450" s="13" t="s">
        <v>238</v>
      </c>
      <c r="I450" s="13" t="s">
        <v>239</v>
      </c>
      <c r="J450" s="13" t="s">
        <v>72</v>
      </c>
      <c r="K450" s="13" t="s">
        <v>39</v>
      </c>
      <c r="L450" s="13" t="s">
        <v>243</v>
      </c>
      <c r="M450" s="14" t="s">
        <v>3804</v>
      </c>
      <c r="S450" s="17" t="s">
        <v>242</v>
      </c>
      <c r="T450" s="15">
        <v>2022</v>
      </c>
      <c r="U450" s="13" t="s">
        <v>45</v>
      </c>
      <c r="V450" s="13" t="s">
        <v>29</v>
      </c>
      <c r="X450" s="14">
        <v>5</v>
      </c>
      <c r="Y450" s="14"/>
      <c r="Z450" s="14" t="s">
        <v>3828</v>
      </c>
      <c r="AA450" s="14" t="s">
        <v>3807</v>
      </c>
      <c r="AB450" s="14" t="s">
        <v>3888</v>
      </c>
    </row>
    <row r="451" spans="1:28" hidden="1" x14ac:dyDescent="0.3">
      <c r="A451" s="13" t="s">
        <v>1052</v>
      </c>
      <c r="B451" s="13" t="s">
        <v>1537</v>
      </c>
      <c r="C451" s="13" t="s">
        <v>423</v>
      </c>
      <c r="D451" s="13" t="s">
        <v>1582</v>
      </c>
      <c r="E451" s="13" t="s">
        <v>1586</v>
      </c>
      <c r="F451" s="13" t="s">
        <v>1585</v>
      </c>
      <c r="G451" s="13" t="s">
        <v>1587</v>
      </c>
      <c r="H451" s="13" t="s">
        <v>1583</v>
      </c>
      <c r="I451" s="13" t="s">
        <v>1584</v>
      </c>
      <c r="J451" s="13" t="s">
        <v>72</v>
      </c>
      <c r="K451" s="13" t="s">
        <v>39</v>
      </c>
      <c r="L451" s="13" t="s">
        <v>1144</v>
      </c>
      <c r="M451" s="14" t="s">
        <v>3804</v>
      </c>
      <c r="S451" s="17" t="s">
        <v>1588</v>
      </c>
      <c r="T451" s="15">
        <v>2022</v>
      </c>
      <c r="U451" s="13" t="s">
        <v>45</v>
      </c>
      <c r="V451" s="13" t="s">
        <v>29</v>
      </c>
      <c r="X451" s="14">
        <v>10</v>
      </c>
      <c r="Y451" s="14"/>
      <c r="Z451" s="14" t="s">
        <v>3828</v>
      </c>
      <c r="AA451" s="14" t="s">
        <v>3807</v>
      </c>
      <c r="AB451" s="14" t="s">
        <v>3888</v>
      </c>
    </row>
    <row r="452" spans="1:28" ht="27.6" hidden="1" x14ac:dyDescent="0.3">
      <c r="A452" s="13" t="s">
        <v>100</v>
      </c>
      <c r="B452" s="13" t="s">
        <v>3093</v>
      </c>
      <c r="C452" s="13" t="s">
        <v>309</v>
      </c>
      <c r="D452" s="13" t="s">
        <v>3092</v>
      </c>
      <c r="E452" s="13" t="s">
        <v>3096</v>
      </c>
      <c r="F452" s="13" t="s">
        <v>3095</v>
      </c>
      <c r="G452" s="13" t="s">
        <v>3097</v>
      </c>
      <c r="J452" s="13" t="s">
        <v>3094</v>
      </c>
      <c r="K452" s="13" t="s">
        <v>39</v>
      </c>
      <c r="L452" s="13" t="s">
        <v>1304</v>
      </c>
      <c r="M452" s="14" t="s">
        <v>141</v>
      </c>
      <c r="S452" s="17" t="s">
        <v>3098</v>
      </c>
      <c r="T452" s="15">
        <v>2022</v>
      </c>
      <c r="U452" s="13" t="s">
        <v>45</v>
      </c>
      <c r="V452" s="13" t="s">
        <v>29</v>
      </c>
      <c r="X452" s="14">
        <v>5</v>
      </c>
      <c r="Y452" s="14"/>
      <c r="Z452" s="14" t="s">
        <v>2148</v>
      </c>
      <c r="AA452" s="14" t="s">
        <v>4609</v>
      </c>
      <c r="AB452" s="14" t="s">
        <v>3890</v>
      </c>
    </row>
    <row r="453" spans="1:28" ht="27.6" hidden="1" x14ac:dyDescent="0.3">
      <c r="A453" s="13" t="s">
        <v>100</v>
      </c>
      <c r="B453" s="13" t="s">
        <v>3283</v>
      </c>
      <c r="C453" s="13" t="s">
        <v>68</v>
      </c>
      <c r="D453" s="13" t="s">
        <v>3282</v>
      </c>
      <c r="E453" s="13" t="s">
        <v>3288</v>
      </c>
      <c r="F453" s="13" t="s">
        <v>3287</v>
      </c>
      <c r="G453" s="13" t="s">
        <v>3289</v>
      </c>
      <c r="H453" s="13" t="s">
        <v>3284</v>
      </c>
      <c r="I453" s="13" t="s">
        <v>3285</v>
      </c>
      <c r="J453" s="13" t="s">
        <v>3286</v>
      </c>
      <c r="K453" s="13" t="s">
        <v>39</v>
      </c>
      <c r="L453" s="13" t="s">
        <v>3291</v>
      </c>
      <c r="M453" s="14" t="s">
        <v>141</v>
      </c>
      <c r="S453" s="17" t="s">
        <v>3290</v>
      </c>
      <c r="T453" s="15">
        <v>2022</v>
      </c>
      <c r="U453" s="13" t="s">
        <v>45</v>
      </c>
      <c r="V453" s="13" t="s">
        <v>29</v>
      </c>
      <c r="X453" s="14">
        <v>5</v>
      </c>
      <c r="Y453" s="14"/>
      <c r="Z453" s="14" t="s">
        <v>3828</v>
      </c>
      <c r="AA453" s="14" t="s">
        <v>3824</v>
      </c>
      <c r="AB453" s="14" t="s">
        <v>3885</v>
      </c>
    </row>
    <row r="454" spans="1:28" hidden="1" x14ac:dyDescent="0.3">
      <c r="A454" s="13" t="s">
        <v>100</v>
      </c>
      <c r="B454" s="13" t="s">
        <v>2642</v>
      </c>
      <c r="C454" s="13" t="s">
        <v>1321</v>
      </c>
      <c r="D454" s="13" t="s">
        <v>2641</v>
      </c>
      <c r="E454" s="13" t="s">
        <v>2646</v>
      </c>
      <c r="F454" s="13" t="s">
        <v>2645</v>
      </c>
      <c r="G454" s="13" t="s">
        <v>2647</v>
      </c>
      <c r="H454" s="13" t="s">
        <v>2643</v>
      </c>
      <c r="I454" s="13" t="s">
        <v>2644</v>
      </c>
      <c r="J454" s="13" t="s">
        <v>284</v>
      </c>
      <c r="K454" s="13" t="s">
        <v>39</v>
      </c>
      <c r="L454" s="13" t="s">
        <v>2649</v>
      </c>
      <c r="M454" s="14" t="s">
        <v>3804</v>
      </c>
      <c r="S454" s="17" t="s">
        <v>2648</v>
      </c>
      <c r="T454" s="15">
        <v>2022</v>
      </c>
      <c r="U454" s="13" t="s">
        <v>45</v>
      </c>
      <c r="V454" s="13" t="s">
        <v>29</v>
      </c>
      <c r="X454" s="14">
        <v>10</v>
      </c>
      <c r="Y454" s="16">
        <v>45012</v>
      </c>
      <c r="Z454" s="14" t="s">
        <v>3828</v>
      </c>
      <c r="AA454" s="14" t="s">
        <v>3819</v>
      </c>
      <c r="AB454" s="14" t="s">
        <v>3888</v>
      </c>
    </row>
    <row r="455" spans="1:28" hidden="1" x14ac:dyDescent="0.3">
      <c r="A455" s="13" t="s">
        <v>100</v>
      </c>
      <c r="B455" s="13" t="s">
        <v>2925</v>
      </c>
      <c r="C455" s="13" t="s">
        <v>87</v>
      </c>
      <c r="D455" s="13" t="s">
        <v>2924</v>
      </c>
      <c r="F455" s="13" t="s">
        <v>2927</v>
      </c>
      <c r="J455" s="13" t="s">
        <v>2926</v>
      </c>
      <c r="K455" s="13" t="s">
        <v>39</v>
      </c>
      <c r="L455" s="13" t="s">
        <v>3853</v>
      </c>
      <c r="M455" s="14" t="s">
        <v>3804</v>
      </c>
      <c r="S455" s="17" t="s">
        <v>2928</v>
      </c>
      <c r="T455" s="15">
        <v>2022</v>
      </c>
      <c r="U455" s="13" t="s">
        <v>45</v>
      </c>
      <c r="V455" s="13" t="s">
        <v>29</v>
      </c>
      <c r="X455" s="14">
        <v>5</v>
      </c>
      <c r="Y455" s="14"/>
      <c r="Z455" s="14" t="s">
        <v>3828</v>
      </c>
      <c r="AA455" s="14" t="s">
        <v>3811</v>
      </c>
      <c r="AB455" s="14" t="s">
        <v>3887</v>
      </c>
    </row>
    <row r="456" spans="1:28" hidden="1" x14ac:dyDescent="0.3">
      <c r="A456" s="13" t="s">
        <v>22</v>
      </c>
      <c r="B456" s="13" t="s">
        <v>1175</v>
      </c>
      <c r="C456" s="13" t="s">
        <v>229</v>
      </c>
      <c r="D456" s="13" t="s">
        <v>1174</v>
      </c>
      <c r="E456" s="13" t="s">
        <v>1179</v>
      </c>
      <c r="F456" s="13" t="s">
        <v>1178</v>
      </c>
      <c r="G456" s="13" t="s">
        <v>1180</v>
      </c>
      <c r="H456" s="13" t="s">
        <v>1176</v>
      </c>
      <c r="J456" s="13" t="s">
        <v>1177</v>
      </c>
      <c r="K456" s="13" t="s">
        <v>39</v>
      </c>
      <c r="L456" s="13" t="s">
        <v>1182</v>
      </c>
      <c r="M456" s="14" t="s">
        <v>141</v>
      </c>
      <c r="S456" s="17" t="s">
        <v>1181</v>
      </c>
      <c r="T456" s="15">
        <v>2022</v>
      </c>
      <c r="U456" s="13" t="s">
        <v>45</v>
      </c>
      <c r="V456" s="13" t="s">
        <v>29</v>
      </c>
      <c r="X456" s="14">
        <v>10</v>
      </c>
      <c r="Y456" s="14"/>
      <c r="Z456" s="14" t="s">
        <v>3835</v>
      </c>
      <c r="AA456" s="14" t="s">
        <v>3813</v>
      </c>
      <c r="AB456" s="14" t="s">
        <v>3884</v>
      </c>
    </row>
    <row r="457" spans="1:28" hidden="1" x14ac:dyDescent="0.3">
      <c r="B457" s="13" t="s">
        <v>2925</v>
      </c>
      <c r="C457" s="13" t="s">
        <v>2303</v>
      </c>
      <c r="D457" s="13" t="s">
        <v>2929</v>
      </c>
      <c r="E457" s="13" t="s">
        <v>2933</v>
      </c>
      <c r="F457" s="13" t="s">
        <v>2932</v>
      </c>
      <c r="H457" s="13" t="s">
        <v>2930</v>
      </c>
      <c r="I457" s="13" t="s">
        <v>2931</v>
      </c>
      <c r="J457" s="13" t="s">
        <v>2926</v>
      </c>
      <c r="K457" s="13" t="s">
        <v>39</v>
      </c>
      <c r="L457" s="13" t="s">
        <v>3854</v>
      </c>
      <c r="M457" s="14" t="s">
        <v>3804</v>
      </c>
      <c r="O457" s="13" t="s">
        <v>31</v>
      </c>
      <c r="P457" s="13"/>
      <c r="Q457" s="13"/>
      <c r="R457" s="13"/>
      <c r="S457" s="17" t="s">
        <v>2934</v>
      </c>
      <c r="T457" s="15">
        <v>2022</v>
      </c>
      <c r="U457" s="13" t="s">
        <v>45</v>
      </c>
      <c r="V457" s="13" t="s">
        <v>29</v>
      </c>
      <c r="X457" s="14">
        <v>5</v>
      </c>
      <c r="Y457" s="14"/>
      <c r="Z457" s="14" t="s">
        <v>3828</v>
      </c>
      <c r="AA457" s="14" t="s">
        <v>3811</v>
      </c>
      <c r="AB457" s="14" t="s">
        <v>3887</v>
      </c>
    </row>
    <row r="458" spans="1:28" hidden="1" x14ac:dyDescent="0.3">
      <c r="B458" s="13" t="s">
        <v>3013</v>
      </c>
      <c r="C458" s="13" t="s">
        <v>60</v>
      </c>
      <c r="D458" s="13" t="s">
        <v>3882</v>
      </c>
      <c r="F458" s="13" t="s">
        <v>3016</v>
      </c>
      <c r="G458" s="13" t="s">
        <v>3017</v>
      </c>
      <c r="H458" s="13" t="s">
        <v>3014</v>
      </c>
      <c r="J458" s="13" t="s">
        <v>3015</v>
      </c>
      <c r="K458" s="13" t="s">
        <v>39</v>
      </c>
      <c r="L458" s="13" t="s">
        <v>3019</v>
      </c>
      <c r="M458" s="14" t="s">
        <v>3804</v>
      </c>
      <c r="O458" s="13" t="s">
        <v>31</v>
      </c>
      <c r="P458" s="13"/>
      <c r="Q458" s="13"/>
      <c r="R458" s="13"/>
      <c r="S458" s="17" t="s">
        <v>3018</v>
      </c>
      <c r="T458" s="15">
        <v>2022</v>
      </c>
      <c r="U458" s="13" t="s">
        <v>45</v>
      </c>
      <c r="V458" s="13" t="s">
        <v>29</v>
      </c>
      <c r="X458" s="14">
        <v>5</v>
      </c>
      <c r="Y458" s="14"/>
      <c r="Z458" s="14" t="s">
        <v>3828</v>
      </c>
      <c r="AA458" s="14" t="s">
        <v>3874</v>
      </c>
      <c r="AB458" s="14" t="s">
        <v>3888</v>
      </c>
    </row>
    <row r="459" spans="1:28" ht="27.6" hidden="1" x14ac:dyDescent="0.3">
      <c r="A459" s="13" t="s">
        <v>22</v>
      </c>
      <c r="B459" s="13" t="s">
        <v>2549</v>
      </c>
      <c r="C459" s="13" t="s">
        <v>2550</v>
      </c>
      <c r="D459" s="13" t="s">
        <v>2548</v>
      </c>
      <c r="E459" s="13" t="s">
        <v>2554</v>
      </c>
      <c r="F459" s="13" t="s">
        <v>2553</v>
      </c>
      <c r="G459" s="13" t="s">
        <v>2555</v>
      </c>
      <c r="H459" s="13" t="s">
        <v>310</v>
      </c>
      <c r="I459" s="13" t="s">
        <v>2551</v>
      </c>
      <c r="J459" s="13" t="s">
        <v>2552</v>
      </c>
      <c r="K459" s="13" t="s">
        <v>39</v>
      </c>
      <c r="L459" s="13" t="s">
        <v>2557</v>
      </c>
      <c r="M459" s="14" t="s">
        <v>3804</v>
      </c>
      <c r="O459" s="13" t="s">
        <v>31</v>
      </c>
      <c r="P459" s="13"/>
      <c r="Q459" s="13"/>
      <c r="R459" s="13"/>
      <c r="S459" s="17" t="s">
        <v>2556</v>
      </c>
      <c r="T459" s="15">
        <v>2022</v>
      </c>
      <c r="U459" s="13" t="s">
        <v>45</v>
      </c>
      <c r="V459" s="13" t="s">
        <v>29</v>
      </c>
      <c r="X459" s="14">
        <v>10</v>
      </c>
      <c r="Y459" s="16" t="s">
        <v>5979</v>
      </c>
      <c r="Z459" s="14" t="s">
        <v>3835</v>
      </c>
      <c r="AA459" s="14" t="s">
        <v>3817</v>
      </c>
      <c r="AB459" s="14" t="s">
        <v>3884</v>
      </c>
    </row>
    <row r="460" spans="1:28" hidden="1" x14ac:dyDescent="0.3">
      <c r="A460" s="13" t="s">
        <v>1838</v>
      </c>
      <c r="B460" s="13" t="s">
        <v>1827</v>
      </c>
      <c r="C460" s="13" t="s">
        <v>1837</v>
      </c>
      <c r="D460" s="13" t="s">
        <v>1836</v>
      </c>
      <c r="E460" s="13" t="s">
        <v>1840</v>
      </c>
      <c r="F460" s="13" t="s">
        <v>1839</v>
      </c>
      <c r="G460" s="13" t="s">
        <v>1841</v>
      </c>
      <c r="H460" s="13" t="s">
        <v>310</v>
      </c>
      <c r="I460" s="13" t="s">
        <v>1831</v>
      </c>
      <c r="J460" s="13" t="s">
        <v>1060</v>
      </c>
      <c r="K460" s="13" t="s">
        <v>39</v>
      </c>
      <c r="L460" s="13" t="s">
        <v>1843</v>
      </c>
      <c r="M460" s="14" t="s">
        <v>3804</v>
      </c>
      <c r="O460" s="13" t="s">
        <v>31</v>
      </c>
      <c r="P460" s="13"/>
      <c r="Q460" s="13"/>
      <c r="R460" s="13"/>
      <c r="S460" s="17" t="s">
        <v>1842</v>
      </c>
      <c r="T460" s="15">
        <v>2022</v>
      </c>
      <c r="U460" s="13" t="s">
        <v>45</v>
      </c>
      <c r="V460" s="13" t="s">
        <v>29</v>
      </c>
      <c r="X460" s="14">
        <v>5</v>
      </c>
      <c r="Y460" s="14"/>
      <c r="Z460" s="14" t="s">
        <v>3828</v>
      </c>
      <c r="AA460" s="14" t="s">
        <v>3807</v>
      </c>
      <c r="AB460" s="14" t="s">
        <v>3888</v>
      </c>
    </row>
    <row r="461" spans="1:28" hidden="1" x14ac:dyDescent="0.3">
      <c r="A461" s="13" t="s">
        <v>1829</v>
      </c>
      <c r="B461" s="13" t="s">
        <v>1827</v>
      </c>
      <c r="C461" s="13" t="s">
        <v>1828</v>
      </c>
      <c r="D461" s="13" t="s">
        <v>1826</v>
      </c>
      <c r="E461" s="13" t="s">
        <v>1833</v>
      </c>
      <c r="F461" s="13" t="s">
        <v>1832</v>
      </c>
      <c r="G461" s="13" t="s">
        <v>1834</v>
      </c>
      <c r="H461" s="13" t="s">
        <v>1830</v>
      </c>
      <c r="I461" s="13" t="s">
        <v>1831</v>
      </c>
      <c r="J461" s="13" t="s">
        <v>1060</v>
      </c>
      <c r="K461" s="13" t="s">
        <v>39</v>
      </c>
      <c r="L461" s="13" t="s">
        <v>3844</v>
      </c>
      <c r="M461" s="14" t="s">
        <v>3804</v>
      </c>
      <c r="O461" s="13" t="s">
        <v>31</v>
      </c>
      <c r="P461" s="13"/>
      <c r="Q461" s="13"/>
      <c r="R461" s="13"/>
      <c r="S461" s="17" t="s">
        <v>1835</v>
      </c>
      <c r="T461" s="15">
        <v>2022</v>
      </c>
      <c r="U461" s="13" t="s">
        <v>45</v>
      </c>
      <c r="V461" s="13" t="s">
        <v>29</v>
      </c>
      <c r="X461" s="14">
        <v>5</v>
      </c>
      <c r="Y461" s="14"/>
      <c r="Z461" s="14" t="s">
        <v>3828</v>
      </c>
      <c r="AA461" s="14" t="s">
        <v>3877</v>
      </c>
      <c r="AB461" s="14" t="s">
        <v>3888</v>
      </c>
    </row>
    <row r="462" spans="1:28" ht="55.2" hidden="1" x14ac:dyDescent="0.3">
      <c r="A462" s="13" t="s">
        <v>254</v>
      </c>
      <c r="B462" s="13" t="s">
        <v>253</v>
      </c>
      <c r="C462" s="13" t="s">
        <v>68</v>
      </c>
      <c r="D462" s="13" t="s">
        <v>252</v>
      </c>
      <c r="E462" s="13" t="s">
        <v>259</v>
      </c>
      <c r="F462" s="13" t="s">
        <v>258</v>
      </c>
      <c r="G462" s="13" t="s">
        <v>260</v>
      </c>
      <c r="H462" s="13" t="s">
        <v>255</v>
      </c>
      <c r="I462" s="13" t="s">
        <v>256</v>
      </c>
      <c r="J462" s="13" t="s">
        <v>257</v>
      </c>
      <c r="K462" s="13" t="s">
        <v>92</v>
      </c>
      <c r="L462" s="13" t="s">
        <v>262</v>
      </c>
      <c r="O462" s="13" t="s">
        <v>31</v>
      </c>
      <c r="P462" s="13"/>
      <c r="Q462" s="13"/>
      <c r="R462" s="13"/>
      <c r="S462" s="17" t="s">
        <v>261</v>
      </c>
      <c r="T462" s="15">
        <v>2022</v>
      </c>
      <c r="U462" s="13" t="s">
        <v>45</v>
      </c>
      <c r="V462" s="13" t="s">
        <v>29</v>
      </c>
      <c r="X462" s="14">
        <v>20</v>
      </c>
      <c r="Y462" s="14"/>
      <c r="Z462" s="14" t="s">
        <v>3828</v>
      </c>
      <c r="AA462" s="14" t="s">
        <v>3874</v>
      </c>
      <c r="AB462" s="14" t="s">
        <v>3885</v>
      </c>
    </row>
    <row r="463" spans="1:28" ht="27.6" hidden="1" x14ac:dyDescent="0.3">
      <c r="B463" s="13" t="s">
        <v>115</v>
      </c>
      <c r="C463" s="13" t="s">
        <v>116</v>
      </c>
      <c r="D463" s="13" t="s">
        <v>114</v>
      </c>
      <c r="E463" s="13" t="s">
        <v>118</v>
      </c>
      <c r="F463" s="13" t="s">
        <v>117</v>
      </c>
      <c r="G463" s="13" t="s">
        <v>119</v>
      </c>
      <c r="J463" s="13" t="s">
        <v>72</v>
      </c>
      <c r="K463" s="13" t="s">
        <v>39</v>
      </c>
      <c r="L463" s="13" t="s">
        <v>121</v>
      </c>
      <c r="M463" s="14" t="s">
        <v>141</v>
      </c>
      <c r="O463" s="13" t="s">
        <v>31</v>
      </c>
      <c r="P463" s="13"/>
      <c r="Q463" s="13"/>
      <c r="R463" s="13"/>
      <c r="S463" s="17" t="s">
        <v>120</v>
      </c>
      <c r="T463" s="15">
        <v>2022</v>
      </c>
      <c r="U463" s="13" t="s">
        <v>45</v>
      </c>
      <c r="V463" s="13" t="s">
        <v>29</v>
      </c>
      <c r="X463" s="14">
        <v>10</v>
      </c>
      <c r="Y463" s="14"/>
      <c r="Z463" s="14" t="s">
        <v>3828</v>
      </c>
      <c r="AA463" s="14" t="s">
        <v>3871</v>
      </c>
      <c r="AB463" s="14" t="s">
        <v>3888</v>
      </c>
    </row>
    <row r="464" spans="1:28" hidden="1" x14ac:dyDescent="0.3">
      <c r="A464" s="13" t="s">
        <v>908</v>
      </c>
      <c r="B464" s="13" t="s">
        <v>2372</v>
      </c>
      <c r="C464" s="13" t="s">
        <v>2373</v>
      </c>
      <c r="D464" s="13" t="s">
        <v>2371</v>
      </c>
      <c r="E464" s="13" t="s">
        <v>2376</v>
      </c>
      <c r="F464" s="13" t="s">
        <v>2375</v>
      </c>
      <c r="G464" s="13" t="s">
        <v>2377</v>
      </c>
      <c r="H464" s="13" t="s">
        <v>2374</v>
      </c>
      <c r="I464" s="13" t="s">
        <v>399</v>
      </c>
      <c r="J464" s="13" t="s">
        <v>1060</v>
      </c>
      <c r="K464" s="13" t="s">
        <v>39</v>
      </c>
      <c r="L464" s="13" t="s">
        <v>2379</v>
      </c>
      <c r="M464" s="14" t="s">
        <v>141</v>
      </c>
      <c r="O464" s="13" t="s">
        <v>31</v>
      </c>
      <c r="P464" s="13"/>
      <c r="Q464" s="13"/>
      <c r="R464" s="13"/>
      <c r="S464" s="17" t="s">
        <v>2378</v>
      </c>
      <c r="T464" s="15">
        <v>2022</v>
      </c>
      <c r="U464" s="13" t="s">
        <v>45</v>
      </c>
      <c r="V464" s="13" t="s">
        <v>29</v>
      </c>
      <c r="X464" s="14">
        <v>10</v>
      </c>
      <c r="Y464" s="14"/>
      <c r="Z464" s="14" t="s">
        <v>3870</v>
      </c>
      <c r="AA464" s="14" t="s">
        <v>3806</v>
      </c>
      <c r="AB464" s="14" t="s">
        <v>3886</v>
      </c>
    </row>
    <row r="465" spans="1:30" ht="55.2" x14ac:dyDescent="0.3">
      <c r="A465" s="13" t="s">
        <v>2259</v>
      </c>
      <c r="B465" s="13" t="s">
        <v>2252</v>
      </c>
      <c r="C465" s="13" t="s">
        <v>60</v>
      </c>
      <c r="D465" s="13" t="s">
        <v>2258</v>
      </c>
      <c r="E465" s="13" t="s">
        <v>2263</v>
      </c>
      <c r="F465" s="19" t="s">
        <v>9792</v>
      </c>
      <c r="G465" s="13" t="s">
        <v>2264</v>
      </c>
      <c r="H465" s="13" t="s">
        <v>2260</v>
      </c>
      <c r="I465" s="13" t="s">
        <v>2261</v>
      </c>
      <c r="J465" s="13" t="s">
        <v>2262</v>
      </c>
      <c r="K465" s="13" t="s">
        <v>39</v>
      </c>
      <c r="L465" s="13" t="s">
        <v>2266</v>
      </c>
      <c r="M465" s="14" t="s">
        <v>3804</v>
      </c>
      <c r="O465" s="13" t="s">
        <v>31</v>
      </c>
      <c r="P465" s="13"/>
      <c r="Q465" s="13"/>
      <c r="R465" s="13"/>
      <c r="S465" s="17" t="s">
        <v>2265</v>
      </c>
      <c r="T465" s="15">
        <v>2022</v>
      </c>
      <c r="U465" s="13" t="s">
        <v>45</v>
      </c>
      <c r="V465" s="13" t="s">
        <v>29</v>
      </c>
      <c r="X465" s="14"/>
      <c r="Y465" s="16" t="s">
        <v>10081</v>
      </c>
      <c r="Z465" s="14" t="s">
        <v>3835</v>
      </c>
      <c r="AA465" s="14" t="s">
        <v>3813</v>
      </c>
      <c r="AB465" s="14" t="s">
        <v>3884</v>
      </c>
    </row>
    <row r="466" spans="1:30" ht="55.2" hidden="1" x14ac:dyDescent="0.3">
      <c r="A466" s="13" t="s">
        <v>2635</v>
      </c>
      <c r="B466" s="13" t="s">
        <v>2949</v>
      </c>
      <c r="C466" s="13" t="s">
        <v>282</v>
      </c>
      <c r="D466" s="13" t="s">
        <v>2948</v>
      </c>
      <c r="E466" s="13" t="s">
        <v>2950</v>
      </c>
      <c r="F466" s="19" t="s">
        <v>7280</v>
      </c>
      <c r="J466" s="13" t="s">
        <v>72</v>
      </c>
      <c r="K466" s="13" t="s">
        <v>39</v>
      </c>
      <c r="L466" s="13" t="s">
        <v>2952</v>
      </c>
      <c r="M466" s="14" t="s">
        <v>3804</v>
      </c>
      <c r="O466" s="13" t="s">
        <v>31</v>
      </c>
      <c r="P466" s="13"/>
      <c r="Q466" s="13"/>
      <c r="R466" s="13"/>
      <c r="S466" s="17" t="s">
        <v>2951</v>
      </c>
      <c r="T466" s="15">
        <v>2022</v>
      </c>
      <c r="U466" s="13" t="s">
        <v>45</v>
      </c>
      <c r="V466" s="13" t="s">
        <v>29</v>
      </c>
      <c r="X466" s="14">
        <v>10</v>
      </c>
      <c r="Y466" s="16" t="s">
        <v>10081</v>
      </c>
      <c r="Z466" s="14" t="s">
        <v>3835</v>
      </c>
      <c r="AA466" s="14" t="s">
        <v>3813</v>
      </c>
      <c r="AB466" s="14" t="s">
        <v>3884</v>
      </c>
    </row>
    <row r="467" spans="1:30" ht="41.4" hidden="1" x14ac:dyDescent="0.3">
      <c r="A467" s="13" t="s">
        <v>1262</v>
      </c>
      <c r="B467" s="13" t="s">
        <v>1699</v>
      </c>
      <c r="C467" s="13" t="s">
        <v>1700</v>
      </c>
      <c r="D467" s="13" t="s">
        <v>1698</v>
      </c>
      <c r="E467" s="13" t="s">
        <v>1704</v>
      </c>
      <c r="F467" s="13" t="s">
        <v>1703</v>
      </c>
      <c r="H467" s="13" t="s">
        <v>710</v>
      </c>
      <c r="J467" s="13" t="s">
        <v>1701</v>
      </c>
      <c r="K467" s="13" t="s">
        <v>1702</v>
      </c>
      <c r="L467" s="13" t="s">
        <v>1706</v>
      </c>
      <c r="M467" s="14" t="s">
        <v>141</v>
      </c>
      <c r="O467" s="13" t="s">
        <v>31</v>
      </c>
      <c r="P467" s="13"/>
      <c r="Q467" s="13"/>
      <c r="R467" s="13"/>
      <c r="S467" s="17" t="s">
        <v>1705</v>
      </c>
      <c r="T467" s="15">
        <v>2022</v>
      </c>
      <c r="U467" s="13" t="s">
        <v>45</v>
      </c>
      <c r="V467" s="13" t="s">
        <v>29</v>
      </c>
      <c r="X467" s="14">
        <v>5</v>
      </c>
      <c r="Y467" s="14"/>
      <c r="Z467" s="14" t="s">
        <v>3835</v>
      </c>
      <c r="AA467" s="14" t="s">
        <v>3820</v>
      </c>
      <c r="AB467" s="14" t="s">
        <v>3884</v>
      </c>
    </row>
    <row r="468" spans="1:30" ht="55.2" x14ac:dyDescent="0.3">
      <c r="B468" s="13" t="s">
        <v>2567</v>
      </c>
      <c r="C468" s="13" t="s">
        <v>1321</v>
      </c>
      <c r="D468" s="13" t="s">
        <v>2566</v>
      </c>
      <c r="F468" s="13" t="s">
        <v>2569</v>
      </c>
      <c r="G468" s="13" t="s">
        <v>2570</v>
      </c>
      <c r="J468" s="13" t="s">
        <v>2568</v>
      </c>
      <c r="K468" s="13" t="s">
        <v>39</v>
      </c>
      <c r="L468" s="13" t="s">
        <v>2572</v>
      </c>
      <c r="M468" s="14" t="s">
        <v>3804</v>
      </c>
      <c r="O468" s="13" t="s">
        <v>31</v>
      </c>
      <c r="P468" s="13"/>
      <c r="Q468" s="13"/>
      <c r="R468" s="13"/>
      <c r="S468" s="17" t="s">
        <v>2571</v>
      </c>
      <c r="T468" s="15">
        <v>2022</v>
      </c>
      <c r="U468" s="13" t="s">
        <v>45</v>
      </c>
      <c r="V468" s="13" t="s">
        <v>29</v>
      </c>
      <c r="X468" s="14"/>
      <c r="Y468" s="16" t="s">
        <v>10081</v>
      </c>
      <c r="Z468" s="14" t="s">
        <v>3835</v>
      </c>
      <c r="AA468" s="14" t="s">
        <v>3813</v>
      </c>
      <c r="AB468" s="14" t="s">
        <v>3884</v>
      </c>
    </row>
    <row r="469" spans="1:30" hidden="1" x14ac:dyDescent="0.3">
      <c r="A469" s="13" t="s">
        <v>1388</v>
      </c>
      <c r="B469" s="13" t="s">
        <v>1386</v>
      </c>
      <c r="C469" s="13" t="s">
        <v>1387</v>
      </c>
      <c r="D469" s="13" t="s">
        <v>1385</v>
      </c>
      <c r="E469" s="13" t="s">
        <v>1393</v>
      </c>
      <c r="F469" s="13" t="s">
        <v>1392</v>
      </c>
      <c r="G469" s="13" t="s">
        <v>1394</v>
      </c>
      <c r="H469" s="13" t="s">
        <v>1389</v>
      </c>
      <c r="I469" s="13" t="s">
        <v>1390</v>
      </c>
      <c r="J469" s="13" t="s">
        <v>1391</v>
      </c>
      <c r="K469" s="13" t="s">
        <v>39</v>
      </c>
      <c r="L469" s="13" t="s">
        <v>1396</v>
      </c>
      <c r="M469" s="14" t="s">
        <v>141</v>
      </c>
      <c r="O469" s="13" t="s">
        <v>31</v>
      </c>
      <c r="P469" s="13"/>
      <c r="Q469" s="13"/>
      <c r="R469" s="13"/>
      <c r="S469" s="17" t="s">
        <v>1395</v>
      </c>
      <c r="T469" s="15">
        <v>2022</v>
      </c>
      <c r="U469" s="13" t="s">
        <v>45</v>
      </c>
      <c r="V469" s="13" t="s">
        <v>29</v>
      </c>
      <c r="X469" s="14">
        <v>5</v>
      </c>
      <c r="Y469" s="14"/>
      <c r="Z469" s="14" t="s">
        <v>3828</v>
      </c>
      <c r="AA469" s="14" t="s">
        <v>3807</v>
      </c>
      <c r="AB469" s="14" t="s">
        <v>3888</v>
      </c>
    </row>
    <row r="470" spans="1:30" ht="27.6" hidden="1" x14ac:dyDescent="0.3">
      <c r="B470" s="13" t="s">
        <v>2176</v>
      </c>
      <c r="C470" s="13" t="s">
        <v>68</v>
      </c>
      <c r="D470" s="13" t="s">
        <v>2175</v>
      </c>
      <c r="E470" s="13" t="s">
        <v>2179</v>
      </c>
      <c r="F470" s="13" t="s">
        <v>2178</v>
      </c>
      <c r="G470" s="13" t="s">
        <v>2180</v>
      </c>
      <c r="H470" s="13" t="s">
        <v>2177</v>
      </c>
      <c r="J470" s="13" t="s">
        <v>72</v>
      </c>
      <c r="K470" s="13" t="s">
        <v>39</v>
      </c>
      <c r="L470" s="13" t="s">
        <v>3846</v>
      </c>
      <c r="M470" s="14" t="s">
        <v>3804</v>
      </c>
      <c r="O470" s="13" t="s">
        <v>31</v>
      </c>
      <c r="P470" s="13"/>
      <c r="Q470" s="13"/>
      <c r="R470" s="13"/>
      <c r="S470" s="17" t="s">
        <v>2181</v>
      </c>
      <c r="T470" s="15">
        <v>2022</v>
      </c>
      <c r="U470" s="13" t="s">
        <v>45</v>
      </c>
      <c r="V470" s="13" t="s">
        <v>29</v>
      </c>
      <c r="X470" s="14">
        <v>5</v>
      </c>
      <c r="Y470" s="16" t="s">
        <v>5979</v>
      </c>
      <c r="Z470" s="14" t="s">
        <v>3828</v>
      </c>
      <c r="AA470" s="14" t="s">
        <v>3811</v>
      </c>
      <c r="AB470" s="14" t="s">
        <v>3887</v>
      </c>
    </row>
    <row r="471" spans="1:30" hidden="1" x14ac:dyDescent="0.3">
      <c r="A471" s="13" t="s">
        <v>22</v>
      </c>
      <c r="B471" s="13" t="s">
        <v>220</v>
      </c>
      <c r="C471" s="13" t="s">
        <v>68</v>
      </c>
      <c r="D471" s="13" t="s">
        <v>219</v>
      </c>
      <c r="E471" s="13" t="s">
        <v>225</v>
      </c>
      <c r="F471" s="13" t="s">
        <v>224</v>
      </c>
      <c r="H471" s="13" t="s">
        <v>221</v>
      </c>
      <c r="I471" s="13" t="s">
        <v>222</v>
      </c>
      <c r="J471" s="13" t="s">
        <v>223</v>
      </c>
      <c r="K471" s="13" t="s">
        <v>39</v>
      </c>
      <c r="L471" s="13" t="s">
        <v>226</v>
      </c>
      <c r="M471" s="14" t="s">
        <v>141</v>
      </c>
      <c r="N471" s="13"/>
      <c r="O471" s="13" t="s">
        <v>31</v>
      </c>
      <c r="P471" s="13"/>
      <c r="Q471" s="13"/>
      <c r="R471" s="13"/>
      <c r="S471" s="17">
        <v>44716</v>
      </c>
      <c r="T471" s="15">
        <v>2022</v>
      </c>
      <c r="U471" s="13" t="s">
        <v>45</v>
      </c>
      <c r="V471" s="13" t="s">
        <v>29</v>
      </c>
      <c r="X471" s="14">
        <v>20</v>
      </c>
      <c r="Y471" s="14"/>
      <c r="Z471" s="14" t="s">
        <v>3835</v>
      </c>
      <c r="AA471" s="14" t="s">
        <v>3817</v>
      </c>
      <c r="AB471" s="14" t="s">
        <v>3884</v>
      </c>
    </row>
    <row r="472" spans="1:30" ht="27.6" hidden="1" x14ac:dyDescent="0.3">
      <c r="A472" s="14"/>
      <c r="B472" s="26" t="s">
        <v>2103</v>
      </c>
      <c r="C472" s="26" t="s">
        <v>2104</v>
      </c>
      <c r="D472" s="26" t="s">
        <v>2102</v>
      </c>
      <c r="E472" s="26" t="s">
        <v>2106</v>
      </c>
      <c r="F472" s="26" t="s">
        <v>2105</v>
      </c>
      <c r="G472" s="14"/>
      <c r="H472" s="14"/>
      <c r="I472" s="14"/>
      <c r="J472" s="26" t="s">
        <v>72</v>
      </c>
      <c r="K472" s="26" t="s">
        <v>39</v>
      </c>
      <c r="L472" s="26" t="s">
        <v>2107</v>
      </c>
      <c r="M472" s="14" t="s">
        <v>141</v>
      </c>
      <c r="N472" s="14"/>
      <c r="O472" s="26" t="s">
        <v>31</v>
      </c>
      <c r="P472" s="26"/>
      <c r="Q472" s="26"/>
      <c r="R472" s="26"/>
      <c r="S472" s="28">
        <v>44716</v>
      </c>
      <c r="T472" s="36">
        <v>2023</v>
      </c>
      <c r="U472" s="14" t="s">
        <v>45</v>
      </c>
      <c r="V472" s="13" t="s">
        <v>29</v>
      </c>
      <c r="W472" s="14" t="s">
        <v>5205</v>
      </c>
      <c r="X472" s="14">
        <v>5</v>
      </c>
      <c r="Y472" s="14"/>
      <c r="Z472" s="14" t="s">
        <v>3828</v>
      </c>
      <c r="AA472" s="14" t="s">
        <v>5058</v>
      </c>
      <c r="AB472" s="14" t="s">
        <v>3885</v>
      </c>
      <c r="AC472" s="14"/>
      <c r="AD472" s="26" t="s">
        <v>2025</v>
      </c>
    </row>
    <row r="473" spans="1:30" hidden="1" x14ac:dyDescent="0.3">
      <c r="B473" s="13" t="s">
        <v>2425</v>
      </c>
      <c r="C473" s="13" t="s">
        <v>2426</v>
      </c>
      <c r="D473" s="13" t="s">
        <v>2424</v>
      </c>
      <c r="F473" s="13" t="s">
        <v>2427</v>
      </c>
      <c r="J473" s="13" t="s">
        <v>72</v>
      </c>
      <c r="K473" s="13" t="s">
        <v>39</v>
      </c>
      <c r="L473" s="13" t="s">
        <v>2428</v>
      </c>
      <c r="M473" s="14" t="s">
        <v>141</v>
      </c>
      <c r="N473" s="13"/>
      <c r="O473" s="13" t="s">
        <v>31</v>
      </c>
      <c r="P473" s="13"/>
      <c r="Q473" s="13"/>
      <c r="R473" s="13"/>
      <c r="S473" s="17">
        <v>44716</v>
      </c>
      <c r="T473" s="15">
        <v>2022</v>
      </c>
      <c r="U473" s="13" t="s">
        <v>45</v>
      </c>
      <c r="V473" s="13" t="s">
        <v>29</v>
      </c>
      <c r="X473" s="14">
        <v>5</v>
      </c>
      <c r="Y473" s="14"/>
      <c r="Z473" s="14" t="s">
        <v>3828</v>
      </c>
      <c r="AA473" s="14" t="s">
        <v>3872</v>
      </c>
      <c r="AB473" s="14" t="s">
        <v>3887</v>
      </c>
    </row>
    <row r="474" spans="1:30" ht="27.6" hidden="1" x14ac:dyDescent="0.3">
      <c r="A474" s="13" t="s">
        <v>3086</v>
      </c>
      <c r="B474" s="13" t="s">
        <v>3084</v>
      </c>
      <c r="C474" s="13" t="s">
        <v>3085</v>
      </c>
      <c r="D474" s="13" t="s">
        <v>3083</v>
      </c>
      <c r="E474" s="13" t="s">
        <v>3089</v>
      </c>
      <c r="F474" s="13" t="s">
        <v>3088</v>
      </c>
      <c r="J474" s="13" t="s">
        <v>3087</v>
      </c>
      <c r="K474" s="13" t="s">
        <v>39</v>
      </c>
      <c r="L474" s="13" t="s">
        <v>3091</v>
      </c>
      <c r="M474" s="14" t="s">
        <v>3804</v>
      </c>
      <c r="O474" s="13" t="s">
        <v>31</v>
      </c>
      <c r="P474" s="13"/>
      <c r="Q474" s="13"/>
      <c r="R474" s="13"/>
      <c r="S474" s="17" t="s">
        <v>3090</v>
      </c>
      <c r="T474" s="15">
        <v>2022</v>
      </c>
      <c r="U474" s="13" t="s">
        <v>45</v>
      </c>
      <c r="V474" s="13" t="s">
        <v>29</v>
      </c>
      <c r="X474" s="14">
        <v>10</v>
      </c>
      <c r="Y474" s="16" t="s">
        <v>5979</v>
      </c>
      <c r="Z474" s="14" t="s">
        <v>3870</v>
      </c>
      <c r="AA474" s="14" t="s">
        <v>3806</v>
      </c>
      <c r="AB474" s="14" t="s">
        <v>3886</v>
      </c>
    </row>
    <row r="475" spans="1:30" hidden="1" x14ac:dyDescent="0.3">
      <c r="B475" s="13" t="s">
        <v>1153</v>
      </c>
      <c r="C475" s="13" t="s">
        <v>1154</v>
      </c>
      <c r="D475" s="13" t="s">
        <v>1152</v>
      </c>
      <c r="E475" s="13" t="s">
        <v>1157</v>
      </c>
      <c r="F475" s="13" t="s">
        <v>1156</v>
      </c>
      <c r="H475" s="13" t="s">
        <v>1155</v>
      </c>
      <c r="I475" s="13" t="s">
        <v>589</v>
      </c>
      <c r="J475" s="13" t="s">
        <v>72</v>
      </c>
      <c r="K475" s="13" t="s">
        <v>39</v>
      </c>
      <c r="L475" s="13" t="s">
        <v>1159</v>
      </c>
      <c r="M475" s="14" t="s">
        <v>3804</v>
      </c>
      <c r="O475" s="13" t="s">
        <v>31</v>
      </c>
      <c r="P475" s="13"/>
      <c r="Q475" s="13"/>
      <c r="R475" s="13"/>
      <c r="S475" s="17" t="s">
        <v>1158</v>
      </c>
      <c r="T475" s="15">
        <v>2022</v>
      </c>
      <c r="U475" s="13" t="s">
        <v>45</v>
      </c>
      <c r="V475" s="13" t="s">
        <v>29</v>
      </c>
      <c r="X475" s="14">
        <v>10</v>
      </c>
      <c r="Y475" s="14"/>
      <c r="Z475" s="14" t="s">
        <v>3835</v>
      </c>
      <c r="AA475" s="14" t="s">
        <v>3813</v>
      </c>
      <c r="AB475" s="14" t="s">
        <v>3884</v>
      </c>
    </row>
    <row r="476" spans="1:30" hidden="1" x14ac:dyDescent="0.3">
      <c r="B476" s="13" t="s">
        <v>1299</v>
      </c>
      <c r="C476" s="13" t="s">
        <v>447</v>
      </c>
      <c r="D476" s="13" t="s">
        <v>1298</v>
      </c>
      <c r="E476" s="13" t="s">
        <v>1301</v>
      </c>
      <c r="F476" s="13" t="s">
        <v>1300</v>
      </c>
      <c r="G476" s="13" t="s">
        <v>1302</v>
      </c>
      <c r="J476" s="13" t="s">
        <v>339</v>
      </c>
      <c r="K476" s="13" t="s">
        <v>39</v>
      </c>
      <c r="L476" s="13" t="s">
        <v>1304</v>
      </c>
      <c r="M476" s="14" t="s">
        <v>3804</v>
      </c>
      <c r="O476" s="13" t="s">
        <v>31</v>
      </c>
      <c r="P476" s="13"/>
      <c r="Q476" s="13"/>
      <c r="R476" s="13"/>
      <c r="S476" s="17" t="s">
        <v>1303</v>
      </c>
      <c r="T476" s="15">
        <v>2022</v>
      </c>
      <c r="U476" s="13" t="s">
        <v>45</v>
      </c>
      <c r="V476" s="13" t="s">
        <v>29</v>
      </c>
      <c r="X476" s="14">
        <v>5</v>
      </c>
      <c r="Y476" s="14"/>
      <c r="Z476" s="14" t="s">
        <v>3835</v>
      </c>
      <c r="AA476" s="14" t="s">
        <v>3814</v>
      </c>
      <c r="AB476" s="14" t="s">
        <v>3884</v>
      </c>
    </row>
    <row r="477" spans="1:30" ht="27.6" hidden="1" x14ac:dyDescent="0.3">
      <c r="B477" s="13" t="s">
        <v>2430</v>
      </c>
      <c r="C477" s="13" t="s">
        <v>2246</v>
      </c>
      <c r="D477" s="13" t="s">
        <v>2429</v>
      </c>
      <c r="E477" s="13" t="s">
        <v>2432</v>
      </c>
      <c r="F477" s="13" t="s">
        <v>2431</v>
      </c>
      <c r="J477" s="13" t="s">
        <v>72</v>
      </c>
      <c r="K477" s="13" t="s">
        <v>39</v>
      </c>
      <c r="L477" s="13" t="s">
        <v>2434</v>
      </c>
      <c r="M477" s="14" t="s">
        <v>3804</v>
      </c>
      <c r="O477" s="13" t="s">
        <v>31</v>
      </c>
      <c r="P477" s="13"/>
      <c r="Q477" s="13"/>
      <c r="R477" s="13"/>
      <c r="S477" s="17" t="s">
        <v>2433</v>
      </c>
      <c r="T477" s="15">
        <v>2022</v>
      </c>
      <c r="U477" s="13" t="s">
        <v>45</v>
      </c>
      <c r="V477" s="13" t="s">
        <v>29</v>
      </c>
      <c r="X477" s="14">
        <v>5</v>
      </c>
      <c r="Y477" s="16">
        <v>45012</v>
      </c>
      <c r="Z477" s="14" t="s">
        <v>3835</v>
      </c>
      <c r="AA477" s="14" t="s">
        <v>3814</v>
      </c>
      <c r="AB477" s="14" t="s">
        <v>3884</v>
      </c>
    </row>
    <row r="478" spans="1:30" hidden="1" x14ac:dyDescent="0.3">
      <c r="B478" s="13" t="s">
        <v>2753</v>
      </c>
      <c r="C478" s="13" t="s">
        <v>423</v>
      </c>
      <c r="D478" s="13" t="s">
        <v>2752</v>
      </c>
      <c r="E478" s="13" t="s">
        <v>2756</v>
      </c>
      <c r="F478" s="13" t="s">
        <v>2755</v>
      </c>
      <c r="G478" s="13" t="s">
        <v>2757</v>
      </c>
      <c r="H478" s="13" t="s">
        <v>2759</v>
      </c>
      <c r="I478" s="13" t="s">
        <v>2760</v>
      </c>
      <c r="J478" s="13" t="s">
        <v>2754</v>
      </c>
      <c r="K478" s="13" t="s">
        <v>39</v>
      </c>
      <c r="L478" s="13" t="s">
        <v>2761</v>
      </c>
      <c r="M478" s="14" t="s">
        <v>141</v>
      </c>
      <c r="O478" s="13" t="s">
        <v>31</v>
      </c>
      <c r="P478" s="13"/>
      <c r="Q478" s="13"/>
      <c r="R478" s="13"/>
      <c r="S478" s="17" t="s">
        <v>2758</v>
      </c>
      <c r="T478" s="15">
        <v>2022</v>
      </c>
      <c r="U478" s="13" t="s">
        <v>45</v>
      </c>
      <c r="V478" s="13" t="s">
        <v>29</v>
      </c>
      <c r="X478" s="14">
        <v>5</v>
      </c>
      <c r="Y478" s="14"/>
      <c r="Z478" s="14" t="s">
        <v>3828</v>
      </c>
      <c r="AA478" s="14" t="s">
        <v>3809</v>
      </c>
      <c r="AB478" s="14" t="s">
        <v>3888</v>
      </c>
    </row>
    <row r="479" spans="1:30" hidden="1" x14ac:dyDescent="0.3">
      <c r="A479" s="13" t="s">
        <v>1262</v>
      </c>
      <c r="B479" s="13" t="s">
        <v>1261</v>
      </c>
      <c r="C479" s="13" t="s">
        <v>189</v>
      </c>
      <c r="D479" s="13" t="s">
        <v>1260</v>
      </c>
      <c r="E479" s="13" t="s">
        <v>1267</v>
      </c>
      <c r="F479" s="13" t="s">
        <v>1266</v>
      </c>
      <c r="G479" s="13" t="s">
        <v>1268</v>
      </c>
      <c r="H479" s="13" t="s">
        <v>1263</v>
      </c>
      <c r="I479" s="13" t="s">
        <v>1264</v>
      </c>
      <c r="J479" s="13" t="s">
        <v>1265</v>
      </c>
      <c r="K479" s="13" t="s">
        <v>39</v>
      </c>
      <c r="L479" s="13" t="s">
        <v>1270</v>
      </c>
      <c r="M479" s="14" t="s">
        <v>141</v>
      </c>
      <c r="O479" s="13" t="s">
        <v>31</v>
      </c>
      <c r="P479" s="13"/>
      <c r="Q479" s="13"/>
      <c r="R479" s="13"/>
      <c r="S479" s="17" t="s">
        <v>1269</v>
      </c>
      <c r="T479" s="15">
        <v>2022</v>
      </c>
      <c r="U479" s="13" t="s">
        <v>45</v>
      </c>
      <c r="V479" s="13" t="s">
        <v>29</v>
      </c>
      <c r="X479" s="14">
        <v>5</v>
      </c>
      <c r="Y479" s="14"/>
      <c r="Z479" s="14" t="s">
        <v>3835</v>
      </c>
      <c r="AA479" s="14" t="s">
        <v>3813</v>
      </c>
      <c r="AB479" s="14" t="s">
        <v>3884</v>
      </c>
    </row>
    <row r="480" spans="1:30" ht="55.2" x14ac:dyDescent="0.3">
      <c r="B480" s="13" t="s">
        <v>1911</v>
      </c>
      <c r="C480" s="13" t="s">
        <v>354</v>
      </c>
      <c r="D480" s="13" t="s">
        <v>1917</v>
      </c>
      <c r="F480" s="13" t="s">
        <v>1921</v>
      </c>
      <c r="G480" s="13" t="s">
        <v>1922</v>
      </c>
      <c r="H480" s="13" t="s">
        <v>1918</v>
      </c>
      <c r="I480" s="13" t="s">
        <v>1919</v>
      </c>
      <c r="J480" s="13" t="s">
        <v>1920</v>
      </c>
      <c r="K480" s="13" t="s">
        <v>39</v>
      </c>
      <c r="L480" s="13" t="s">
        <v>3845</v>
      </c>
      <c r="M480" s="14" t="s">
        <v>3804</v>
      </c>
      <c r="O480" s="13" t="s">
        <v>31</v>
      </c>
      <c r="P480" s="13"/>
      <c r="Q480" s="13"/>
      <c r="R480" s="13"/>
      <c r="S480" s="17" t="s">
        <v>1923</v>
      </c>
      <c r="T480" s="15">
        <v>2022</v>
      </c>
      <c r="U480" s="13" t="s">
        <v>45</v>
      </c>
      <c r="V480" s="13" t="s">
        <v>29</v>
      </c>
      <c r="X480" s="14"/>
      <c r="Y480" s="16" t="s">
        <v>10081</v>
      </c>
      <c r="Z480" s="14" t="s">
        <v>3828</v>
      </c>
      <c r="AA480" s="14" t="s">
        <v>3809</v>
      </c>
      <c r="AB480" s="14" t="s">
        <v>3888</v>
      </c>
    </row>
    <row r="481" spans="1:28" ht="27.6" hidden="1" x14ac:dyDescent="0.3">
      <c r="A481" s="13" t="s">
        <v>100</v>
      </c>
      <c r="B481" s="13" t="s">
        <v>389</v>
      </c>
      <c r="C481" s="13" t="s">
        <v>397</v>
      </c>
      <c r="D481" s="13" t="s">
        <v>396</v>
      </c>
      <c r="E481" s="13" t="s">
        <v>401</v>
      </c>
      <c r="F481" s="13" t="s">
        <v>400</v>
      </c>
      <c r="G481" s="13" t="s">
        <v>402</v>
      </c>
      <c r="H481" s="13" t="s">
        <v>398</v>
      </c>
      <c r="I481" s="13" t="s">
        <v>399</v>
      </c>
      <c r="J481" s="13" t="s">
        <v>339</v>
      </c>
      <c r="K481" s="13" t="s">
        <v>39</v>
      </c>
      <c r="L481" s="13" t="s">
        <v>3836</v>
      </c>
      <c r="M481" s="14" t="s">
        <v>141</v>
      </c>
      <c r="O481" s="13" t="s">
        <v>31</v>
      </c>
      <c r="P481" s="13"/>
      <c r="Q481" s="13"/>
      <c r="R481" s="13"/>
      <c r="S481" s="17" t="s">
        <v>403</v>
      </c>
      <c r="T481" s="15">
        <v>2022</v>
      </c>
      <c r="U481" s="13" t="s">
        <v>45</v>
      </c>
      <c r="V481" s="13" t="s">
        <v>29</v>
      </c>
      <c r="X481" s="14">
        <v>5</v>
      </c>
      <c r="Y481" s="14"/>
      <c r="Z481" s="14" t="s">
        <v>3828</v>
      </c>
      <c r="AA481" s="14" t="s">
        <v>3821</v>
      </c>
      <c r="AB481" s="14" t="s">
        <v>3885</v>
      </c>
    </row>
    <row r="482" spans="1:28" ht="27.6" hidden="1" x14ac:dyDescent="0.3">
      <c r="A482" s="13" t="s">
        <v>577</v>
      </c>
      <c r="B482" s="13" t="s">
        <v>575</v>
      </c>
      <c r="C482" s="13" t="s">
        <v>576</v>
      </c>
      <c r="D482" s="13" t="s">
        <v>574</v>
      </c>
      <c r="E482" s="13" t="s">
        <v>582</v>
      </c>
      <c r="F482" s="13" t="s">
        <v>581</v>
      </c>
      <c r="G482" s="13" t="s">
        <v>579</v>
      </c>
      <c r="H482" s="13" t="s">
        <v>578</v>
      </c>
      <c r="I482" s="13" t="s">
        <v>579</v>
      </c>
      <c r="J482" s="13" t="s">
        <v>580</v>
      </c>
      <c r="K482" s="13" t="s">
        <v>39</v>
      </c>
      <c r="L482" s="13" t="s">
        <v>584</v>
      </c>
      <c r="M482" s="14" t="s">
        <v>141</v>
      </c>
      <c r="O482" s="13" t="s">
        <v>31</v>
      </c>
      <c r="P482" s="13"/>
      <c r="Q482" s="13"/>
      <c r="R482" s="13"/>
      <c r="S482" s="17" t="s">
        <v>583</v>
      </c>
      <c r="T482" s="15">
        <v>2022</v>
      </c>
      <c r="U482" s="13" t="s">
        <v>45</v>
      </c>
      <c r="V482" s="13" t="s">
        <v>29</v>
      </c>
      <c r="X482" s="14">
        <v>10</v>
      </c>
      <c r="Y482" s="14"/>
      <c r="Z482" s="14" t="s">
        <v>3870</v>
      </c>
      <c r="AA482" s="14" t="s">
        <v>3873</v>
      </c>
      <c r="AB482" s="14" t="s">
        <v>3886</v>
      </c>
    </row>
    <row r="483" spans="1:28" hidden="1" x14ac:dyDescent="0.3">
      <c r="A483" s="13" t="s">
        <v>2635</v>
      </c>
      <c r="B483" s="13" t="s">
        <v>2634</v>
      </c>
      <c r="C483" s="13" t="s">
        <v>1828</v>
      </c>
      <c r="D483" s="13" t="s">
        <v>2633</v>
      </c>
      <c r="F483" s="13" t="s">
        <v>2637</v>
      </c>
      <c r="G483" s="13" t="s">
        <v>2638</v>
      </c>
      <c r="J483" s="13" t="s">
        <v>2636</v>
      </c>
      <c r="K483" s="13" t="s">
        <v>39</v>
      </c>
      <c r="L483" s="13" t="s">
        <v>2640</v>
      </c>
      <c r="M483" s="14" t="s">
        <v>3804</v>
      </c>
      <c r="O483" s="13" t="s">
        <v>31</v>
      </c>
      <c r="P483" s="13"/>
      <c r="Q483" s="13"/>
      <c r="R483" s="13"/>
      <c r="S483" s="17" t="s">
        <v>2639</v>
      </c>
      <c r="T483" s="15">
        <v>2022</v>
      </c>
      <c r="U483" s="13" t="s">
        <v>45</v>
      </c>
      <c r="V483" s="13" t="s">
        <v>29</v>
      </c>
      <c r="X483" s="14">
        <v>5</v>
      </c>
      <c r="Y483" s="16">
        <v>45012</v>
      </c>
      <c r="Z483" s="14" t="s">
        <v>2148</v>
      </c>
      <c r="AA483" s="14" t="s">
        <v>3818</v>
      </c>
      <c r="AB483" s="14" t="s">
        <v>3890</v>
      </c>
    </row>
    <row r="484" spans="1:28" hidden="1" x14ac:dyDescent="0.3">
      <c r="A484" s="13" t="s">
        <v>3863</v>
      </c>
      <c r="B484" s="13" t="s">
        <v>2197</v>
      </c>
      <c r="C484" s="13" t="s">
        <v>2198</v>
      </c>
      <c r="D484" s="13" t="s">
        <v>2196</v>
      </c>
      <c r="E484" s="13" t="s">
        <v>2200</v>
      </c>
      <c r="F484" s="13" t="s">
        <v>2199</v>
      </c>
      <c r="J484" s="13" t="s">
        <v>1391</v>
      </c>
      <c r="K484" s="13" t="s">
        <v>39</v>
      </c>
      <c r="L484" s="13" t="s">
        <v>2202</v>
      </c>
      <c r="M484" s="14" t="s">
        <v>3804</v>
      </c>
      <c r="O484" s="13" t="s">
        <v>31</v>
      </c>
      <c r="P484" s="13"/>
      <c r="Q484" s="13"/>
      <c r="R484" s="13"/>
      <c r="S484" s="17" t="s">
        <v>2201</v>
      </c>
      <c r="T484" s="15">
        <v>2022</v>
      </c>
      <c r="U484" s="13" t="s">
        <v>45</v>
      </c>
      <c r="V484" s="13" t="s">
        <v>29</v>
      </c>
      <c r="X484" s="14">
        <v>5</v>
      </c>
      <c r="Y484" s="16">
        <v>45012</v>
      </c>
      <c r="Z484" s="14" t="s">
        <v>2148</v>
      </c>
      <c r="AA484" s="14" t="s">
        <v>3818</v>
      </c>
      <c r="AB484" s="14" t="s">
        <v>3890</v>
      </c>
    </row>
    <row r="485" spans="1:28" hidden="1" x14ac:dyDescent="0.3">
      <c r="A485" s="13" t="s">
        <v>22</v>
      </c>
      <c r="B485" s="13" t="s">
        <v>1227</v>
      </c>
      <c r="C485" s="13" t="s">
        <v>1228</v>
      </c>
      <c r="D485" s="13" t="s">
        <v>1226</v>
      </c>
      <c r="E485" s="13" t="s">
        <v>1231</v>
      </c>
      <c r="F485" s="13" t="s">
        <v>1230</v>
      </c>
      <c r="G485" s="13" t="s">
        <v>1232</v>
      </c>
      <c r="H485" s="13" t="s">
        <v>2148</v>
      </c>
      <c r="J485" s="13" t="s">
        <v>1229</v>
      </c>
      <c r="K485" s="13" t="s">
        <v>39</v>
      </c>
      <c r="L485" s="13" t="s">
        <v>1234</v>
      </c>
      <c r="M485" s="14" t="s">
        <v>3804</v>
      </c>
      <c r="O485" s="13" t="s">
        <v>31</v>
      </c>
      <c r="P485" s="13"/>
      <c r="Q485" s="13"/>
      <c r="R485" s="13"/>
      <c r="S485" s="17" t="s">
        <v>1233</v>
      </c>
      <c r="T485" s="15">
        <v>2022</v>
      </c>
      <c r="U485" s="13" t="s">
        <v>45</v>
      </c>
      <c r="V485" s="13" t="s">
        <v>29</v>
      </c>
      <c r="X485" s="14">
        <v>5</v>
      </c>
      <c r="Y485" s="14"/>
      <c r="Z485" s="14" t="s">
        <v>2148</v>
      </c>
      <c r="AA485" s="14" t="s">
        <v>3818</v>
      </c>
      <c r="AB485" s="14" t="s">
        <v>3890</v>
      </c>
    </row>
    <row r="486" spans="1:28" hidden="1" x14ac:dyDescent="0.3">
      <c r="A486" s="13" t="s">
        <v>1379</v>
      </c>
      <c r="B486" s="13" t="s">
        <v>3506</v>
      </c>
      <c r="C486" s="13" t="s">
        <v>1562</v>
      </c>
      <c r="D486" s="13" t="s">
        <v>3505</v>
      </c>
      <c r="E486" s="13" t="s">
        <v>3510</v>
      </c>
      <c r="F486" s="13" t="s">
        <v>3509</v>
      </c>
      <c r="G486" s="13" t="s">
        <v>3511</v>
      </c>
      <c r="H486" s="13" t="s">
        <v>3507</v>
      </c>
      <c r="J486" s="13" t="s">
        <v>3508</v>
      </c>
      <c r="K486" s="13" t="s">
        <v>39</v>
      </c>
      <c r="L486" s="13" t="s">
        <v>3859</v>
      </c>
      <c r="M486" s="14" t="s">
        <v>3804</v>
      </c>
      <c r="O486" s="13" t="s">
        <v>31</v>
      </c>
      <c r="P486" s="13"/>
      <c r="Q486" s="13"/>
      <c r="R486" s="13"/>
      <c r="S486" s="17" t="s">
        <v>3512</v>
      </c>
      <c r="T486" s="15">
        <v>2022</v>
      </c>
      <c r="U486" s="13" t="s">
        <v>45</v>
      </c>
      <c r="V486" s="13" t="s">
        <v>29</v>
      </c>
      <c r="X486" s="14">
        <v>5</v>
      </c>
      <c r="Y486" s="16">
        <v>45012</v>
      </c>
      <c r="Z486" s="14" t="s">
        <v>3828</v>
      </c>
      <c r="AA486" s="14" t="s">
        <v>3824</v>
      </c>
      <c r="AB486" s="14" t="s">
        <v>3885</v>
      </c>
    </row>
    <row r="487" spans="1:28" hidden="1" x14ac:dyDescent="0.3">
      <c r="B487" s="13" t="s">
        <v>1289</v>
      </c>
      <c r="C487" s="13" t="s">
        <v>336</v>
      </c>
      <c r="D487" s="13" t="s">
        <v>1288</v>
      </c>
      <c r="F487" s="13" t="s">
        <v>1291</v>
      </c>
      <c r="J487" s="13" t="s">
        <v>1290</v>
      </c>
      <c r="K487" s="13" t="s">
        <v>39</v>
      </c>
      <c r="L487" s="13" t="s">
        <v>1293</v>
      </c>
      <c r="M487" s="14" t="s">
        <v>141</v>
      </c>
      <c r="O487" s="13" t="s">
        <v>31</v>
      </c>
      <c r="P487" s="13"/>
      <c r="Q487" s="13"/>
      <c r="R487" s="13"/>
      <c r="S487" s="17" t="s">
        <v>1292</v>
      </c>
      <c r="T487" s="15">
        <v>2022</v>
      </c>
      <c r="U487" s="13" t="s">
        <v>45</v>
      </c>
      <c r="V487" s="13" t="s">
        <v>29</v>
      </c>
      <c r="X487" s="14">
        <v>10</v>
      </c>
      <c r="Y487" s="14"/>
      <c r="Z487" s="14" t="s">
        <v>3835</v>
      </c>
      <c r="AA487" s="14" t="s">
        <v>3814</v>
      </c>
      <c r="AB487" s="14" t="s">
        <v>3884</v>
      </c>
    </row>
    <row r="488" spans="1:28" hidden="1" x14ac:dyDescent="0.3">
      <c r="A488" s="13" t="s">
        <v>460</v>
      </c>
      <c r="B488" s="13" t="s">
        <v>1494</v>
      </c>
      <c r="C488" s="13" t="s">
        <v>1495</v>
      </c>
      <c r="D488" s="13" t="s">
        <v>1493</v>
      </c>
      <c r="F488" s="13" t="s">
        <v>1498</v>
      </c>
      <c r="G488" s="13" t="s">
        <v>1499</v>
      </c>
      <c r="H488" s="13" t="s">
        <v>908</v>
      </c>
      <c r="I488" s="13" t="s">
        <v>1496</v>
      </c>
      <c r="J488" s="13" t="s">
        <v>1497</v>
      </c>
      <c r="K488" s="13" t="s">
        <v>39</v>
      </c>
      <c r="L488" s="13" t="s">
        <v>1144</v>
      </c>
      <c r="M488" s="14" t="s">
        <v>3804</v>
      </c>
      <c r="O488" s="13" t="s">
        <v>31</v>
      </c>
      <c r="P488" s="13"/>
      <c r="Q488" s="13"/>
      <c r="R488" s="13"/>
      <c r="S488" s="17" t="s">
        <v>1500</v>
      </c>
      <c r="T488" s="15">
        <v>2022</v>
      </c>
      <c r="U488" s="13" t="s">
        <v>45</v>
      </c>
      <c r="V488" s="13" t="s">
        <v>29</v>
      </c>
      <c r="X488" s="14">
        <v>5</v>
      </c>
      <c r="Y488" s="14"/>
      <c r="Z488" s="14" t="s">
        <v>3870</v>
      </c>
      <c r="AA488" s="14" t="s">
        <v>3806</v>
      </c>
      <c r="AB488" s="14" t="s">
        <v>3886</v>
      </c>
    </row>
    <row r="489" spans="1:28" ht="55.2" hidden="1" x14ac:dyDescent="0.3">
      <c r="A489" s="13" t="s">
        <v>254</v>
      </c>
      <c r="B489" s="13" t="s">
        <v>2087</v>
      </c>
      <c r="C489" s="13" t="s">
        <v>447</v>
      </c>
      <c r="D489" s="13" t="s">
        <v>2086</v>
      </c>
      <c r="E489" s="13" t="s">
        <v>2092</v>
      </c>
      <c r="F489" s="13" t="s">
        <v>2091</v>
      </c>
      <c r="H489" s="13" t="s">
        <v>2088</v>
      </c>
      <c r="I489" s="13" t="s">
        <v>2089</v>
      </c>
      <c r="J489" s="13" t="s">
        <v>2090</v>
      </c>
      <c r="K489" s="13" t="s">
        <v>92</v>
      </c>
      <c r="L489" s="13" t="s">
        <v>2094</v>
      </c>
      <c r="M489" s="14" t="s">
        <v>141</v>
      </c>
      <c r="O489" s="13" t="s">
        <v>31</v>
      </c>
      <c r="P489" s="13"/>
      <c r="Q489" s="13"/>
      <c r="R489" s="13"/>
      <c r="S489" s="17" t="s">
        <v>2093</v>
      </c>
      <c r="T489" s="15">
        <v>2022</v>
      </c>
      <c r="U489" s="13" t="s">
        <v>45</v>
      </c>
      <c r="V489" s="13" t="s">
        <v>29</v>
      </c>
      <c r="X489" s="14">
        <v>10</v>
      </c>
      <c r="Y489" s="14"/>
      <c r="Z489" s="14" t="s">
        <v>3828</v>
      </c>
      <c r="AA489" s="14" t="s">
        <v>3872</v>
      </c>
      <c r="AB489" s="14" t="s">
        <v>3885</v>
      </c>
    </row>
    <row r="490" spans="1:28" ht="55.2" x14ac:dyDescent="0.3">
      <c r="A490" s="13" t="s">
        <v>2707</v>
      </c>
      <c r="B490" s="13" t="s">
        <v>2702</v>
      </c>
      <c r="C490" s="13" t="s">
        <v>587</v>
      </c>
      <c r="D490" s="13" t="s">
        <v>2706</v>
      </c>
      <c r="E490" s="13" t="s">
        <v>2710</v>
      </c>
      <c r="F490" s="13" t="s">
        <v>2709</v>
      </c>
      <c r="J490" s="13" t="s">
        <v>2708</v>
      </c>
      <c r="K490" s="13" t="s">
        <v>39</v>
      </c>
      <c r="L490" s="13" t="s">
        <v>2712</v>
      </c>
      <c r="M490" s="14" t="s">
        <v>3804</v>
      </c>
      <c r="O490" s="13" t="s">
        <v>31</v>
      </c>
      <c r="P490" s="13"/>
      <c r="Q490" s="13"/>
      <c r="R490" s="13"/>
      <c r="S490" s="17" t="s">
        <v>2711</v>
      </c>
      <c r="T490" s="15">
        <v>2022</v>
      </c>
      <c r="U490" s="13" t="s">
        <v>45</v>
      </c>
      <c r="V490" s="13" t="s">
        <v>29</v>
      </c>
      <c r="X490" s="14"/>
      <c r="Y490" s="16" t="s">
        <v>10081</v>
      </c>
      <c r="Z490" s="14" t="s">
        <v>2148</v>
      </c>
      <c r="AA490" s="14" t="s">
        <v>3818</v>
      </c>
      <c r="AB490" s="14" t="s">
        <v>3890</v>
      </c>
    </row>
    <row r="491" spans="1:28" ht="27.6" hidden="1" x14ac:dyDescent="0.3">
      <c r="A491" s="13" t="s">
        <v>3864</v>
      </c>
      <c r="B491" s="13" t="s">
        <v>3476</v>
      </c>
      <c r="C491" s="13" t="s">
        <v>466</v>
      </c>
      <c r="D491" s="13" t="s">
        <v>3475</v>
      </c>
      <c r="E491" s="13" t="s">
        <v>3479</v>
      </c>
      <c r="F491" s="13" t="s">
        <v>3478</v>
      </c>
      <c r="G491" s="13" t="s">
        <v>3480</v>
      </c>
      <c r="J491" s="13" t="s">
        <v>3477</v>
      </c>
      <c r="K491" s="13" t="s">
        <v>39</v>
      </c>
      <c r="L491" s="13" t="s">
        <v>3482</v>
      </c>
      <c r="M491" s="14" t="s">
        <v>3804</v>
      </c>
      <c r="O491" s="13" t="s">
        <v>31</v>
      </c>
      <c r="P491" s="13"/>
      <c r="Q491" s="13"/>
      <c r="R491" s="13"/>
      <c r="S491" s="17" t="s">
        <v>3481</v>
      </c>
      <c r="T491" s="15">
        <v>2022</v>
      </c>
      <c r="U491" s="13" t="s">
        <v>45</v>
      </c>
      <c r="V491" s="13" t="s">
        <v>29</v>
      </c>
      <c r="X491" s="14">
        <v>5</v>
      </c>
      <c r="Y491" s="16" t="s">
        <v>5979</v>
      </c>
      <c r="Z491" s="14" t="s">
        <v>2148</v>
      </c>
      <c r="AA491" s="14" t="s">
        <v>3818</v>
      </c>
      <c r="AB491" s="14" t="s">
        <v>3890</v>
      </c>
    </row>
    <row r="492" spans="1:28" hidden="1" x14ac:dyDescent="0.3">
      <c r="B492" s="13" t="s">
        <v>320</v>
      </c>
      <c r="C492" s="13" t="s">
        <v>1076</v>
      </c>
      <c r="D492" s="13" t="s">
        <v>2161</v>
      </c>
      <c r="E492" s="13" t="s">
        <v>2165</v>
      </c>
      <c r="F492" s="13" t="s">
        <v>2164</v>
      </c>
      <c r="G492" s="13" t="s">
        <v>2166</v>
      </c>
      <c r="H492" s="13" t="s">
        <v>2162</v>
      </c>
      <c r="I492" s="13" t="s">
        <v>2163</v>
      </c>
      <c r="J492" s="13" t="s">
        <v>72</v>
      </c>
      <c r="K492" s="13" t="s">
        <v>39</v>
      </c>
      <c r="L492" s="13" t="s">
        <v>566</v>
      </c>
      <c r="M492" s="14" t="s">
        <v>141</v>
      </c>
      <c r="O492" s="13" t="s">
        <v>31</v>
      </c>
      <c r="P492" s="13"/>
      <c r="Q492" s="13"/>
      <c r="R492" s="13"/>
      <c r="S492" s="17" t="s">
        <v>2167</v>
      </c>
      <c r="T492" s="15">
        <v>2022</v>
      </c>
      <c r="U492" s="13" t="s">
        <v>45</v>
      </c>
      <c r="V492" s="13" t="s">
        <v>29</v>
      </c>
      <c r="X492" s="14">
        <v>10</v>
      </c>
      <c r="Y492" s="14"/>
      <c r="Z492" s="14" t="s">
        <v>3828</v>
      </c>
      <c r="AA492" s="14" t="s">
        <v>3822</v>
      </c>
      <c r="AB492" s="14" t="s">
        <v>3887</v>
      </c>
    </row>
    <row r="493" spans="1:28" ht="55.2" x14ac:dyDescent="0.3">
      <c r="B493" s="13" t="s">
        <v>1789</v>
      </c>
      <c r="C493" s="13" t="s">
        <v>79</v>
      </c>
      <c r="D493" s="13" t="s">
        <v>1788</v>
      </c>
      <c r="E493" s="13" t="s">
        <v>1793</v>
      </c>
      <c r="F493" s="13" t="s">
        <v>1792</v>
      </c>
      <c r="G493" s="13" t="s">
        <v>1794</v>
      </c>
      <c r="H493" s="13" t="s">
        <v>1790</v>
      </c>
      <c r="I493" s="13" t="s">
        <v>1791</v>
      </c>
      <c r="J493" s="13" t="s">
        <v>72</v>
      </c>
      <c r="K493" s="13" t="s">
        <v>39</v>
      </c>
      <c r="L493" s="13" t="s">
        <v>1796</v>
      </c>
      <c r="M493" s="14" t="s">
        <v>3804</v>
      </c>
      <c r="O493" s="13" t="s">
        <v>31</v>
      </c>
      <c r="P493" s="13"/>
      <c r="Q493" s="13"/>
      <c r="R493" s="13"/>
      <c r="S493" s="17" t="s">
        <v>1795</v>
      </c>
      <c r="T493" s="15">
        <v>2022</v>
      </c>
      <c r="U493" s="13" t="s">
        <v>45</v>
      </c>
      <c r="V493" s="13" t="s">
        <v>29</v>
      </c>
      <c r="X493" s="14"/>
      <c r="Y493" s="16" t="s">
        <v>10081</v>
      </c>
      <c r="Z493" s="14" t="s">
        <v>3828</v>
      </c>
      <c r="AA493" s="14" t="s">
        <v>3809</v>
      </c>
      <c r="AB493" s="14" t="s">
        <v>3888</v>
      </c>
    </row>
    <row r="494" spans="1:28" ht="27.6" hidden="1" x14ac:dyDescent="0.3">
      <c r="A494" s="13" t="s">
        <v>1379</v>
      </c>
      <c r="B494" s="13" t="s">
        <v>1754</v>
      </c>
      <c r="C494" s="13" t="s">
        <v>68</v>
      </c>
      <c r="D494" s="13" t="s">
        <v>1761</v>
      </c>
      <c r="E494" s="13" t="s">
        <v>1766</v>
      </c>
      <c r="F494" s="13" t="s">
        <v>1765</v>
      </c>
      <c r="G494" s="13" t="s">
        <v>1767</v>
      </c>
      <c r="H494" s="13" t="s">
        <v>1762</v>
      </c>
      <c r="I494" s="13" t="s">
        <v>1763</v>
      </c>
      <c r="J494" s="13" t="s">
        <v>1764</v>
      </c>
      <c r="K494" s="13" t="s">
        <v>39</v>
      </c>
      <c r="L494" s="13" t="s">
        <v>1769</v>
      </c>
      <c r="O494" s="13" t="s">
        <v>31</v>
      </c>
      <c r="P494" s="13"/>
      <c r="Q494" s="13"/>
      <c r="R494" s="13"/>
      <c r="S494" s="17" t="s">
        <v>1768</v>
      </c>
      <c r="T494" s="15">
        <v>2022</v>
      </c>
      <c r="U494" s="13" t="s">
        <v>45</v>
      </c>
      <c r="V494" s="13" t="s">
        <v>29</v>
      </c>
      <c r="X494" s="14">
        <v>5</v>
      </c>
      <c r="Y494" s="14"/>
      <c r="Z494" s="14" t="s">
        <v>3828</v>
      </c>
      <c r="AA494" s="14" t="s">
        <v>3874</v>
      </c>
      <c r="AB494" s="14" t="s">
        <v>3888</v>
      </c>
    </row>
    <row r="495" spans="1:28" ht="55.2" x14ac:dyDescent="0.3">
      <c r="B495" s="13" t="s">
        <v>2608</v>
      </c>
      <c r="C495" s="13" t="s">
        <v>2609</v>
      </c>
      <c r="D495" s="13" t="s">
        <v>2607</v>
      </c>
      <c r="E495" s="13" t="s">
        <v>2613</v>
      </c>
      <c r="F495" s="13" t="s">
        <v>2612</v>
      </c>
      <c r="G495" s="13" t="s">
        <v>2614</v>
      </c>
      <c r="H495" s="13" t="s">
        <v>2610</v>
      </c>
      <c r="I495" s="13" t="s">
        <v>2611</v>
      </c>
      <c r="J495" s="13" t="s">
        <v>72</v>
      </c>
      <c r="K495" s="13" t="s">
        <v>39</v>
      </c>
      <c r="L495" s="13" t="s">
        <v>2616</v>
      </c>
      <c r="M495" s="14" t="s">
        <v>3804</v>
      </c>
      <c r="O495" s="13" t="s">
        <v>31</v>
      </c>
      <c r="P495" s="13"/>
      <c r="Q495" s="13"/>
      <c r="R495" s="13"/>
      <c r="S495" s="17" t="s">
        <v>2615</v>
      </c>
      <c r="T495" s="15">
        <v>2022</v>
      </c>
      <c r="U495" s="13" t="s">
        <v>45</v>
      </c>
      <c r="V495" s="13" t="s">
        <v>29</v>
      </c>
      <c r="X495" s="14"/>
      <c r="Y495" s="16" t="s">
        <v>10081</v>
      </c>
      <c r="Z495" s="14" t="s">
        <v>3835</v>
      </c>
      <c r="AA495" s="14" t="s">
        <v>3813</v>
      </c>
      <c r="AB495" s="14" t="s">
        <v>3884</v>
      </c>
    </row>
    <row r="496" spans="1:28" hidden="1" x14ac:dyDescent="0.3">
      <c r="A496" s="13" t="s">
        <v>2716</v>
      </c>
      <c r="B496" s="13" t="s">
        <v>2714</v>
      </c>
      <c r="C496" s="13" t="s">
        <v>2715</v>
      </c>
      <c r="D496" s="13" t="s">
        <v>2713</v>
      </c>
      <c r="E496" s="13" t="s">
        <v>2721</v>
      </c>
      <c r="F496" s="13" t="s">
        <v>2720</v>
      </c>
      <c r="G496" s="13" t="s">
        <v>2722</v>
      </c>
      <c r="H496" s="13" t="s">
        <v>2717</v>
      </c>
      <c r="I496" s="13" t="s">
        <v>2718</v>
      </c>
      <c r="J496" s="13" t="s">
        <v>2719</v>
      </c>
      <c r="K496" s="13" t="s">
        <v>39</v>
      </c>
      <c r="L496" s="13" t="s">
        <v>3851</v>
      </c>
      <c r="M496" s="14" t="s">
        <v>3804</v>
      </c>
      <c r="O496" s="13" t="s">
        <v>31</v>
      </c>
      <c r="P496" s="13"/>
      <c r="Q496" s="13"/>
      <c r="R496" s="13"/>
      <c r="S496" s="17" t="s">
        <v>2723</v>
      </c>
      <c r="T496" s="15">
        <v>2022</v>
      </c>
      <c r="U496" s="13" t="s">
        <v>45</v>
      </c>
      <c r="V496" s="13" t="s">
        <v>29</v>
      </c>
      <c r="X496" s="14">
        <v>5</v>
      </c>
      <c r="Y496" s="16">
        <v>45012</v>
      </c>
      <c r="Z496" s="14" t="s">
        <v>3828</v>
      </c>
      <c r="AA496" s="14" t="s">
        <v>3819</v>
      </c>
      <c r="AB496" s="14" t="s">
        <v>3888</v>
      </c>
    </row>
    <row r="497" spans="1:30" hidden="1" x14ac:dyDescent="0.3">
      <c r="A497" s="13" t="s">
        <v>1482</v>
      </c>
      <c r="B497" s="13" t="s">
        <v>1481</v>
      </c>
      <c r="C497" s="13" t="s">
        <v>157</v>
      </c>
      <c r="D497" s="13" t="s">
        <v>1480</v>
      </c>
      <c r="E497" s="13" t="s">
        <v>1484</v>
      </c>
      <c r="F497" s="13" t="s">
        <v>1483</v>
      </c>
      <c r="G497" s="13" t="s">
        <v>1485</v>
      </c>
      <c r="J497" s="13" t="s">
        <v>72</v>
      </c>
      <c r="K497" s="13" t="s">
        <v>39</v>
      </c>
      <c r="L497" s="13" t="s">
        <v>1487</v>
      </c>
      <c r="M497" s="14" t="s">
        <v>3804</v>
      </c>
      <c r="O497" s="13" t="s">
        <v>31</v>
      </c>
      <c r="P497" s="13"/>
      <c r="Q497" s="13"/>
      <c r="R497" s="13"/>
      <c r="S497" s="17" t="s">
        <v>1486</v>
      </c>
      <c r="T497" s="15">
        <v>2022</v>
      </c>
      <c r="U497" s="13" t="s">
        <v>45</v>
      </c>
      <c r="V497" s="13" t="s">
        <v>29</v>
      </c>
      <c r="X497" s="14">
        <v>5</v>
      </c>
      <c r="Y497" s="16">
        <v>45012</v>
      </c>
      <c r="Z497" s="14" t="s">
        <v>3835</v>
      </c>
      <c r="AA497" s="14" t="s">
        <v>3877</v>
      </c>
      <c r="AB497" s="14" t="s">
        <v>3884</v>
      </c>
    </row>
    <row r="498" spans="1:30" hidden="1" x14ac:dyDescent="0.3">
      <c r="A498" s="13" t="s">
        <v>2707</v>
      </c>
      <c r="B498" s="13" t="s">
        <v>2954</v>
      </c>
      <c r="C498" s="13" t="s">
        <v>1495</v>
      </c>
      <c r="D498" s="13" t="s">
        <v>2953</v>
      </c>
      <c r="E498" s="13" t="s">
        <v>2957</v>
      </c>
      <c r="F498" s="13" t="s">
        <v>2956</v>
      </c>
      <c r="G498" s="13" t="s">
        <v>2958</v>
      </c>
      <c r="H498" s="13" t="s">
        <v>710</v>
      </c>
      <c r="I498" s="13" t="s">
        <v>2955</v>
      </c>
      <c r="J498" s="13" t="s">
        <v>1177</v>
      </c>
      <c r="K498" s="13" t="s">
        <v>39</v>
      </c>
      <c r="L498" s="13" t="s">
        <v>1025</v>
      </c>
      <c r="M498" s="14" t="s">
        <v>3804</v>
      </c>
      <c r="O498" s="13" t="s">
        <v>31</v>
      </c>
      <c r="P498" s="13"/>
      <c r="Q498" s="13"/>
      <c r="R498" s="13"/>
      <c r="S498" s="17" t="s">
        <v>2959</v>
      </c>
      <c r="T498" s="15">
        <v>2022</v>
      </c>
      <c r="U498" s="13" t="s">
        <v>45</v>
      </c>
      <c r="V498" s="13" t="s">
        <v>29</v>
      </c>
      <c r="X498" s="14">
        <v>5</v>
      </c>
      <c r="Y498" s="14"/>
      <c r="Z498" s="14" t="s">
        <v>3835</v>
      </c>
      <c r="AA498" s="14" t="s">
        <v>3813</v>
      </c>
      <c r="AB498" s="14" t="s">
        <v>3884</v>
      </c>
    </row>
    <row r="499" spans="1:30" ht="55.2" x14ac:dyDescent="0.3">
      <c r="B499" s="13" t="s">
        <v>2961</v>
      </c>
      <c r="C499" s="13" t="s">
        <v>2962</v>
      </c>
      <c r="D499" s="13" t="s">
        <v>2960</v>
      </c>
      <c r="E499" s="13" t="s">
        <v>2967</v>
      </c>
      <c r="F499" s="13" t="s">
        <v>2966</v>
      </c>
      <c r="G499" s="13" t="s">
        <v>2968</v>
      </c>
      <c r="H499" s="13" t="s">
        <v>2963</v>
      </c>
      <c r="I499" s="13" t="s">
        <v>2964</v>
      </c>
      <c r="J499" s="13" t="s">
        <v>2965</v>
      </c>
      <c r="K499" s="13" t="s">
        <v>39</v>
      </c>
      <c r="L499" s="13" t="s">
        <v>2970</v>
      </c>
      <c r="M499" s="14" t="s">
        <v>3804</v>
      </c>
      <c r="O499" s="13" t="s">
        <v>31</v>
      </c>
      <c r="P499" s="13"/>
      <c r="Q499" s="13"/>
      <c r="R499" s="13"/>
      <c r="S499" s="17" t="s">
        <v>2969</v>
      </c>
      <c r="T499" s="15">
        <v>2022</v>
      </c>
      <c r="U499" s="13" t="s">
        <v>45</v>
      </c>
      <c r="V499" s="13" t="s">
        <v>29</v>
      </c>
      <c r="X499" s="14"/>
      <c r="Y499" s="16" t="s">
        <v>10081</v>
      </c>
      <c r="Z499" s="14" t="s">
        <v>3828</v>
      </c>
      <c r="AA499" s="14" t="s">
        <v>3877</v>
      </c>
      <c r="AB499" s="14" t="s">
        <v>3888</v>
      </c>
    </row>
    <row r="500" spans="1:30" ht="41.4" hidden="1" x14ac:dyDescent="0.3">
      <c r="A500" s="13" t="s">
        <v>845</v>
      </c>
      <c r="B500" s="13" t="s">
        <v>843</v>
      </c>
      <c r="C500" s="13" t="s">
        <v>844</v>
      </c>
      <c r="D500" s="13" t="s">
        <v>842</v>
      </c>
      <c r="E500" s="13" t="s">
        <v>848</v>
      </c>
      <c r="F500" s="13" t="s">
        <v>847</v>
      </c>
      <c r="G500" s="13" t="s">
        <v>849</v>
      </c>
      <c r="J500" s="13" t="s">
        <v>846</v>
      </c>
      <c r="K500" s="13" t="s">
        <v>39</v>
      </c>
      <c r="L500" s="13" t="s">
        <v>851</v>
      </c>
      <c r="M500" s="14" t="s">
        <v>3804</v>
      </c>
      <c r="O500" s="13" t="s">
        <v>31</v>
      </c>
      <c r="P500" s="13"/>
      <c r="Q500" s="13"/>
      <c r="R500" s="13"/>
      <c r="S500" s="17" t="s">
        <v>850</v>
      </c>
      <c r="T500" s="15">
        <v>2022</v>
      </c>
      <c r="U500" s="13" t="s">
        <v>45</v>
      </c>
      <c r="V500" s="13" t="s">
        <v>29</v>
      </c>
      <c r="X500" s="14">
        <v>5</v>
      </c>
      <c r="Y500" s="14"/>
      <c r="Z500" s="14" t="s">
        <v>3870</v>
      </c>
      <c r="AA500" s="14" t="s">
        <v>3873</v>
      </c>
      <c r="AB500" s="14" t="s">
        <v>3886</v>
      </c>
    </row>
    <row r="501" spans="1:30" hidden="1" x14ac:dyDescent="0.3">
      <c r="A501" s="13" t="s">
        <v>1262</v>
      </c>
      <c r="B501" s="13" t="s">
        <v>3268</v>
      </c>
      <c r="C501" s="13" t="s">
        <v>523</v>
      </c>
      <c r="D501" s="13" t="s">
        <v>3274</v>
      </c>
      <c r="E501" s="13" t="s">
        <v>3278</v>
      </c>
      <c r="F501" s="13" t="s">
        <v>3277</v>
      </c>
      <c r="G501" s="13" t="s">
        <v>3279</v>
      </c>
      <c r="H501" s="13" t="s">
        <v>3275</v>
      </c>
      <c r="I501" s="13" t="s">
        <v>3276</v>
      </c>
      <c r="J501" s="13" t="s">
        <v>560</v>
      </c>
      <c r="K501" s="13" t="s">
        <v>39</v>
      </c>
      <c r="L501" s="13" t="s">
        <v>3281</v>
      </c>
      <c r="M501" s="14" t="s">
        <v>3804</v>
      </c>
      <c r="O501" s="13" t="s">
        <v>31</v>
      </c>
      <c r="P501" s="13"/>
      <c r="Q501" s="13"/>
      <c r="R501" s="13"/>
      <c r="S501" s="17" t="s">
        <v>3280</v>
      </c>
      <c r="T501" s="15">
        <v>2022</v>
      </c>
      <c r="U501" s="13" t="s">
        <v>45</v>
      </c>
      <c r="V501" s="13" t="s">
        <v>29</v>
      </c>
      <c r="X501" s="14">
        <v>5</v>
      </c>
      <c r="Y501" s="14"/>
      <c r="Z501" s="14" t="s">
        <v>3835</v>
      </c>
      <c r="AA501" s="14" t="s">
        <v>3813</v>
      </c>
      <c r="AB501" s="14" t="s">
        <v>3884</v>
      </c>
    </row>
    <row r="502" spans="1:30" hidden="1" x14ac:dyDescent="0.3">
      <c r="A502" s="13" t="s">
        <v>1379</v>
      </c>
      <c r="B502" s="13" t="s">
        <v>3410</v>
      </c>
      <c r="C502" s="13" t="s">
        <v>79</v>
      </c>
      <c r="D502" s="13" t="s">
        <v>3409</v>
      </c>
      <c r="E502" s="13" t="s">
        <v>3414</v>
      </c>
      <c r="F502" s="13" t="s">
        <v>3413</v>
      </c>
      <c r="G502" s="13" t="s">
        <v>3415</v>
      </c>
      <c r="H502" s="13" t="s">
        <v>3411</v>
      </c>
      <c r="I502" s="13" t="s">
        <v>3412</v>
      </c>
      <c r="J502" s="13" t="s">
        <v>72</v>
      </c>
      <c r="K502" s="13" t="s">
        <v>39</v>
      </c>
      <c r="L502" s="13" t="s">
        <v>3417</v>
      </c>
      <c r="M502" s="14" t="s">
        <v>141</v>
      </c>
      <c r="O502" s="13" t="s">
        <v>31</v>
      </c>
      <c r="P502" s="13"/>
      <c r="Q502" s="13"/>
      <c r="R502" s="13"/>
      <c r="S502" s="17" t="s">
        <v>3416</v>
      </c>
      <c r="T502" s="15">
        <v>2022</v>
      </c>
      <c r="U502" s="13" t="s">
        <v>45</v>
      </c>
      <c r="V502" s="13" t="s">
        <v>29</v>
      </c>
      <c r="X502" s="14">
        <v>10</v>
      </c>
      <c r="Y502" s="14"/>
      <c r="Z502" s="14" t="s">
        <v>3828</v>
      </c>
      <c r="AA502" s="14" t="s">
        <v>3807</v>
      </c>
      <c r="AB502" s="14" t="s">
        <v>3888</v>
      </c>
    </row>
    <row r="503" spans="1:30" ht="27.6" hidden="1" x14ac:dyDescent="0.3">
      <c r="A503" s="13" t="s">
        <v>1262</v>
      </c>
      <c r="B503" s="13" t="s">
        <v>2222</v>
      </c>
      <c r="C503" s="13" t="s">
        <v>189</v>
      </c>
      <c r="D503" s="13" t="s">
        <v>2221</v>
      </c>
      <c r="E503" s="13" t="s">
        <v>2226</v>
      </c>
      <c r="F503" s="13" t="s">
        <v>2225</v>
      </c>
      <c r="G503" s="13" t="s">
        <v>2227</v>
      </c>
      <c r="H503" s="13" t="s">
        <v>1905</v>
      </c>
      <c r="I503" s="13" t="s">
        <v>2223</v>
      </c>
      <c r="J503" s="13" t="s">
        <v>2224</v>
      </c>
      <c r="K503" s="13" t="s">
        <v>1702</v>
      </c>
      <c r="L503" s="13" t="s">
        <v>2229</v>
      </c>
      <c r="M503" s="14" t="s">
        <v>3804</v>
      </c>
      <c r="O503" s="13" t="s">
        <v>31</v>
      </c>
      <c r="P503" s="13"/>
      <c r="Q503" s="13"/>
      <c r="R503" s="13"/>
      <c r="S503" s="17" t="s">
        <v>2228</v>
      </c>
      <c r="T503" s="15">
        <v>2022</v>
      </c>
      <c r="U503" s="13" t="s">
        <v>45</v>
      </c>
      <c r="V503" s="13" t="s">
        <v>29</v>
      </c>
      <c r="X503" s="14">
        <v>10</v>
      </c>
      <c r="Y503" s="14"/>
      <c r="Z503" s="14" t="s">
        <v>3835</v>
      </c>
      <c r="AA503" s="14" t="s">
        <v>3817</v>
      </c>
      <c r="AB503" s="14" t="s">
        <v>3884</v>
      </c>
    </row>
    <row r="504" spans="1:30" ht="27.6" hidden="1" x14ac:dyDescent="0.3">
      <c r="B504" s="13" t="s">
        <v>1798</v>
      </c>
      <c r="C504" s="13" t="s">
        <v>587</v>
      </c>
      <c r="D504" s="13" t="s">
        <v>1797</v>
      </c>
      <c r="E504" s="13" t="s">
        <v>1801</v>
      </c>
      <c r="F504" s="13" t="s">
        <v>1800</v>
      </c>
      <c r="G504" s="13" t="s">
        <v>1802</v>
      </c>
      <c r="H504" s="13" t="s">
        <v>1389</v>
      </c>
      <c r="I504" s="13" t="s">
        <v>1799</v>
      </c>
      <c r="J504" s="13" t="s">
        <v>638</v>
      </c>
      <c r="K504" s="13" t="s">
        <v>39</v>
      </c>
      <c r="L504" s="13" t="s">
        <v>1804</v>
      </c>
      <c r="M504" s="14" t="s">
        <v>141</v>
      </c>
      <c r="O504" s="13" t="s">
        <v>31</v>
      </c>
      <c r="P504" s="13"/>
      <c r="Q504" s="13"/>
      <c r="R504" s="13"/>
      <c r="S504" s="17" t="s">
        <v>1803</v>
      </c>
      <c r="T504" s="15">
        <v>2022</v>
      </c>
      <c r="U504" s="13" t="s">
        <v>45</v>
      </c>
      <c r="V504" s="13" t="s">
        <v>29</v>
      </c>
      <c r="X504" s="14">
        <v>5</v>
      </c>
      <c r="Y504" s="14"/>
      <c r="Z504" s="14" t="s">
        <v>3828</v>
      </c>
      <c r="AA504" s="14" t="s">
        <v>3830</v>
      </c>
      <c r="AB504" s="14" t="s">
        <v>3887</v>
      </c>
    </row>
    <row r="505" spans="1:30" s="14" customFormat="1" ht="27.6" hidden="1" x14ac:dyDescent="0.3">
      <c r="A505" s="4" t="s">
        <v>274</v>
      </c>
      <c r="B505" s="4" t="s">
        <v>635</v>
      </c>
      <c r="C505" s="4" t="s">
        <v>636</v>
      </c>
      <c r="D505" s="4" t="s">
        <v>634</v>
      </c>
      <c r="E505" s="4" t="s">
        <v>3944</v>
      </c>
      <c r="F505" s="4" t="s">
        <v>639</v>
      </c>
      <c r="G505" s="4"/>
      <c r="H505" s="4" t="s">
        <v>3945</v>
      </c>
      <c r="I505" s="4" t="s">
        <v>637</v>
      </c>
      <c r="J505" s="4" t="s">
        <v>638</v>
      </c>
      <c r="K505" s="4" t="s">
        <v>39</v>
      </c>
      <c r="L505" s="4" t="s">
        <v>641</v>
      </c>
      <c r="M505" s="4" t="s">
        <v>141</v>
      </c>
      <c r="N505" s="4"/>
      <c r="O505" s="4" t="s">
        <v>31</v>
      </c>
      <c r="P505" s="4"/>
      <c r="Q505" s="4"/>
      <c r="R505" s="4"/>
      <c r="S505" s="4" t="s">
        <v>640</v>
      </c>
      <c r="T505" s="15">
        <v>2022</v>
      </c>
      <c r="U505" s="26" t="s">
        <v>45</v>
      </c>
      <c r="V505" s="13" t="s">
        <v>29</v>
      </c>
      <c r="X505" s="14">
        <v>50</v>
      </c>
      <c r="Z505" s="14" t="s">
        <v>2148</v>
      </c>
      <c r="AA505" s="14" t="s">
        <v>3950</v>
      </c>
      <c r="AB505" s="14" t="s">
        <v>3890</v>
      </c>
    </row>
    <row r="506" spans="1:30" s="14" customFormat="1" hidden="1" x14ac:dyDescent="0.3">
      <c r="A506" s="4" t="s">
        <v>100</v>
      </c>
      <c r="B506" s="4" t="s">
        <v>1509</v>
      </c>
      <c r="C506" s="4" t="s">
        <v>157</v>
      </c>
      <c r="D506" s="4" t="s">
        <v>1515</v>
      </c>
      <c r="E506" s="4" t="s">
        <v>3942</v>
      </c>
      <c r="F506" s="4" t="s">
        <v>1519</v>
      </c>
      <c r="G506" s="4" t="s">
        <v>1520</v>
      </c>
      <c r="H506" s="4" t="s">
        <v>1516</v>
      </c>
      <c r="I506" s="4" t="s">
        <v>1517</v>
      </c>
      <c r="J506" s="4" t="s">
        <v>1518</v>
      </c>
      <c r="K506" s="4" t="s">
        <v>39</v>
      </c>
      <c r="L506" s="4" t="s">
        <v>3943</v>
      </c>
      <c r="M506" s="4" t="s">
        <v>42</v>
      </c>
      <c r="N506" s="4"/>
      <c r="O506" s="4" t="s">
        <v>31</v>
      </c>
      <c r="P506" s="4"/>
      <c r="Q506" s="4"/>
      <c r="R506" s="4"/>
      <c r="S506" s="4" t="s">
        <v>1521</v>
      </c>
      <c r="T506" s="15">
        <v>2022</v>
      </c>
      <c r="U506" s="26" t="s">
        <v>45</v>
      </c>
      <c r="V506" s="13" t="s">
        <v>29</v>
      </c>
      <c r="X506" s="14">
        <v>5</v>
      </c>
      <c r="Y506" s="16">
        <v>45012</v>
      </c>
      <c r="Z506" s="14" t="s">
        <v>3828</v>
      </c>
      <c r="AA506" s="14" t="s">
        <v>1144</v>
      </c>
      <c r="AB506" s="14" t="s">
        <v>3888</v>
      </c>
    </row>
    <row r="507" spans="1:30" s="14" customFormat="1" ht="27.6" hidden="1" x14ac:dyDescent="0.3">
      <c r="A507" s="4" t="s">
        <v>22</v>
      </c>
      <c r="B507" s="4" t="s">
        <v>3932</v>
      </c>
      <c r="C507" s="4" t="s">
        <v>3933</v>
      </c>
      <c r="D507" s="4" t="s">
        <v>3934</v>
      </c>
      <c r="E507" s="4"/>
      <c r="F507" s="4" t="s">
        <v>3935</v>
      </c>
      <c r="G507" s="4" t="s">
        <v>3936</v>
      </c>
      <c r="H507" s="4" t="s">
        <v>3937</v>
      </c>
      <c r="I507" s="4" t="s">
        <v>3938</v>
      </c>
      <c r="J507" s="4" t="s">
        <v>3939</v>
      </c>
      <c r="K507" s="4" t="s">
        <v>39</v>
      </c>
      <c r="L507" s="4" t="s">
        <v>3940</v>
      </c>
      <c r="M507" s="4" t="s">
        <v>141</v>
      </c>
      <c r="N507" s="4"/>
      <c r="O507" s="4" t="s">
        <v>31</v>
      </c>
      <c r="P507" s="4"/>
      <c r="Q507" s="4"/>
      <c r="R507" s="4"/>
      <c r="S507" s="4" t="s">
        <v>3941</v>
      </c>
      <c r="T507" s="15">
        <v>2022</v>
      </c>
      <c r="U507" s="26" t="s">
        <v>45</v>
      </c>
      <c r="V507" s="13" t="s">
        <v>29</v>
      </c>
      <c r="X507" s="14">
        <v>5</v>
      </c>
      <c r="Z507" s="14" t="s">
        <v>2148</v>
      </c>
      <c r="AA507" s="14" t="s">
        <v>3950</v>
      </c>
      <c r="AB507" s="14" t="s">
        <v>3890</v>
      </c>
      <c r="AD507" s="14" t="s">
        <v>53</v>
      </c>
    </row>
    <row r="508" spans="1:30" s="14" customFormat="1" hidden="1" x14ac:dyDescent="0.3">
      <c r="A508" s="4"/>
      <c r="B508" s="4" t="s">
        <v>3922</v>
      </c>
      <c r="C508" s="4" t="s">
        <v>320</v>
      </c>
      <c r="D508" s="4" t="s">
        <v>3923</v>
      </c>
      <c r="E508" s="4" t="s">
        <v>3924</v>
      </c>
      <c r="F508" s="4" t="s">
        <v>3925</v>
      </c>
      <c r="G508" s="4" t="s">
        <v>3926</v>
      </c>
      <c r="H508" s="4" t="s">
        <v>3927</v>
      </c>
      <c r="I508" s="4" t="s">
        <v>3928</v>
      </c>
      <c r="J508" s="4" t="s">
        <v>3929</v>
      </c>
      <c r="K508" s="4" t="s">
        <v>39</v>
      </c>
      <c r="L508" s="4" t="s">
        <v>3930</v>
      </c>
      <c r="M508" s="4" t="s">
        <v>42</v>
      </c>
      <c r="N508" s="4"/>
      <c r="O508" s="4" t="s">
        <v>31</v>
      </c>
      <c r="P508" s="4"/>
      <c r="Q508" s="4"/>
      <c r="R508" s="4"/>
      <c r="S508" s="4" t="s">
        <v>3931</v>
      </c>
      <c r="T508" s="15">
        <v>2022</v>
      </c>
      <c r="U508" s="26" t="s">
        <v>45</v>
      </c>
      <c r="V508" s="13" t="s">
        <v>29</v>
      </c>
      <c r="X508" s="14">
        <v>5</v>
      </c>
      <c r="Y508" s="16">
        <v>45012</v>
      </c>
      <c r="Z508" s="14" t="s">
        <v>3828</v>
      </c>
      <c r="AA508" s="14" t="s">
        <v>3949</v>
      </c>
      <c r="AB508" s="14" t="s">
        <v>3888</v>
      </c>
      <c r="AD508" s="14" t="s">
        <v>53</v>
      </c>
    </row>
    <row r="509" spans="1:30" s="14" customFormat="1" ht="55.2" hidden="1" x14ac:dyDescent="0.3">
      <c r="A509" s="4"/>
      <c r="B509" s="4" t="s">
        <v>3915</v>
      </c>
      <c r="C509" s="4" t="s">
        <v>2358</v>
      </c>
      <c r="D509" s="4" t="s">
        <v>3916</v>
      </c>
      <c r="E509" s="4" t="s">
        <v>3917</v>
      </c>
      <c r="F509" s="37" t="s">
        <v>3918</v>
      </c>
      <c r="G509" s="4"/>
      <c r="H509" s="4"/>
      <c r="I509" s="4"/>
      <c r="J509" s="4" t="s">
        <v>382</v>
      </c>
      <c r="K509" s="4" t="s">
        <v>92</v>
      </c>
      <c r="L509" s="4" t="s">
        <v>3919</v>
      </c>
      <c r="M509" s="4" t="s">
        <v>42</v>
      </c>
      <c r="N509" s="4" t="s">
        <v>3920</v>
      </c>
      <c r="O509" s="4" t="s">
        <v>31</v>
      </c>
      <c r="P509" s="4"/>
      <c r="Q509" s="4"/>
      <c r="R509" s="4"/>
      <c r="S509" s="4" t="s">
        <v>3921</v>
      </c>
      <c r="T509" s="15">
        <v>2022</v>
      </c>
      <c r="U509" s="26" t="s">
        <v>45</v>
      </c>
      <c r="V509" s="13" t="s">
        <v>29</v>
      </c>
      <c r="X509" s="14">
        <v>10</v>
      </c>
      <c r="Y509" s="16" t="s">
        <v>5979</v>
      </c>
      <c r="Z509" s="14" t="s">
        <v>3835</v>
      </c>
      <c r="AA509" s="14" t="s">
        <v>3948</v>
      </c>
      <c r="AB509" s="14" t="s">
        <v>3884</v>
      </c>
      <c r="AD509" s="14" t="s">
        <v>53</v>
      </c>
    </row>
    <row r="510" spans="1:30" s="14" customFormat="1" hidden="1" x14ac:dyDescent="0.3">
      <c r="A510" s="4"/>
      <c r="B510" s="4" t="s">
        <v>3906</v>
      </c>
      <c r="C510" s="4" t="s">
        <v>523</v>
      </c>
      <c r="D510" s="4" t="s">
        <v>3907</v>
      </c>
      <c r="E510" s="4" t="s">
        <v>3908</v>
      </c>
      <c r="F510" s="4" t="s">
        <v>3909</v>
      </c>
      <c r="G510" s="4" t="s">
        <v>3910</v>
      </c>
      <c r="H510" s="4" t="s">
        <v>1651</v>
      </c>
      <c r="I510" s="4" t="s">
        <v>3911</v>
      </c>
      <c r="J510" s="4" t="s">
        <v>3912</v>
      </c>
      <c r="K510" s="4" t="s">
        <v>39</v>
      </c>
      <c r="L510" s="4" t="s">
        <v>3913</v>
      </c>
      <c r="M510" s="4" t="s">
        <v>42</v>
      </c>
      <c r="N510" s="4"/>
      <c r="O510" s="4" t="s">
        <v>31</v>
      </c>
      <c r="P510" s="4"/>
      <c r="Q510" s="4"/>
      <c r="R510" s="4"/>
      <c r="S510" s="4" t="s">
        <v>3914</v>
      </c>
      <c r="T510" s="15">
        <v>2022</v>
      </c>
      <c r="U510" s="26" t="s">
        <v>45</v>
      </c>
      <c r="V510" s="13" t="s">
        <v>29</v>
      </c>
      <c r="X510" s="14">
        <v>10</v>
      </c>
      <c r="Z510" s="14" t="s">
        <v>3828</v>
      </c>
      <c r="AA510" s="14" t="s">
        <v>3947</v>
      </c>
      <c r="AB510" s="14" t="s">
        <v>3888</v>
      </c>
      <c r="AD510" s="14" t="s">
        <v>53</v>
      </c>
    </row>
    <row r="511" spans="1:30" s="14" customFormat="1" hidden="1" x14ac:dyDescent="0.3">
      <c r="A511" s="4"/>
      <c r="B511" s="4" t="s">
        <v>3898</v>
      </c>
      <c r="C511" s="4" t="s">
        <v>523</v>
      </c>
      <c r="D511" s="4" t="s">
        <v>3899</v>
      </c>
      <c r="E511" s="4"/>
      <c r="F511" s="4" t="s">
        <v>3900</v>
      </c>
      <c r="G511" s="4" t="s">
        <v>3901</v>
      </c>
      <c r="H511" s="4" t="s">
        <v>3902</v>
      </c>
      <c r="I511" s="4"/>
      <c r="J511" s="4" t="s">
        <v>3903</v>
      </c>
      <c r="K511" s="4" t="s">
        <v>39</v>
      </c>
      <c r="L511" s="4" t="s">
        <v>3904</v>
      </c>
      <c r="M511" s="4" t="s">
        <v>42</v>
      </c>
      <c r="N511" s="4"/>
      <c r="O511" s="4" t="s">
        <v>31</v>
      </c>
      <c r="P511" s="4"/>
      <c r="Q511" s="4"/>
      <c r="R511" s="4"/>
      <c r="S511" s="4" t="s">
        <v>3905</v>
      </c>
      <c r="T511" s="15">
        <v>2022</v>
      </c>
      <c r="U511" s="26" t="s">
        <v>45</v>
      </c>
      <c r="V511" s="13" t="s">
        <v>29</v>
      </c>
      <c r="X511" s="14">
        <v>10</v>
      </c>
      <c r="Z511" s="14" t="s">
        <v>3828</v>
      </c>
      <c r="AA511" s="14" t="s">
        <v>3947</v>
      </c>
      <c r="AB511" s="14" t="s">
        <v>3888</v>
      </c>
      <c r="AD511" s="14" t="s">
        <v>53</v>
      </c>
    </row>
    <row r="512" spans="1:30" s="14" customFormat="1" hidden="1" x14ac:dyDescent="0.3">
      <c r="A512" s="1" t="s">
        <v>100</v>
      </c>
      <c r="B512" s="4" t="s">
        <v>4004</v>
      </c>
      <c r="C512" s="1" t="s">
        <v>557</v>
      </c>
      <c r="D512" s="1" t="s">
        <v>4017</v>
      </c>
      <c r="E512" s="1" t="s">
        <v>4005</v>
      </c>
      <c r="F512" s="1" t="s">
        <v>4006</v>
      </c>
      <c r="G512" s="1" t="s">
        <v>4007</v>
      </c>
      <c r="H512" s="1" t="s">
        <v>4008</v>
      </c>
      <c r="I512" s="1" t="s">
        <v>4009</v>
      </c>
      <c r="J512" s="1" t="s">
        <v>4010</v>
      </c>
      <c r="K512" s="1" t="s">
        <v>39</v>
      </c>
      <c r="L512" s="1" t="s">
        <v>4011</v>
      </c>
      <c r="M512" s="1" t="s">
        <v>42</v>
      </c>
      <c r="N512" s="1"/>
      <c r="O512" s="1" t="s">
        <v>31</v>
      </c>
      <c r="P512" s="1"/>
      <c r="Q512" s="1"/>
      <c r="R512" s="1"/>
      <c r="S512" s="1" t="s">
        <v>4012</v>
      </c>
      <c r="T512" s="15">
        <v>2022</v>
      </c>
      <c r="U512" s="26" t="s">
        <v>45</v>
      </c>
      <c r="V512" s="13" t="s">
        <v>29</v>
      </c>
      <c r="W512" s="12"/>
      <c r="X512" s="12">
        <v>5</v>
      </c>
      <c r="Y512" s="12"/>
      <c r="Z512" s="14" t="s">
        <v>3828</v>
      </c>
      <c r="AA512" s="12" t="s">
        <v>4018</v>
      </c>
      <c r="AB512" s="14" t="s">
        <v>3888</v>
      </c>
      <c r="AC512" s="12"/>
      <c r="AD512" s="14" t="s">
        <v>53</v>
      </c>
    </row>
    <row r="513" spans="1:30" ht="27.6" hidden="1" x14ac:dyDescent="0.3">
      <c r="A513" s="1"/>
      <c r="B513" s="1" t="s">
        <v>3995</v>
      </c>
      <c r="C513" s="1" t="s">
        <v>3996</v>
      </c>
      <c r="D513" s="1" t="s">
        <v>3997</v>
      </c>
      <c r="E513" s="1" t="s">
        <v>3998</v>
      </c>
      <c r="F513" s="1" t="s">
        <v>3999</v>
      </c>
      <c r="G513" s="1" t="s">
        <v>4000</v>
      </c>
      <c r="H513" s="1" t="s">
        <v>4001</v>
      </c>
      <c r="I513" s="1" t="s">
        <v>589</v>
      </c>
      <c r="J513" s="1" t="s">
        <v>72</v>
      </c>
      <c r="K513" s="1" t="s">
        <v>39</v>
      </c>
      <c r="L513" s="1" t="s">
        <v>4002</v>
      </c>
      <c r="M513" s="1" t="s">
        <v>42</v>
      </c>
      <c r="N513" s="1"/>
      <c r="O513" s="1" t="s">
        <v>31</v>
      </c>
      <c r="P513" s="1"/>
      <c r="Q513" s="1"/>
      <c r="R513" s="1"/>
      <c r="S513" s="1" t="s">
        <v>4003</v>
      </c>
      <c r="T513" s="15">
        <v>2022</v>
      </c>
      <c r="U513" s="26" t="s">
        <v>45</v>
      </c>
      <c r="V513" s="13" t="s">
        <v>29</v>
      </c>
      <c r="X513" s="12">
        <v>20</v>
      </c>
      <c r="Z513" s="14" t="s">
        <v>3828</v>
      </c>
      <c r="AA513" s="12" t="s">
        <v>4016</v>
      </c>
      <c r="AB513" s="14" t="s">
        <v>3887</v>
      </c>
      <c r="AD513" s="14" t="s">
        <v>53</v>
      </c>
    </row>
    <row r="514" spans="1:30" ht="27.6" hidden="1" x14ac:dyDescent="0.3">
      <c r="A514" s="1" t="s">
        <v>2707</v>
      </c>
      <c r="B514" s="1" t="s">
        <v>3984</v>
      </c>
      <c r="C514" s="1" t="s">
        <v>3985</v>
      </c>
      <c r="D514" s="1" t="s">
        <v>3986</v>
      </c>
      <c r="E514" s="1" t="s">
        <v>3987</v>
      </c>
      <c r="F514" s="1" t="s">
        <v>3988</v>
      </c>
      <c r="G514" s="1" t="s">
        <v>3989</v>
      </c>
      <c r="H514" s="1" t="s">
        <v>3990</v>
      </c>
      <c r="I514" s="1" t="s">
        <v>3991</v>
      </c>
      <c r="J514" s="1" t="s">
        <v>3992</v>
      </c>
      <c r="K514" s="1" t="s">
        <v>39</v>
      </c>
      <c r="L514" s="1" t="s">
        <v>3993</v>
      </c>
      <c r="M514" s="1" t="s">
        <v>42</v>
      </c>
      <c r="N514" s="1"/>
      <c r="O514" s="1" t="s">
        <v>31</v>
      </c>
      <c r="P514" s="1"/>
      <c r="Q514" s="1"/>
      <c r="R514" s="1"/>
      <c r="S514" s="1" t="s">
        <v>3994</v>
      </c>
      <c r="T514" s="15">
        <v>2022</v>
      </c>
      <c r="U514" s="26" t="s">
        <v>45</v>
      </c>
      <c r="V514" s="13" t="s">
        <v>29</v>
      </c>
      <c r="X514" s="12">
        <v>5</v>
      </c>
      <c r="Y514" s="16">
        <v>45012</v>
      </c>
      <c r="Z514" s="14" t="s">
        <v>2148</v>
      </c>
      <c r="AA514" s="12" t="s">
        <v>4015</v>
      </c>
      <c r="AB514" s="14" t="s">
        <v>3891</v>
      </c>
      <c r="AD514" s="14" t="s">
        <v>53</v>
      </c>
    </row>
    <row r="515" spans="1:30" ht="27.6" hidden="1" x14ac:dyDescent="0.3">
      <c r="A515" s="1"/>
      <c r="B515" s="1" t="s">
        <v>3978</v>
      </c>
      <c r="C515" s="1" t="s">
        <v>3544</v>
      </c>
      <c r="D515" s="1" t="s">
        <v>3979</v>
      </c>
      <c r="E515" s="1"/>
      <c r="F515" s="1" t="s">
        <v>3980</v>
      </c>
      <c r="G515" s="1"/>
      <c r="H515" s="1"/>
      <c r="I515" s="1"/>
      <c r="J515" s="1" t="s">
        <v>3981</v>
      </c>
      <c r="K515" s="1" t="s">
        <v>39</v>
      </c>
      <c r="L515" s="1" t="s">
        <v>3982</v>
      </c>
      <c r="M515" s="1" t="s">
        <v>42</v>
      </c>
      <c r="N515" s="1"/>
      <c r="O515" s="1" t="s">
        <v>31</v>
      </c>
      <c r="P515" s="1"/>
      <c r="Q515" s="1"/>
      <c r="R515" s="1"/>
      <c r="S515" s="1" t="s">
        <v>3983</v>
      </c>
      <c r="T515" s="15">
        <v>2022</v>
      </c>
      <c r="U515" s="26" t="s">
        <v>45</v>
      </c>
      <c r="V515" s="13" t="s">
        <v>29</v>
      </c>
      <c r="X515" s="12">
        <v>5</v>
      </c>
      <c r="Z515" s="14" t="s">
        <v>3835</v>
      </c>
      <c r="AA515" s="12" t="s">
        <v>4013</v>
      </c>
      <c r="AB515" s="14" t="s">
        <v>3884</v>
      </c>
      <c r="AD515" s="14" t="s">
        <v>53</v>
      </c>
    </row>
    <row r="516" spans="1:30" ht="207" hidden="1" x14ac:dyDescent="0.3">
      <c r="A516" s="1"/>
      <c r="B516" s="1" t="s">
        <v>1590</v>
      </c>
      <c r="C516" s="1" t="s">
        <v>423</v>
      </c>
      <c r="D516" s="1" t="s">
        <v>3971</v>
      </c>
      <c r="E516" s="1" t="s">
        <v>3972</v>
      </c>
      <c r="F516" s="1" t="s">
        <v>3973</v>
      </c>
      <c r="G516" s="1"/>
      <c r="H516" s="1"/>
      <c r="I516" s="1" t="s">
        <v>3974</v>
      </c>
      <c r="J516" s="1" t="s">
        <v>2312</v>
      </c>
      <c r="K516" s="1" t="s">
        <v>39</v>
      </c>
      <c r="L516" s="1" t="s">
        <v>3975</v>
      </c>
      <c r="M516" s="1" t="s">
        <v>141</v>
      </c>
      <c r="N516" s="1" t="s">
        <v>3976</v>
      </c>
      <c r="O516" s="1" t="s">
        <v>31</v>
      </c>
      <c r="P516" s="1"/>
      <c r="Q516" s="1"/>
      <c r="R516" s="1"/>
      <c r="S516" s="1" t="s">
        <v>3977</v>
      </c>
      <c r="T516" s="15">
        <v>2022</v>
      </c>
      <c r="U516" s="26" t="s">
        <v>45</v>
      </c>
      <c r="V516" s="13" t="s">
        <v>29</v>
      </c>
      <c r="X516" s="12">
        <v>5</v>
      </c>
      <c r="Y516" s="16">
        <v>45012</v>
      </c>
      <c r="Z516" s="14" t="s">
        <v>3835</v>
      </c>
      <c r="AA516" s="12" t="s">
        <v>3975</v>
      </c>
      <c r="AB516" s="14" t="s">
        <v>3884</v>
      </c>
      <c r="AD516" s="14" t="s">
        <v>53</v>
      </c>
    </row>
    <row r="517" spans="1:30" hidden="1" x14ac:dyDescent="0.3">
      <c r="A517" s="1"/>
      <c r="B517" s="1" t="s">
        <v>3961</v>
      </c>
      <c r="C517" s="1" t="s">
        <v>3962</v>
      </c>
      <c r="D517" s="1" t="s">
        <v>3963</v>
      </c>
      <c r="E517" s="1" t="s">
        <v>3964</v>
      </c>
      <c r="F517" s="1" t="s">
        <v>3965</v>
      </c>
      <c r="G517" s="1"/>
      <c r="H517" s="1" t="s">
        <v>3966</v>
      </c>
      <c r="I517" s="1" t="s">
        <v>3967</v>
      </c>
      <c r="J517" s="1" t="s">
        <v>3968</v>
      </c>
      <c r="K517" s="1" t="s">
        <v>39</v>
      </c>
      <c r="L517" s="1" t="s">
        <v>3969</v>
      </c>
      <c r="M517" s="1" t="s">
        <v>42</v>
      </c>
      <c r="N517" s="1"/>
      <c r="O517" s="1" t="s">
        <v>31</v>
      </c>
      <c r="P517" s="1"/>
      <c r="Q517" s="1"/>
      <c r="R517" s="1"/>
      <c r="S517" s="1" t="s">
        <v>3970</v>
      </c>
      <c r="T517" s="15">
        <v>2022</v>
      </c>
      <c r="U517" s="26" t="s">
        <v>45</v>
      </c>
      <c r="V517" s="13" t="s">
        <v>29</v>
      </c>
      <c r="X517" s="12">
        <v>10</v>
      </c>
      <c r="Z517" s="14" t="s">
        <v>3835</v>
      </c>
      <c r="AA517" s="12" t="s">
        <v>4014</v>
      </c>
      <c r="AB517" s="14" t="s">
        <v>3884</v>
      </c>
      <c r="AD517" s="14" t="s">
        <v>53</v>
      </c>
    </row>
    <row r="518" spans="1:30" ht="27.6" hidden="1" x14ac:dyDescent="0.3">
      <c r="A518" s="4" t="s">
        <v>3951</v>
      </c>
      <c r="B518" s="4" t="s">
        <v>3952</v>
      </c>
      <c r="C518" s="4" t="s">
        <v>3953</v>
      </c>
      <c r="D518" s="4" t="s">
        <v>3954</v>
      </c>
      <c r="E518" s="4" t="s">
        <v>3955</v>
      </c>
      <c r="F518" s="4" t="s">
        <v>3956</v>
      </c>
      <c r="G518" s="4"/>
      <c r="H518" s="4" t="s">
        <v>3957</v>
      </c>
      <c r="I518" s="4" t="s">
        <v>3958</v>
      </c>
      <c r="J518" s="4" t="s">
        <v>1060</v>
      </c>
      <c r="K518" s="4" t="s">
        <v>39</v>
      </c>
      <c r="L518" s="4" t="s">
        <v>3959</v>
      </c>
      <c r="M518" s="4" t="s">
        <v>42</v>
      </c>
      <c r="N518" s="4"/>
      <c r="O518" s="4" t="s">
        <v>31</v>
      </c>
      <c r="P518" s="4"/>
      <c r="Q518" s="4"/>
      <c r="R518" s="4"/>
      <c r="S518" s="4" t="s">
        <v>3960</v>
      </c>
      <c r="T518" s="15">
        <v>2022</v>
      </c>
      <c r="U518" s="26" t="s">
        <v>45</v>
      </c>
      <c r="V518" s="13" t="s">
        <v>29</v>
      </c>
      <c r="W518" s="14"/>
      <c r="X518" s="14">
        <v>5</v>
      </c>
      <c r="Y518" s="14"/>
      <c r="Z518" s="14" t="s">
        <v>3835</v>
      </c>
      <c r="AA518" s="14" t="s">
        <v>4013</v>
      </c>
      <c r="AB518" s="14" t="s">
        <v>3884</v>
      </c>
      <c r="AC518" s="14"/>
      <c r="AD518" s="14" t="s">
        <v>53</v>
      </c>
    </row>
    <row r="519" spans="1:30" s="14" customFormat="1" hidden="1" x14ac:dyDescent="0.3">
      <c r="A519" s="4" t="s">
        <v>3951</v>
      </c>
      <c r="B519" s="4" t="s">
        <v>4050</v>
      </c>
      <c r="C519" s="4" t="s">
        <v>4051</v>
      </c>
      <c r="D519" s="4" t="s">
        <v>4052</v>
      </c>
      <c r="E519" s="4"/>
      <c r="F519" s="4" t="s">
        <v>4053</v>
      </c>
      <c r="G519" s="4"/>
      <c r="H519" s="4" t="s">
        <v>4054</v>
      </c>
      <c r="I519" s="4" t="s">
        <v>4055</v>
      </c>
      <c r="J519" s="4" t="s">
        <v>1060</v>
      </c>
      <c r="K519" s="4" t="s">
        <v>39</v>
      </c>
      <c r="L519" s="4" t="s">
        <v>2657</v>
      </c>
      <c r="M519" s="4" t="s">
        <v>152</v>
      </c>
      <c r="N519" s="4"/>
      <c r="O519" s="4" t="s">
        <v>31</v>
      </c>
      <c r="P519" s="4"/>
      <c r="Q519" s="4"/>
      <c r="R519" s="4"/>
      <c r="S519" s="4" t="s">
        <v>4056</v>
      </c>
      <c r="T519" s="15">
        <v>2022</v>
      </c>
      <c r="U519" s="26" t="s">
        <v>45</v>
      </c>
      <c r="V519" s="13" t="s">
        <v>29</v>
      </c>
      <c r="X519" s="12" t="s">
        <v>7369</v>
      </c>
      <c r="Z519" s="14" t="s">
        <v>3835</v>
      </c>
      <c r="AA519" s="14" t="s">
        <v>4061</v>
      </c>
      <c r="AB519" s="14" t="s">
        <v>3884</v>
      </c>
      <c r="AD519" s="14" t="s">
        <v>53</v>
      </c>
    </row>
    <row r="520" spans="1:30" s="14" customFormat="1" hidden="1" x14ac:dyDescent="0.3">
      <c r="A520" s="4" t="s">
        <v>4040</v>
      </c>
      <c r="B520" s="4" t="s">
        <v>4041</v>
      </c>
      <c r="C520" s="4" t="s">
        <v>229</v>
      </c>
      <c r="D520" s="4" t="s">
        <v>4042</v>
      </c>
      <c r="E520" s="4" t="s">
        <v>4043</v>
      </c>
      <c r="F520" s="4" t="s">
        <v>4044</v>
      </c>
      <c r="G520" s="4" t="s">
        <v>4045</v>
      </c>
      <c r="H520" s="4" t="s">
        <v>4046</v>
      </c>
      <c r="I520" s="4" t="s">
        <v>4047</v>
      </c>
      <c r="J520" s="4" t="s">
        <v>1114</v>
      </c>
      <c r="K520" s="4" t="s">
        <v>39</v>
      </c>
      <c r="L520" s="4" t="s">
        <v>4048</v>
      </c>
      <c r="M520" s="4" t="s">
        <v>42</v>
      </c>
      <c r="N520" s="4"/>
      <c r="O520" s="4" t="s">
        <v>31</v>
      </c>
      <c r="P520" s="4"/>
      <c r="Q520" s="4"/>
      <c r="R520" s="4"/>
      <c r="S520" s="4" t="s">
        <v>4049</v>
      </c>
      <c r="T520" s="15">
        <v>2022</v>
      </c>
      <c r="U520" s="26" t="s">
        <v>45</v>
      </c>
      <c r="V520" s="13" t="s">
        <v>29</v>
      </c>
      <c r="X520" s="14">
        <v>5</v>
      </c>
      <c r="Z520" s="14" t="s">
        <v>3835</v>
      </c>
      <c r="AA520" s="14" t="s">
        <v>4060</v>
      </c>
      <c r="AB520" s="14" t="s">
        <v>3884</v>
      </c>
      <c r="AD520" s="14" t="s">
        <v>53</v>
      </c>
    </row>
    <row r="521" spans="1:30" s="14" customFormat="1" hidden="1" x14ac:dyDescent="0.3">
      <c r="A521" s="4" t="s">
        <v>4032</v>
      </c>
      <c r="B521" s="4" t="s">
        <v>4033</v>
      </c>
      <c r="C521" s="4" t="s">
        <v>60</v>
      </c>
      <c r="D521" s="4" t="s">
        <v>4034</v>
      </c>
      <c r="E521" s="4" t="s">
        <v>4035</v>
      </c>
      <c r="F521" s="4" t="s">
        <v>4036</v>
      </c>
      <c r="G521" s="4"/>
      <c r="H521" s="4" t="s">
        <v>4037</v>
      </c>
      <c r="I521" s="4"/>
      <c r="J521" s="4" t="s">
        <v>1060</v>
      </c>
      <c r="K521" s="4" t="s">
        <v>39</v>
      </c>
      <c r="L521" s="4" t="s">
        <v>4038</v>
      </c>
      <c r="M521" s="4" t="s">
        <v>42</v>
      </c>
      <c r="N521" s="4"/>
      <c r="O521" s="4" t="s">
        <v>31</v>
      </c>
      <c r="P521" s="4"/>
      <c r="Q521" s="4"/>
      <c r="R521" s="4"/>
      <c r="S521" s="4" t="s">
        <v>4039</v>
      </c>
      <c r="T521" s="15">
        <v>2022</v>
      </c>
      <c r="U521" s="26" t="s">
        <v>45</v>
      </c>
      <c r="V521" s="13" t="s">
        <v>29</v>
      </c>
      <c r="X521" s="14">
        <v>5</v>
      </c>
      <c r="Y521" s="16">
        <v>45012</v>
      </c>
      <c r="Z521" s="14" t="s">
        <v>3870</v>
      </c>
      <c r="AA521" s="14" t="s">
        <v>4059</v>
      </c>
      <c r="AB521" s="14" t="s">
        <v>3886</v>
      </c>
      <c r="AD521" s="14" t="s">
        <v>53</v>
      </c>
    </row>
    <row r="522" spans="1:30" s="14" customFormat="1" hidden="1" x14ac:dyDescent="0.3">
      <c r="A522" s="4" t="s">
        <v>4024</v>
      </c>
      <c r="B522" s="4" t="s">
        <v>4025</v>
      </c>
      <c r="C522" s="4" t="s">
        <v>4026</v>
      </c>
      <c r="D522" s="4" t="s">
        <v>4027</v>
      </c>
      <c r="E522" s="4" t="s">
        <v>4028</v>
      </c>
      <c r="F522" s="4" t="s">
        <v>4029</v>
      </c>
      <c r="G522" s="4"/>
      <c r="H522" s="4" t="s">
        <v>4024</v>
      </c>
      <c r="I522" s="4"/>
      <c r="J522" s="4" t="s">
        <v>1060</v>
      </c>
      <c r="K522" s="4" t="s">
        <v>39</v>
      </c>
      <c r="L522" s="4" t="s">
        <v>4030</v>
      </c>
      <c r="M522" s="4" t="s">
        <v>42</v>
      </c>
      <c r="N522" s="4"/>
      <c r="O522" s="4" t="s">
        <v>31</v>
      </c>
      <c r="P522" s="4"/>
      <c r="Q522" s="4"/>
      <c r="R522" s="4"/>
      <c r="S522" s="4" t="s">
        <v>4031</v>
      </c>
      <c r="T522" s="15">
        <v>2022</v>
      </c>
      <c r="U522" s="26" t="s">
        <v>45</v>
      </c>
      <c r="V522" s="13" t="s">
        <v>29</v>
      </c>
      <c r="X522" s="14">
        <v>10</v>
      </c>
      <c r="Z522" s="14" t="s">
        <v>3870</v>
      </c>
      <c r="AA522" s="14" t="s">
        <v>4059</v>
      </c>
      <c r="AB522" s="14" t="s">
        <v>3886</v>
      </c>
      <c r="AD522" s="14" t="s">
        <v>53</v>
      </c>
    </row>
    <row r="523" spans="1:30" s="14" customFormat="1" hidden="1" x14ac:dyDescent="0.3">
      <c r="A523" s="4"/>
      <c r="B523" s="4" t="s">
        <v>4019</v>
      </c>
      <c r="C523" s="4" t="s">
        <v>1678</v>
      </c>
      <c r="D523" s="4" t="s">
        <v>4057</v>
      </c>
      <c r="E523" s="4" t="s">
        <v>4020</v>
      </c>
      <c r="F523" s="4" t="s">
        <v>4021</v>
      </c>
      <c r="G523" s="4"/>
      <c r="H523" s="4"/>
      <c r="I523" s="4"/>
      <c r="J523" s="4" t="s">
        <v>1060</v>
      </c>
      <c r="K523" s="4" t="s">
        <v>39</v>
      </c>
      <c r="L523" s="4" t="s">
        <v>4022</v>
      </c>
      <c r="M523" s="4" t="s">
        <v>141</v>
      </c>
      <c r="N523" s="4"/>
      <c r="O523" s="4" t="s">
        <v>31</v>
      </c>
      <c r="P523" s="4"/>
      <c r="Q523" s="4"/>
      <c r="R523" s="4"/>
      <c r="S523" s="4" t="s">
        <v>4023</v>
      </c>
      <c r="T523" s="15">
        <v>2022</v>
      </c>
      <c r="U523" s="26" t="s">
        <v>45</v>
      </c>
      <c r="V523" s="13" t="s">
        <v>29</v>
      </c>
      <c r="X523" s="14">
        <v>5</v>
      </c>
      <c r="Z523" s="14" t="s">
        <v>3828</v>
      </c>
      <c r="AA523" s="14" t="s">
        <v>4058</v>
      </c>
      <c r="AB523" s="14" t="s">
        <v>3888</v>
      </c>
      <c r="AD523" s="14" t="s">
        <v>53</v>
      </c>
    </row>
    <row r="524" spans="1:30" hidden="1" x14ac:dyDescent="0.3">
      <c r="A524" s="1"/>
      <c r="B524" s="1" t="s">
        <v>4110</v>
      </c>
      <c r="C524" s="1" t="s">
        <v>466</v>
      </c>
      <c r="D524" s="1" t="s">
        <v>4111</v>
      </c>
      <c r="E524" s="1" t="s">
        <v>4112</v>
      </c>
      <c r="F524" s="1" t="s">
        <v>4113</v>
      </c>
      <c r="G524" s="1" t="s">
        <v>4114</v>
      </c>
      <c r="H524" s="1" t="s">
        <v>1717</v>
      </c>
      <c r="I524" s="1" t="s">
        <v>4115</v>
      </c>
      <c r="J524" s="1" t="s">
        <v>72</v>
      </c>
      <c r="K524" s="1" t="s">
        <v>39</v>
      </c>
      <c r="L524" s="1" t="s">
        <v>4116</v>
      </c>
      <c r="M524" s="1" t="s">
        <v>141</v>
      </c>
      <c r="N524" s="1"/>
      <c r="O524" s="1" t="s">
        <v>31</v>
      </c>
      <c r="P524" s="1"/>
      <c r="Q524" s="1"/>
      <c r="R524" s="1"/>
      <c r="S524" s="1" t="s">
        <v>4117</v>
      </c>
      <c r="T524" s="15">
        <v>2022</v>
      </c>
      <c r="U524" s="26" t="s">
        <v>45</v>
      </c>
      <c r="V524" s="13" t="s">
        <v>29</v>
      </c>
      <c r="X524" s="12">
        <v>10</v>
      </c>
      <c r="Z524" s="14" t="s">
        <v>3870</v>
      </c>
      <c r="AA524" s="14" t="s">
        <v>4120</v>
      </c>
      <c r="AB524" s="14" t="s">
        <v>3886</v>
      </c>
      <c r="AD524" s="14" t="s">
        <v>53</v>
      </c>
    </row>
    <row r="525" spans="1:30" hidden="1" x14ac:dyDescent="0.3">
      <c r="A525" s="1"/>
      <c r="B525" s="1" t="s">
        <v>4105</v>
      </c>
      <c r="C525" s="1" t="s">
        <v>189</v>
      </c>
      <c r="D525" s="1" t="s">
        <v>4106</v>
      </c>
      <c r="E525" s="1"/>
      <c r="F525" s="1" t="s">
        <v>4107</v>
      </c>
      <c r="G525" s="1"/>
      <c r="H525" s="1"/>
      <c r="I525" s="1"/>
      <c r="J525" s="1" t="s">
        <v>3903</v>
      </c>
      <c r="K525" s="1" t="s">
        <v>39</v>
      </c>
      <c r="L525" s="1" t="s">
        <v>4108</v>
      </c>
      <c r="M525" s="1" t="s">
        <v>152</v>
      </c>
      <c r="N525" s="1"/>
      <c r="O525" s="1" t="s">
        <v>31</v>
      </c>
      <c r="P525" s="1"/>
      <c r="Q525" s="1"/>
      <c r="R525" s="1"/>
      <c r="S525" s="1" t="s">
        <v>4109</v>
      </c>
      <c r="T525" s="15">
        <v>2022</v>
      </c>
      <c r="U525" s="26" t="s">
        <v>45</v>
      </c>
      <c r="V525" s="13" t="s">
        <v>29</v>
      </c>
      <c r="X525" s="12" t="s">
        <v>7369</v>
      </c>
      <c r="Y525" s="14"/>
      <c r="Z525" s="14" t="s">
        <v>2148</v>
      </c>
      <c r="AA525" s="14" t="s">
        <v>4119</v>
      </c>
      <c r="AB525" s="14" t="s">
        <v>3891</v>
      </c>
      <c r="AD525" s="14" t="s">
        <v>53</v>
      </c>
    </row>
    <row r="526" spans="1:30" hidden="1" x14ac:dyDescent="0.3">
      <c r="A526" s="1" t="s">
        <v>1838</v>
      </c>
      <c r="B526" s="1" t="s">
        <v>4094</v>
      </c>
      <c r="C526" s="1" t="s">
        <v>4095</v>
      </c>
      <c r="D526" s="1" t="s">
        <v>4096</v>
      </c>
      <c r="E526" s="1" t="s">
        <v>4097</v>
      </c>
      <c r="F526" s="1" t="s">
        <v>4098</v>
      </c>
      <c r="G526" s="1" t="s">
        <v>4099</v>
      </c>
      <c r="H526" s="1" t="s">
        <v>4100</v>
      </c>
      <c r="I526" s="1" t="s">
        <v>4101</v>
      </c>
      <c r="J526" s="1" t="s">
        <v>4102</v>
      </c>
      <c r="K526" s="1" t="s">
        <v>39</v>
      </c>
      <c r="L526" s="1" t="s">
        <v>4103</v>
      </c>
      <c r="M526" s="1" t="s">
        <v>152</v>
      </c>
      <c r="N526" s="1"/>
      <c r="O526" s="1" t="s">
        <v>31</v>
      </c>
      <c r="P526" s="1"/>
      <c r="Q526" s="1"/>
      <c r="R526" s="1"/>
      <c r="S526" s="1" t="s">
        <v>4104</v>
      </c>
      <c r="T526" s="15">
        <v>2022</v>
      </c>
      <c r="U526" s="26" t="s">
        <v>45</v>
      </c>
      <c r="V526" s="13" t="s">
        <v>29</v>
      </c>
      <c r="X526" s="12" t="s">
        <v>7369</v>
      </c>
      <c r="Y526" s="14"/>
      <c r="Z526" s="14" t="s">
        <v>3828</v>
      </c>
      <c r="AA526" s="14" t="s">
        <v>4118</v>
      </c>
      <c r="AB526" s="14" t="s">
        <v>3885</v>
      </c>
      <c r="AD526" s="14" t="s">
        <v>53</v>
      </c>
    </row>
    <row r="527" spans="1:30" ht="55.2" x14ac:dyDescent="0.3">
      <c r="A527" s="1"/>
      <c r="B527" s="1" t="s">
        <v>4088</v>
      </c>
      <c r="C527" s="1" t="s">
        <v>1989</v>
      </c>
      <c r="D527" s="1" t="s">
        <v>4089</v>
      </c>
      <c r="E527" s="1" t="s">
        <v>4090</v>
      </c>
      <c r="F527" s="1" t="s">
        <v>4091</v>
      </c>
      <c r="G527" s="1"/>
      <c r="H527" s="1"/>
      <c r="I527" s="1" t="s">
        <v>4092</v>
      </c>
      <c r="J527" s="1" t="s">
        <v>72</v>
      </c>
      <c r="K527" s="1" t="s">
        <v>39</v>
      </c>
      <c r="L527" s="1" t="s">
        <v>1144</v>
      </c>
      <c r="M527" s="1" t="s">
        <v>42</v>
      </c>
      <c r="N527" s="1"/>
      <c r="O527" s="1" t="s">
        <v>31</v>
      </c>
      <c r="P527" s="1"/>
      <c r="Q527" s="1"/>
      <c r="R527" s="1"/>
      <c r="S527" s="1" t="s">
        <v>4093</v>
      </c>
      <c r="T527" s="15">
        <v>2022</v>
      </c>
      <c r="U527" s="26" t="s">
        <v>45</v>
      </c>
      <c r="V527" s="13" t="s">
        <v>29</v>
      </c>
      <c r="X527" s="14"/>
      <c r="Y527" s="16" t="s">
        <v>10081</v>
      </c>
      <c r="Z527" s="14" t="s">
        <v>3835</v>
      </c>
      <c r="AA527" s="14" t="s">
        <v>4013</v>
      </c>
      <c r="AB527" s="14" t="s">
        <v>3884</v>
      </c>
      <c r="AD527" s="14" t="s">
        <v>53</v>
      </c>
    </row>
    <row r="528" spans="1:30" ht="41.4" hidden="1" x14ac:dyDescent="0.3">
      <c r="A528" s="1"/>
      <c r="B528" s="1" t="s">
        <v>4080</v>
      </c>
      <c r="C528" s="1" t="s">
        <v>1772</v>
      </c>
      <c r="D528" s="1" t="s">
        <v>4081</v>
      </c>
      <c r="E528" s="1" t="s">
        <v>4082</v>
      </c>
      <c r="F528" s="1" t="s">
        <v>4083</v>
      </c>
      <c r="G528" s="1" t="s">
        <v>4084</v>
      </c>
      <c r="H528" s="1"/>
      <c r="I528" s="1"/>
      <c r="J528" s="1" t="s">
        <v>1265</v>
      </c>
      <c r="K528" s="1" t="s">
        <v>39</v>
      </c>
      <c r="L528" s="1" t="s">
        <v>4085</v>
      </c>
      <c r="M528" s="1" t="s">
        <v>141</v>
      </c>
      <c r="N528" s="1" t="s">
        <v>4086</v>
      </c>
      <c r="O528" s="1" t="s">
        <v>31</v>
      </c>
      <c r="P528" s="1"/>
      <c r="Q528" s="1"/>
      <c r="R528" s="1"/>
      <c r="S528" s="1" t="s">
        <v>4087</v>
      </c>
      <c r="T528" s="15">
        <v>2022</v>
      </c>
      <c r="U528" s="26" t="s">
        <v>45</v>
      </c>
      <c r="V528" s="13" t="s">
        <v>29</v>
      </c>
      <c r="X528" s="30">
        <v>5</v>
      </c>
      <c r="Y528" s="30"/>
      <c r="Z528" s="14" t="s">
        <v>3835</v>
      </c>
      <c r="AA528" s="14" t="s">
        <v>4060</v>
      </c>
      <c r="AB528" s="14" t="s">
        <v>3884</v>
      </c>
      <c r="AD528" s="14" t="s">
        <v>53</v>
      </c>
    </row>
    <row r="529" spans="1:30" ht="27.6" hidden="1" x14ac:dyDescent="0.3">
      <c r="A529" s="1" t="s">
        <v>22</v>
      </c>
      <c r="B529" s="1" t="s">
        <v>4070</v>
      </c>
      <c r="C529" s="1" t="s">
        <v>4071</v>
      </c>
      <c r="D529" s="1" t="s">
        <v>4072</v>
      </c>
      <c r="E529" s="1" t="s">
        <v>4073</v>
      </c>
      <c r="F529" s="1" t="s">
        <v>4074</v>
      </c>
      <c r="G529" s="1" t="s">
        <v>4075</v>
      </c>
      <c r="H529" s="1" t="s">
        <v>3626</v>
      </c>
      <c r="I529" s="1" t="s">
        <v>4076</v>
      </c>
      <c r="J529" s="1" t="s">
        <v>4077</v>
      </c>
      <c r="K529" s="1" t="s">
        <v>39</v>
      </c>
      <c r="L529" s="1" t="s">
        <v>4078</v>
      </c>
      <c r="M529" s="1" t="s">
        <v>42</v>
      </c>
      <c r="N529" s="1"/>
      <c r="O529" s="1" t="s">
        <v>31</v>
      </c>
      <c r="P529" s="1"/>
      <c r="Q529" s="1"/>
      <c r="R529" s="1"/>
      <c r="S529" s="1" t="s">
        <v>4079</v>
      </c>
      <c r="T529" s="15">
        <v>2022</v>
      </c>
      <c r="U529" s="26" t="s">
        <v>45</v>
      </c>
      <c r="V529" s="13" t="s">
        <v>29</v>
      </c>
      <c r="X529" s="14">
        <v>5</v>
      </c>
      <c r="Y529" s="16">
        <v>45012</v>
      </c>
      <c r="Z529" s="14" t="s">
        <v>3835</v>
      </c>
      <c r="AA529" s="14" t="s">
        <v>4060</v>
      </c>
      <c r="AB529" s="14" t="s">
        <v>3884</v>
      </c>
      <c r="AD529" s="14" t="s">
        <v>53</v>
      </c>
    </row>
    <row r="530" spans="1:30" ht="41.4" hidden="1" x14ac:dyDescent="0.3">
      <c r="A530" s="1" t="s">
        <v>1482</v>
      </c>
      <c r="B530" s="4" t="s">
        <v>4062</v>
      </c>
      <c r="C530" s="4" t="s">
        <v>1732</v>
      </c>
      <c r="D530" s="1" t="s">
        <v>4063</v>
      </c>
      <c r="E530" s="1"/>
      <c r="F530" s="1" t="s">
        <v>4064</v>
      </c>
      <c r="G530" s="1" t="s">
        <v>4065</v>
      </c>
      <c r="H530" s="1" t="s">
        <v>266</v>
      </c>
      <c r="I530" s="1" t="s">
        <v>4066</v>
      </c>
      <c r="J530" s="1" t="s">
        <v>1371</v>
      </c>
      <c r="K530" s="1" t="s">
        <v>39</v>
      </c>
      <c r="L530" s="1" t="s">
        <v>4067</v>
      </c>
      <c r="M530" s="1" t="s">
        <v>42</v>
      </c>
      <c r="N530" s="1" t="s">
        <v>4068</v>
      </c>
      <c r="O530" s="1" t="s">
        <v>31</v>
      </c>
      <c r="P530" s="1"/>
      <c r="Q530" s="1"/>
      <c r="R530" s="1"/>
      <c r="S530" s="1" t="s">
        <v>4069</v>
      </c>
      <c r="T530" s="15">
        <v>2022</v>
      </c>
      <c r="U530" s="26" t="s">
        <v>45</v>
      </c>
      <c r="V530" s="13" t="s">
        <v>29</v>
      </c>
      <c r="X530" s="30">
        <v>10</v>
      </c>
      <c r="Y530" s="30"/>
      <c r="Z530" s="14" t="s">
        <v>3835</v>
      </c>
      <c r="AA530" s="14" t="s">
        <v>4061</v>
      </c>
      <c r="AB530" s="14" t="s">
        <v>3884</v>
      </c>
      <c r="AD530" s="14" t="s">
        <v>53</v>
      </c>
    </row>
    <row r="531" spans="1:30" s="14" customFormat="1" hidden="1" x14ac:dyDescent="0.3">
      <c r="A531" s="4"/>
      <c r="B531" s="4" t="s">
        <v>4142</v>
      </c>
      <c r="C531" s="5" t="s">
        <v>1750</v>
      </c>
      <c r="D531" s="5" t="s">
        <v>4143</v>
      </c>
      <c r="E531" s="4" t="s">
        <v>4144</v>
      </c>
      <c r="F531" s="4" t="s">
        <v>4145</v>
      </c>
      <c r="G531" s="4" t="s">
        <v>4146</v>
      </c>
      <c r="H531" s="4" t="s">
        <v>4147</v>
      </c>
      <c r="I531" s="4" t="s">
        <v>4148</v>
      </c>
      <c r="J531" s="4" t="s">
        <v>284</v>
      </c>
      <c r="K531" s="4" t="s">
        <v>39</v>
      </c>
      <c r="L531" s="4" t="s">
        <v>4149</v>
      </c>
      <c r="M531" s="4" t="s">
        <v>42</v>
      </c>
      <c r="N531" s="4"/>
      <c r="O531" s="4" t="s">
        <v>31</v>
      </c>
      <c r="P531" s="4"/>
      <c r="Q531" s="4"/>
      <c r="R531" s="4"/>
      <c r="S531" s="4" t="s">
        <v>4150</v>
      </c>
      <c r="T531" s="15">
        <v>2022</v>
      </c>
      <c r="U531" s="26" t="s">
        <v>45</v>
      </c>
      <c r="V531" s="13" t="s">
        <v>29</v>
      </c>
      <c r="X531" s="14">
        <v>5</v>
      </c>
      <c r="Z531" s="14" t="s">
        <v>3828</v>
      </c>
      <c r="AA531" s="14" t="s">
        <v>4152</v>
      </c>
      <c r="AB531" s="14" t="s">
        <v>3887</v>
      </c>
      <c r="AD531" s="14" t="s">
        <v>53</v>
      </c>
    </row>
    <row r="532" spans="1:30" s="14" customFormat="1" hidden="1" x14ac:dyDescent="0.3">
      <c r="A532" s="4"/>
      <c r="B532" s="4" t="s">
        <v>4136</v>
      </c>
      <c r="C532" s="5" t="s">
        <v>79</v>
      </c>
      <c r="D532" s="5" t="s">
        <v>4137</v>
      </c>
      <c r="E532" s="4" t="s">
        <v>4138</v>
      </c>
      <c r="F532" s="4" t="s">
        <v>4139</v>
      </c>
      <c r="G532" s="4" t="s">
        <v>4140</v>
      </c>
      <c r="H532" s="4"/>
      <c r="I532" s="4"/>
      <c r="J532" s="4" t="s">
        <v>72</v>
      </c>
      <c r="K532" s="4" t="s">
        <v>39</v>
      </c>
      <c r="L532" s="4" t="s">
        <v>731</v>
      </c>
      <c r="M532" s="4" t="s">
        <v>42</v>
      </c>
      <c r="N532" s="4"/>
      <c r="O532" s="4" t="s">
        <v>31</v>
      </c>
      <c r="P532" s="4"/>
      <c r="Q532" s="4"/>
      <c r="R532" s="4"/>
      <c r="S532" s="4" t="s">
        <v>4141</v>
      </c>
      <c r="T532" s="15"/>
      <c r="U532" s="26" t="s">
        <v>376</v>
      </c>
      <c r="V532" s="13" t="s">
        <v>376</v>
      </c>
      <c r="X532" s="14">
        <v>5</v>
      </c>
      <c r="AD532" s="14" t="s">
        <v>53</v>
      </c>
    </row>
    <row r="533" spans="1:30" s="14" customFormat="1" hidden="1" x14ac:dyDescent="0.3">
      <c r="A533" s="4" t="s">
        <v>2707</v>
      </c>
      <c r="B533" s="4" t="s">
        <v>4130</v>
      </c>
      <c r="C533" s="4" t="s">
        <v>181</v>
      </c>
      <c r="D533" s="4" t="s">
        <v>4131</v>
      </c>
      <c r="E533" s="4" t="s">
        <v>4132</v>
      </c>
      <c r="F533" s="4" t="s">
        <v>4133</v>
      </c>
      <c r="G533" s="4"/>
      <c r="H533" s="4"/>
      <c r="I533" s="4"/>
      <c r="J533" s="4" t="s">
        <v>4134</v>
      </c>
      <c r="K533" s="4" t="s">
        <v>39</v>
      </c>
      <c r="L533" s="4" t="s">
        <v>731</v>
      </c>
      <c r="M533" s="4" t="s">
        <v>42</v>
      </c>
      <c r="N533" s="4"/>
      <c r="O533" s="4" t="s">
        <v>31</v>
      </c>
      <c r="P533" s="4"/>
      <c r="Q533" s="4"/>
      <c r="R533" s="4"/>
      <c r="S533" s="4" t="s">
        <v>4135</v>
      </c>
      <c r="T533" s="15">
        <v>2022</v>
      </c>
      <c r="U533" s="26" t="s">
        <v>45</v>
      </c>
      <c r="V533" s="13" t="s">
        <v>29</v>
      </c>
      <c r="X533" s="14">
        <v>5</v>
      </c>
      <c r="Y533" s="16">
        <v>45012</v>
      </c>
      <c r="Z533" s="14" t="s">
        <v>3835</v>
      </c>
      <c r="AA533" s="14" t="s">
        <v>4060</v>
      </c>
      <c r="AB533" s="14" t="s">
        <v>3884</v>
      </c>
      <c r="AD533" s="14" t="s">
        <v>53</v>
      </c>
    </row>
    <row r="534" spans="1:30" s="14" customFormat="1" ht="27.6" hidden="1" x14ac:dyDescent="0.3">
      <c r="A534" s="4"/>
      <c r="B534" s="4" t="s">
        <v>4121</v>
      </c>
      <c r="C534" s="4" t="s">
        <v>4122</v>
      </c>
      <c r="D534" s="4" t="s">
        <v>4123</v>
      </c>
      <c r="E534" s="4" t="s">
        <v>4124</v>
      </c>
      <c r="F534" s="4" t="s">
        <v>4125</v>
      </c>
      <c r="G534" s="4" t="s">
        <v>4126</v>
      </c>
      <c r="H534" s="4"/>
      <c r="I534" s="4"/>
      <c r="J534" s="4" t="s">
        <v>4127</v>
      </c>
      <c r="K534" s="4" t="s">
        <v>39</v>
      </c>
      <c r="L534" s="4" t="s">
        <v>4128</v>
      </c>
      <c r="M534" s="4" t="s">
        <v>42</v>
      </c>
      <c r="N534" s="4"/>
      <c r="O534" s="4" t="s">
        <v>31</v>
      </c>
      <c r="P534" s="4"/>
      <c r="Q534" s="4"/>
      <c r="R534" s="4"/>
      <c r="S534" s="4" t="s">
        <v>4129</v>
      </c>
      <c r="T534" s="15">
        <v>2022</v>
      </c>
      <c r="U534" s="26" t="s">
        <v>45</v>
      </c>
      <c r="V534" s="13" t="s">
        <v>29</v>
      </c>
      <c r="X534" s="14">
        <v>5</v>
      </c>
      <c r="Z534" s="14" t="s">
        <v>3828</v>
      </c>
      <c r="AA534" s="14" t="s">
        <v>4151</v>
      </c>
      <c r="AB534" s="14" t="s">
        <v>3887</v>
      </c>
      <c r="AD534" s="14" t="s">
        <v>53</v>
      </c>
    </row>
    <row r="535" spans="1:30" ht="55.2" hidden="1" x14ac:dyDescent="0.3">
      <c r="A535" s="1" t="s">
        <v>4573</v>
      </c>
      <c r="B535" s="1" t="s">
        <v>4574</v>
      </c>
      <c r="C535" s="1" t="s">
        <v>4575</v>
      </c>
      <c r="D535" s="1" t="s">
        <v>4576</v>
      </c>
      <c r="E535" s="1" t="s">
        <v>4577</v>
      </c>
      <c r="F535" s="1" t="s">
        <v>4578</v>
      </c>
      <c r="G535" s="1"/>
      <c r="H535" s="1" t="s">
        <v>4579</v>
      </c>
      <c r="I535" s="1"/>
      <c r="J535" s="1" t="s">
        <v>72</v>
      </c>
      <c r="K535" s="1" t="s">
        <v>39</v>
      </c>
      <c r="L535" s="1" t="s">
        <v>4580</v>
      </c>
      <c r="M535" s="1" t="s">
        <v>42</v>
      </c>
      <c r="N535" s="1"/>
      <c r="O535" s="1" t="s">
        <v>31</v>
      </c>
      <c r="P535" s="1"/>
      <c r="Q535" s="1"/>
      <c r="R535" s="1"/>
      <c r="S535" s="1" t="s">
        <v>4581</v>
      </c>
      <c r="T535" s="15">
        <v>2022</v>
      </c>
      <c r="U535" s="26" t="s">
        <v>45</v>
      </c>
      <c r="V535" s="13" t="s">
        <v>29</v>
      </c>
      <c r="X535" s="12">
        <v>50</v>
      </c>
      <c r="Y535" s="16" t="s">
        <v>10081</v>
      </c>
      <c r="Z535" s="14" t="s">
        <v>2148</v>
      </c>
      <c r="AA535" s="14" t="s">
        <v>4607</v>
      </c>
      <c r="AB535" s="14" t="s">
        <v>4594</v>
      </c>
      <c r="AD535" s="14" t="s">
        <v>53</v>
      </c>
    </row>
    <row r="536" spans="1:30" ht="27.6" hidden="1" x14ac:dyDescent="0.3">
      <c r="A536" s="1"/>
      <c r="B536" s="1" t="s">
        <v>2293</v>
      </c>
      <c r="C536" s="1" t="s">
        <v>3120</v>
      </c>
      <c r="D536" s="1" t="s">
        <v>4562</v>
      </c>
      <c r="E536" s="1" t="s">
        <v>4563</v>
      </c>
      <c r="F536" s="1" t="s">
        <v>4564</v>
      </c>
      <c r="G536" s="1" t="s">
        <v>4565</v>
      </c>
      <c r="H536" s="1" t="s">
        <v>4566</v>
      </c>
      <c r="I536" s="1" t="s">
        <v>4567</v>
      </c>
      <c r="J536" s="1" t="s">
        <v>4568</v>
      </c>
      <c r="K536" s="1" t="s">
        <v>4569</v>
      </c>
      <c r="L536" s="1" t="s">
        <v>4570</v>
      </c>
      <c r="M536" s="1" t="s">
        <v>42</v>
      </c>
      <c r="N536" s="1" t="s">
        <v>4571</v>
      </c>
      <c r="O536" s="1" t="s">
        <v>31</v>
      </c>
      <c r="P536" s="1"/>
      <c r="Q536" s="1"/>
      <c r="R536" s="1"/>
      <c r="S536" s="1" t="s">
        <v>4572</v>
      </c>
      <c r="T536" s="15">
        <v>2022</v>
      </c>
      <c r="U536" s="26" t="s">
        <v>45</v>
      </c>
      <c r="V536" s="13" t="s">
        <v>29</v>
      </c>
      <c r="X536" s="12">
        <v>5</v>
      </c>
      <c r="Y536" s="16">
        <v>45012</v>
      </c>
      <c r="Z536" s="14" t="s">
        <v>3835</v>
      </c>
      <c r="AA536" s="14" t="s">
        <v>4585</v>
      </c>
      <c r="AB536" s="14" t="s">
        <v>3884</v>
      </c>
      <c r="AD536" s="14" t="s">
        <v>53</v>
      </c>
    </row>
    <row r="537" spans="1:30" ht="27.6" hidden="1" x14ac:dyDescent="0.3">
      <c r="A537" s="1" t="s">
        <v>4546</v>
      </c>
      <c r="B537" s="1" t="s">
        <v>4547</v>
      </c>
      <c r="C537" s="1" t="s">
        <v>4548</v>
      </c>
      <c r="D537" s="1" t="s">
        <v>4549</v>
      </c>
      <c r="E537" s="1" t="s">
        <v>4550</v>
      </c>
      <c r="F537" s="1" t="s">
        <v>4551</v>
      </c>
      <c r="G537" s="1" t="s">
        <v>4552</v>
      </c>
      <c r="H537" s="1" t="s">
        <v>1821</v>
      </c>
      <c r="I537" s="1" t="s">
        <v>4553</v>
      </c>
      <c r="J537" s="1" t="s">
        <v>4543</v>
      </c>
      <c r="K537" s="1" t="s">
        <v>39</v>
      </c>
      <c r="L537" s="1" t="s">
        <v>4554</v>
      </c>
      <c r="M537" s="1" t="s">
        <v>42</v>
      </c>
      <c r="N537" s="1"/>
      <c r="O537" s="1" t="s">
        <v>31</v>
      </c>
      <c r="P537" s="1"/>
      <c r="Q537" s="1"/>
      <c r="R537" s="1"/>
      <c r="S537" s="1" t="s">
        <v>4555</v>
      </c>
      <c r="T537" s="15">
        <v>2022</v>
      </c>
      <c r="U537" s="26" t="s">
        <v>45</v>
      </c>
      <c r="V537" s="13" t="s">
        <v>29</v>
      </c>
      <c r="X537" s="12">
        <v>5</v>
      </c>
      <c r="Y537" s="16" t="s">
        <v>5979</v>
      </c>
      <c r="Z537" s="14" t="s">
        <v>3828</v>
      </c>
      <c r="AA537" s="14" t="s">
        <v>4606</v>
      </c>
      <c r="AB537" s="14" t="s">
        <v>3885</v>
      </c>
      <c r="AD537" s="14" t="s">
        <v>53</v>
      </c>
    </row>
    <row r="538" spans="1:30" ht="27.6" hidden="1" x14ac:dyDescent="0.3">
      <c r="A538" s="1"/>
      <c r="B538" s="1" t="s">
        <v>458</v>
      </c>
      <c r="C538" s="1" t="s">
        <v>48</v>
      </c>
      <c r="D538" s="1" t="s">
        <v>4556</v>
      </c>
      <c r="E538" s="1" t="s">
        <v>4557</v>
      </c>
      <c r="F538" s="1" t="s">
        <v>4558</v>
      </c>
      <c r="G538" s="1"/>
      <c r="H538" s="1" t="s">
        <v>4559</v>
      </c>
      <c r="I538" s="1" t="s">
        <v>4560</v>
      </c>
      <c r="J538" s="1" t="s">
        <v>72</v>
      </c>
      <c r="K538" s="1" t="s">
        <v>39</v>
      </c>
      <c r="L538" s="1" t="s">
        <v>4561</v>
      </c>
      <c r="M538" s="1" t="s">
        <v>141</v>
      </c>
      <c r="N538" s="1"/>
      <c r="O538" s="1" t="s">
        <v>31</v>
      </c>
      <c r="P538" s="1"/>
      <c r="Q538" s="1"/>
      <c r="R538" s="1"/>
      <c r="S538" s="1" t="s">
        <v>4555</v>
      </c>
      <c r="T538" s="15">
        <v>2022</v>
      </c>
      <c r="U538" s="26" t="s">
        <v>45</v>
      </c>
      <c r="V538" s="13" t="s">
        <v>29</v>
      </c>
      <c r="X538" s="12">
        <v>5</v>
      </c>
      <c r="Y538" s="16" t="s">
        <v>5979</v>
      </c>
      <c r="Z538" s="14" t="s">
        <v>3835</v>
      </c>
      <c r="AA538" s="14" t="s">
        <v>4585</v>
      </c>
      <c r="AB538" s="14" t="s">
        <v>3884</v>
      </c>
      <c r="AD538" s="14" t="s">
        <v>53</v>
      </c>
    </row>
    <row r="539" spans="1:30" ht="27.6" hidden="1" x14ac:dyDescent="0.3">
      <c r="A539" s="1" t="s">
        <v>100</v>
      </c>
      <c r="B539" s="1" t="s">
        <v>4536</v>
      </c>
      <c r="C539" s="1" t="s">
        <v>406</v>
      </c>
      <c r="D539" s="1" t="s">
        <v>4537</v>
      </c>
      <c r="E539" s="1" t="s">
        <v>4538</v>
      </c>
      <c r="F539" s="1" t="s">
        <v>4539</v>
      </c>
      <c r="G539" s="1" t="s">
        <v>4540</v>
      </c>
      <c r="H539" s="1" t="s">
        <v>4541</v>
      </c>
      <c r="I539" s="1" t="s">
        <v>4542</v>
      </c>
      <c r="J539" s="1" t="s">
        <v>4543</v>
      </c>
      <c r="K539" s="1" t="s">
        <v>39</v>
      </c>
      <c r="L539" s="1" t="s">
        <v>4544</v>
      </c>
      <c r="M539" s="1" t="s">
        <v>42</v>
      </c>
      <c r="N539" s="1"/>
      <c r="O539" s="1" t="s">
        <v>31</v>
      </c>
      <c r="P539" s="1"/>
      <c r="Q539" s="1"/>
      <c r="R539" s="1"/>
      <c r="S539" s="1" t="s">
        <v>4545</v>
      </c>
      <c r="T539" s="15">
        <v>2022</v>
      </c>
      <c r="U539" s="26" t="s">
        <v>45</v>
      </c>
      <c r="V539" s="13" t="s">
        <v>29</v>
      </c>
      <c r="X539" s="12">
        <v>5</v>
      </c>
      <c r="Z539" s="14" t="s">
        <v>3828</v>
      </c>
      <c r="AA539" s="14" t="s">
        <v>4583</v>
      </c>
      <c r="AB539" s="14" t="s">
        <v>3888</v>
      </c>
      <c r="AD539" s="14" t="s">
        <v>53</v>
      </c>
    </row>
    <row r="540" spans="1:30" ht="41.4" hidden="1" x14ac:dyDescent="0.3">
      <c r="A540" s="1" t="s">
        <v>4171</v>
      </c>
      <c r="B540" s="1" t="s">
        <v>4172</v>
      </c>
      <c r="C540" s="1" t="s">
        <v>494</v>
      </c>
      <c r="D540" s="1" t="s">
        <v>4173</v>
      </c>
      <c r="E540" s="1" t="s">
        <v>4174</v>
      </c>
      <c r="F540" s="1" t="s">
        <v>4175</v>
      </c>
      <c r="G540" s="1" t="s">
        <v>4176</v>
      </c>
      <c r="H540" s="1" t="s">
        <v>2056</v>
      </c>
      <c r="I540" s="1" t="s">
        <v>4177</v>
      </c>
      <c r="J540" s="1" t="s">
        <v>1900</v>
      </c>
      <c r="K540" s="1" t="s">
        <v>39</v>
      </c>
      <c r="L540" s="1" t="s">
        <v>1144</v>
      </c>
      <c r="M540" s="1" t="s">
        <v>42</v>
      </c>
      <c r="N540" s="1"/>
      <c r="O540" s="1" t="s">
        <v>31</v>
      </c>
      <c r="P540" s="1"/>
      <c r="Q540" s="1"/>
      <c r="R540" s="1"/>
      <c r="S540" s="1" t="s">
        <v>4535</v>
      </c>
      <c r="T540" s="15">
        <v>2022</v>
      </c>
      <c r="U540" s="26" t="s">
        <v>45</v>
      </c>
      <c r="V540" s="13" t="s">
        <v>29</v>
      </c>
      <c r="X540" s="12">
        <v>5</v>
      </c>
      <c r="Y540" s="16">
        <v>45012</v>
      </c>
      <c r="Z540" s="14" t="s">
        <v>3828</v>
      </c>
      <c r="AA540" s="12" t="s">
        <v>4018</v>
      </c>
      <c r="AB540" s="14" t="s">
        <v>3888</v>
      </c>
      <c r="AD540" s="14" t="s">
        <v>53</v>
      </c>
    </row>
    <row r="541" spans="1:30" ht="41.4" hidden="1" x14ac:dyDescent="0.3">
      <c r="A541" s="1" t="s">
        <v>908</v>
      </c>
      <c r="B541" s="1" t="s">
        <v>4522</v>
      </c>
      <c r="C541" s="1" t="s">
        <v>3356</v>
      </c>
      <c r="D541" s="1" t="s">
        <v>4523</v>
      </c>
      <c r="E541" s="1"/>
      <c r="F541" s="1" t="s">
        <v>4524</v>
      </c>
      <c r="G541" s="1"/>
      <c r="H541" s="1"/>
      <c r="I541" s="1"/>
      <c r="J541" s="1" t="s">
        <v>72</v>
      </c>
      <c r="K541" s="1" t="s">
        <v>39</v>
      </c>
      <c r="L541" s="1" t="s">
        <v>4525</v>
      </c>
      <c r="M541" s="1" t="s">
        <v>42</v>
      </c>
      <c r="N541" s="1"/>
      <c r="O541" s="1" t="s">
        <v>31</v>
      </c>
      <c r="P541" s="1"/>
      <c r="Q541" s="1"/>
      <c r="R541" s="1"/>
      <c r="S541" s="1" t="s">
        <v>4526</v>
      </c>
      <c r="T541" s="15">
        <v>2022</v>
      </c>
      <c r="U541" s="26" t="s">
        <v>45</v>
      </c>
      <c r="V541" s="13" t="s">
        <v>5284</v>
      </c>
      <c r="W541" s="12" t="s">
        <v>5283</v>
      </c>
      <c r="X541" s="12" t="s">
        <v>579</v>
      </c>
      <c r="Y541" s="16">
        <v>45012</v>
      </c>
      <c r="Z541" s="14" t="s">
        <v>3870</v>
      </c>
      <c r="AA541" s="14" t="s">
        <v>4591</v>
      </c>
      <c r="AB541" s="14" t="s">
        <v>3886</v>
      </c>
      <c r="AD541" s="14" t="s">
        <v>53</v>
      </c>
    </row>
    <row r="542" spans="1:30" hidden="1" x14ac:dyDescent="0.3">
      <c r="A542" s="1"/>
      <c r="B542" s="1" t="s">
        <v>4527</v>
      </c>
      <c r="C542" s="1" t="s">
        <v>68</v>
      </c>
      <c r="D542" s="1" t="s">
        <v>4528</v>
      </c>
      <c r="E542" s="1" t="s">
        <v>4529</v>
      </c>
      <c r="F542" s="1" t="s">
        <v>4530</v>
      </c>
      <c r="G542" s="1" t="s">
        <v>4531</v>
      </c>
      <c r="H542" s="1" t="s">
        <v>4532</v>
      </c>
      <c r="I542" s="1" t="s">
        <v>4533</v>
      </c>
      <c r="J542" s="1" t="s">
        <v>339</v>
      </c>
      <c r="K542" s="1" t="s">
        <v>39</v>
      </c>
      <c r="L542" s="1" t="s">
        <v>4534</v>
      </c>
      <c r="M542" s="1" t="s">
        <v>42</v>
      </c>
      <c r="N542" s="1"/>
      <c r="O542" s="1" t="s">
        <v>31</v>
      </c>
      <c r="P542" s="1"/>
      <c r="Q542" s="1"/>
      <c r="R542" s="1"/>
      <c r="S542" s="1" t="s">
        <v>4526</v>
      </c>
      <c r="T542" s="15">
        <v>2022</v>
      </c>
      <c r="U542" s="26" t="s">
        <v>45</v>
      </c>
      <c r="V542" s="13" t="s">
        <v>29</v>
      </c>
      <c r="X542" s="12">
        <v>5</v>
      </c>
      <c r="Z542" s="14" t="s">
        <v>3828</v>
      </c>
      <c r="AA542" s="14" t="s">
        <v>4583</v>
      </c>
      <c r="AB542" s="14" t="s">
        <v>3888</v>
      </c>
      <c r="AD542" s="14" t="s">
        <v>53</v>
      </c>
    </row>
    <row r="543" spans="1:30" ht="55.2" x14ac:dyDescent="0.3">
      <c r="A543" s="1"/>
      <c r="B543" s="1" t="s">
        <v>4514</v>
      </c>
      <c r="C543" s="1" t="s">
        <v>354</v>
      </c>
      <c r="D543" s="1" t="s">
        <v>4515</v>
      </c>
      <c r="E543" s="1"/>
      <c r="F543" s="1" t="s">
        <v>4516</v>
      </c>
      <c r="G543" s="1" t="s">
        <v>4517</v>
      </c>
      <c r="H543" s="1" t="s">
        <v>4518</v>
      </c>
      <c r="I543" s="1" t="s">
        <v>4519</v>
      </c>
      <c r="J543" s="1" t="s">
        <v>1929</v>
      </c>
      <c r="K543" s="1" t="s">
        <v>39</v>
      </c>
      <c r="L543" s="1" t="s">
        <v>4520</v>
      </c>
      <c r="M543" s="1" t="s">
        <v>42</v>
      </c>
      <c r="N543" s="1"/>
      <c r="O543" s="1" t="s">
        <v>31</v>
      </c>
      <c r="P543" s="1"/>
      <c r="Q543" s="1"/>
      <c r="R543" s="1"/>
      <c r="S543" s="1" t="s">
        <v>4521</v>
      </c>
      <c r="T543" s="15">
        <v>2022</v>
      </c>
      <c r="U543" s="26" t="s">
        <v>45</v>
      </c>
      <c r="V543" s="13" t="s">
        <v>29</v>
      </c>
      <c r="Y543" s="16" t="s">
        <v>10081</v>
      </c>
      <c r="Z543" s="14" t="s">
        <v>3835</v>
      </c>
      <c r="AA543" s="14" t="s">
        <v>4060</v>
      </c>
      <c r="AB543" s="14" t="s">
        <v>3884</v>
      </c>
      <c r="AD543" s="14" t="s">
        <v>53</v>
      </c>
    </row>
    <row r="544" spans="1:30" ht="55.2" x14ac:dyDescent="0.3">
      <c r="A544" s="1" t="s">
        <v>4506</v>
      </c>
      <c r="B544" s="1" t="s">
        <v>4507</v>
      </c>
      <c r="C544" s="1" t="s">
        <v>4508</v>
      </c>
      <c r="D544" s="1" t="s">
        <v>4509</v>
      </c>
      <c r="E544" s="1" t="s">
        <v>4510</v>
      </c>
      <c r="F544" s="2" t="s">
        <v>7281</v>
      </c>
      <c r="G544" s="1"/>
      <c r="H544" s="1"/>
      <c r="I544" s="1"/>
      <c r="J544" s="1" t="s">
        <v>4511</v>
      </c>
      <c r="K544" s="1" t="s">
        <v>39</v>
      </c>
      <c r="L544" s="1" t="s">
        <v>4512</v>
      </c>
      <c r="M544" s="1" t="s">
        <v>42</v>
      </c>
      <c r="N544" s="1"/>
      <c r="O544" s="1" t="s">
        <v>31</v>
      </c>
      <c r="P544" s="1"/>
      <c r="Q544" s="1"/>
      <c r="R544" s="1"/>
      <c r="S544" s="1" t="s">
        <v>4513</v>
      </c>
      <c r="T544" s="15">
        <v>2022</v>
      </c>
      <c r="U544" s="26" t="s">
        <v>45</v>
      </c>
      <c r="V544" s="13" t="s">
        <v>29</v>
      </c>
      <c r="Y544" s="16" t="s">
        <v>10081</v>
      </c>
      <c r="Z544" s="14" t="s">
        <v>3835</v>
      </c>
      <c r="AA544" s="14" t="s">
        <v>4598</v>
      </c>
      <c r="AB544" s="14" t="s">
        <v>3884</v>
      </c>
      <c r="AD544" s="14" t="s">
        <v>53</v>
      </c>
    </row>
    <row r="545" spans="1:30" hidden="1" x14ac:dyDescent="0.3">
      <c r="A545" s="1" t="s">
        <v>274</v>
      </c>
      <c r="B545" s="1" t="s">
        <v>4501</v>
      </c>
      <c r="C545" s="1" t="s">
        <v>938</v>
      </c>
      <c r="D545" s="1" t="s">
        <v>4502</v>
      </c>
      <c r="E545" s="1" t="s">
        <v>4503</v>
      </c>
      <c r="F545" s="1" t="s">
        <v>4504</v>
      </c>
      <c r="G545" s="1"/>
      <c r="H545" s="1" t="s">
        <v>399</v>
      </c>
      <c r="I545" s="1"/>
      <c r="J545" s="1" t="s">
        <v>72</v>
      </c>
      <c r="K545" s="1" t="s">
        <v>39</v>
      </c>
      <c r="L545" s="1" t="s">
        <v>4505</v>
      </c>
      <c r="M545" s="1" t="s">
        <v>42</v>
      </c>
      <c r="N545" s="1"/>
      <c r="O545" s="1" t="s">
        <v>31</v>
      </c>
      <c r="P545" s="1"/>
      <c r="Q545" s="1"/>
      <c r="R545" s="1"/>
      <c r="S545" s="1" t="s">
        <v>4500</v>
      </c>
      <c r="T545" s="15">
        <v>2022</v>
      </c>
      <c r="U545" s="26" t="s">
        <v>45</v>
      </c>
      <c r="V545" s="13" t="s">
        <v>29</v>
      </c>
      <c r="X545" s="12">
        <v>5</v>
      </c>
      <c r="Z545" s="14" t="s">
        <v>2148</v>
      </c>
      <c r="AA545" s="14" t="s">
        <v>4589</v>
      </c>
      <c r="AB545" s="14" t="s">
        <v>3890</v>
      </c>
      <c r="AD545" s="14" t="s">
        <v>53</v>
      </c>
    </row>
    <row r="546" spans="1:30" hidden="1" x14ac:dyDescent="0.3">
      <c r="A546" s="1"/>
      <c r="B546" s="1" t="s">
        <v>4495</v>
      </c>
      <c r="C546" s="1" t="s">
        <v>79</v>
      </c>
      <c r="D546" s="1" t="s">
        <v>4496</v>
      </c>
      <c r="E546" s="1" t="s">
        <v>4497</v>
      </c>
      <c r="F546" s="1" t="s">
        <v>4498</v>
      </c>
      <c r="G546" s="1"/>
      <c r="H546" s="1" t="s">
        <v>1606</v>
      </c>
      <c r="I546" s="1"/>
      <c r="J546" s="1" t="s">
        <v>4491</v>
      </c>
      <c r="K546" s="1" t="s">
        <v>39</v>
      </c>
      <c r="L546" s="1" t="s">
        <v>4499</v>
      </c>
      <c r="M546" s="1" t="s">
        <v>42</v>
      </c>
      <c r="N546" s="1"/>
      <c r="O546" s="1" t="s">
        <v>31</v>
      </c>
      <c r="P546" s="1"/>
      <c r="Q546" s="1"/>
      <c r="R546" s="1"/>
      <c r="S546" s="1" t="s">
        <v>4500</v>
      </c>
      <c r="T546" s="15">
        <v>2022</v>
      </c>
      <c r="U546" s="26" t="s">
        <v>45</v>
      </c>
      <c r="V546" s="13" t="s">
        <v>29</v>
      </c>
      <c r="X546" s="12">
        <v>10</v>
      </c>
      <c r="Z546" s="14" t="s">
        <v>3828</v>
      </c>
      <c r="AA546" s="14" t="s">
        <v>4590</v>
      </c>
      <c r="AB546" s="14" t="s">
        <v>3888</v>
      </c>
      <c r="AD546" s="14" t="s">
        <v>53</v>
      </c>
    </row>
    <row r="547" spans="1:30" ht="69" hidden="1" x14ac:dyDescent="0.3">
      <c r="A547" s="1" t="s">
        <v>100</v>
      </c>
      <c r="B547" s="1" t="s">
        <v>4484</v>
      </c>
      <c r="C547" s="1" t="s">
        <v>4485</v>
      </c>
      <c r="D547" s="1" t="s">
        <v>4486</v>
      </c>
      <c r="E547" s="1" t="s">
        <v>4487</v>
      </c>
      <c r="F547" s="1" t="s">
        <v>4488</v>
      </c>
      <c r="G547" s="1" t="s">
        <v>4489</v>
      </c>
      <c r="H547" s="1" t="s">
        <v>4490</v>
      </c>
      <c r="I547" s="1" t="s">
        <v>3166</v>
      </c>
      <c r="J547" s="1" t="s">
        <v>4491</v>
      </c>
      <c r="K547" s="1" t="s">
        <v>39</v>
      </c>
      <c r="L547" s="1" t="s">
        <v>4492</v>
      </c>
      <c r="M547" s="1" t="s">
        <v>141</v>
      </c>
      <c r="N547" s="1" t="s">
        <v>4493</v>
      </c>
      <c r="O547" s="1" t="s">
        <v>31</v>
      </c>
      <c r="P547" s="1"/>
      <c r="Q547" s="1"/>
      <c r="R547" s="1"/>
      <c r="S547" s="1" t="s">
        <v>4494</v>
      </c>
      <c r="T547" s="15">
        <v>2022</v>
      </c>
      <c r="U547" s="26" t="s">
        <v>45</v>
      </c>
      <c r="V547" s="13" t="s">
        <v>29</v>
      </c>
      <c r="X547" s="12">
        <v>10</v>
      </c>
      <c r="Z547" s="14" t="s">
        <v>3828</v>
      </c>
      <c r="AA547" s="12" t="s">
        <v>4605</v>
      </c>
      <c r="AB547" s="14" t="s">
        <v>3885</v>
      </c>
      <c r="AD547" s="14" t="s">
        <v>53</v>
      </c>
    </row>
    <row r="548" spans="1:30" s="14" customFormat="1" ht="55.2" x14ac:dyDescent="0.3">
      <c r="A548" s="1"/>
      <c r="B548" s="1" t="s">
        <v>4475</v>
      </c>
      <c r="C548" s="1" t="s">
        <v>390</v>
      </c>
      <c r="D548" s="1" t="s">
        <v>4476</v>
      </c>
      <c r="E548" s="1" t="s">
        <v>4477</v>
      </c>
      <c r="F548" s="1" t="s">
        <v>4478</v>
      </c>
      <c r="G548" s="1" t="s">
        <v>4479</v>
      </c>
      <c r="H548" s="1" t="s">
        <v>4480</v>
      </c>
      <c r="I548" s="1" t="s">
        <v>4481</v>
      </c>
      <c r="J548" s="1" t="s">
        <v>1920</v>
      </c>
      <c r="K548" s="1" t="s">
        <v>39</v>
      </c>
      <c r="L548" s="1" t="s">
        <v>4482</v>
      </c>
      <c r="M548" s="1" t="s">
        <v>42</v>
      </c>
      <c r="N548" s="1"/>
      <c r="O548" s="1" t="s">
        <v>31</v>
      </c>
      <c r="P548" s="1"/>
      <c r="Q548" s="1"/>
      <c r="R548" s="1"/>
      <c r="S548" s="1" t="s">
        <v>4483</v>
      </c>
      <c r="T548" s="15">
        <v>2022</v>
      </c>
      <c r="U548" s="26" t="s">
        <v>45</v>
      </c>
      <c r="V548" s="13" t="s">
        <v>29</v>
      </c>
      <c r="W548" s="12"/>
      <c r="X548" s="12"/>
      <c r="Y548" s="16" t="s">
        <v>10081</v>
      </c>
      <c r="Z548" s="14" t="s">
        <v>3835</v>
      </c>
      <c r="AA548" s="14" t="s">
        <v>4060</v>
      </c>
      <c r="AB548" s="14" t="s">
        <v>3884</v>
      </c>
      <c r="AC548" s="12"/>
      <c r="AD548" s="14" t="s">
        <v>53</v>
      </c>
    </row>
    <row r="549" spans="1:30" hidden="1" x14ac:dyDescent="0.3">
      <c r="A549" s="1" t="s">
        <v>4024</v>
      </c>
      <c r="B549" s="1" t="s">
        <v>4467</v>
      </c>
      <c r="C549" s="1" t="s">
        <v>2674</v>
      </c>
      <c r="D549" s="1" t="s">
        <v>4468</v>
      </c>
      <c r="E549" s="1" t="s">
        <v>4469</v>
      </c>
      <c r="F549" s="1" t="s">
        <v>4470</v>
      </c>
      <c r="G549" s="1"/>
      <c r="H549" s="1" t="s">
        <v>4471</v>
      </c>
      <c r="I549" s="1" t="s">
        <v>4472</v>
      </c>
      <c r="J549" s="1" t="s">
        <v>372</v>
      </c>
      <c r="K549" s="1" t="s">
        <v>39</v>
      </c>
      <c r="L549" s="1" t="s">
        <v>4473</v>
      </c>
      <c r="M549" s="1" t="s">
        <v>141</v>
      </c>
      <c r="N549" s="1"/>
      <c r="O549" s="1" t="s">
        <v>31</v>
      </c>
      <c r="P549" s="1"/>
      <c r="Q549" s="1"/>
      <c r="R549" s="1"/>
      <c r="S549" s="1" t="s">
        <v>4474</v>
      </c>
      <c r="T549" s="15">
        <v>2022</v>
      </c>
      <c r="U549" s="26" t="s">
        <v>45</v>
      </c>
      <c r="V549" s="13" t="s">
        <v>29</v>
      </c>
      <c r="X549" s="12">
        <v>5</v>
      </c>
      <c r="Z549" s="14" t="s">
        <v>3870</v>
      </c>
      <c r="AA549" s="14" t="s">
        <v>4120</v>
      </c>
      <c r="AB549" s="14" t="s">
        <v>3886</v>
      </c>
      <c r="AD549" s="14" t="s">
        <v>53</v>
      </c>
    </row>
    <row r="550" spans="1:30" ht="55.2" x14ac:dyDescent="0.3">
      <c r="A550" s="1" t="s">
        <v>100</v>
      </c>
      <c r="B550" s="1" t="s">
        <v>4457</v>
      </c>
      <c r="C550" s="1" t="s">
        <v>229</v>
      </c>
      <c r="D550" s="1" t="s">
        <v>4458</v>
      </c>
      <c r="E550" s="1" t="s">
        <v>4459</v>
      </c>
      <c r="F550" s="1" t="s">
        <v>4460</v>
      </c>
      <c r="G550" s="1" t="s">
        <v>4461</v>
      </c>
      <c r="H550" s="1" t="s">
        <v>4462</v>
      </c>
      <c r="I550" s="1" t="s">
        <v>4463</v>
      </c>
      <c r="J550" s="1" t="s">
        <v>4464</v>
      </c>
      <c r="K550" s="1" t="s">
        <v>129</v>
      </c>
      <c r="L550" s="1" t="s">
        <v>4465</v>
      </c>
      <c r="M550" s="1" t="s">
        <v>42</v>
      </c>
      <c r="N550" s="1"/>
      <c r="O550" s="1" t="s">
        <v>31</v>
      </c>
      <c r="P550" s="1"/>
      <c r="Q550" s="1"/>
      <c r="R550" s="1"/>
      <c r="S550" s="1" t="s">
        <v>4466</v>
      </c>
      <c r="T550" s="15">
        <v>2022</v>
      </c>
      <c r="U550" s="26" t="s">
        <v>45</v>
      </c>
      <c r="V550" s="13" t="s">
        <v>29</v>
      </c>
      <c r="Y550" s="16" t="s">
        <v>10081</v>
      </c>
      <c r="Z550" s="14" t="s">
        <v>3828</v>
      </c>
      <c r="AA550" s="12" t="s">
        <v>4018</v>
      </c>
      <c r="AB550" s="14" t="s">
        <v>3888</v>
      </c>
      <c r="AD550" s="14" t="s">
        <v>53</v>
      </c>
    </row>
    <row r="551" spans="1:30" hidden="1" x14ac:dyDescent="0.3">
      <c r="A551" s="1"/>
      <c r="B551" s="1" t="s">
        <v>4449</v>
      </c>
      <c r="C551" s="1" t="s">
        <v>390</v>
      </c>
      <c r="D551" s="1" t="s">
        <v>4450</v>
      </c>
      <c r="E551" s="1" t="s">
        <v>4451</v>
      </c>
      <c r="F551" s="1" t="s">
        <v>4452</v>
      </c>
      <c r="G551" s="1"/>
      <c r="H551" s="1" t="s">
        <v>4453</v>
      </c>
      <c r="I551" s="1" t="s">
        <v>4454</v>
      </c>
      <c r="J551" s="1" t="s">
        <v>72</v>
      </c>
      <c r="K551" s="1" t="s">
        <v>39</v>
      </c>
      <c r="L551" s="1" t="s">
        <v>4455</v>
      </c>
      <c r="M551" s="1" t="s">
        <v>42</v>
      </c>
      <c r="N551" s="1"/>
      <c r="O551" s="1" t="s">
        <v>31</v>
      </c>
      <c r="P551" s="1"/>
      <c r="Q551" s="1"/>
      <c r="R551" s="1"/>
      <c r="S551" s="1" t="s">
        <v>4456</v>
      </c>
      <c r="T551" s="15">
        <v>2022</v>
      </c>
      <c r="U551" s="26" t="s">
        <v>45</v>
      </c>
      <c r="V551" s="13" t="s">
        <v>29</v>
      </c>
      <c r="X551" s="12">
        <v>5</v>
      </c>
      <c r="Z551" s="14" t="s">
        <v>3828</v>
      </c>
      <c r="AA551" s="14" t="s">
        <v>4604</v>
      </c>
      <c r="AB551" s="14" t="s">
        <v>3887</v>
      </c>
      <c r="AD551" s="14" t="s">
        <v>53</v>
      </c>
    </row>
    <row r="552" spans="1:30" hidden="1" x14ac:dyDescent="0.3">
      <c r="A552" s="1"/>
      <c r="B552" s="1" t="s">
        <v>2864</v>
      </c>
      <c r="C552" s="1" t="s">
        <v>3235</v>
      </c>
      <c r="D552" s="1" t="s">
        <v>4444</v>
      </c>
      <c r="E552" s="1" t="s">
        <v>4445</v>
      </c>
      <c r="F552" s="1" t="s">
        <v>4446</v>
      </c>
      <c r="G552" s="1"/>
      <c r="H552" s="1"/>
      <c r="I552" s="1"/>
      <c r="J552" s="1" t="s">
        <v>72</v>
      </c>
      <c r="K552" s="1" t="s">
        <v>39</v>
      </c>
      <c r="L552" s="1" t="s">
        <v>4447</v>
      </c>
      <c r="M552" s="1" t="s">
        <v>141</v>
      </c>
      <c r="N552" s="1"/>
      <c r="O552" s="1" t="s">
        <v>31</v>
      </c>
      <c r="P552" s="1"/>
      <c r="Q552" s="1"/>
      <c r="R552" s="1"/>
      <c r="S552" s="1" t="s">
        <v>4448</v>
      </c>
      <c r="T552" s="15">
        <v>2022</v>
      </c>
      <c r="U552" s="26" t="s">
        <v>45</v>
      </c>
      <c r="V552" s="13" t="s">
        <v>29</v>
      </c>
      <c r="X552" s="12">
        <v>5</v>
      </c>
      <c r="Z552" s="14" t="s">
        <v>3835</v>
      </c>
      <c r="AA552" s="14" t="s">
        <v>4585</v>
      </c>
      <c r="AB552" s="14" t="s">
        <v>3884</v>
      </c>
      <c r="AD552" s="14" t="s">
        <v>53</v>
      </c>
    </row>
    <row r="553" spans="1:30" ht="27.6" hidden="1" x14ac:dyDescent="0.3">
      <c r="A553" s="1"/>
      <c r="B553" s="1" t="s">
        <v>4434</v>
      </c>
      <c r="C553" s="1" t="s">
        <v>4435</v>
      </c>
      <c r="D553" s="1" t="s">
        <v>4436</v>
      </c>
      <c r="E553" s="1" t="s">
        <v>4437</v>
      </c>
      <c r="F553" s="1" t="s">
        <v>4438</v>
      </c>
      <c r="G553" s="1" t="s">
        <v>4439</v>
      </c>
      <c r="H553" s="1" t="s">
        <v>4440</v>
      </c>
      <c r="I553" s="1" t="s">
        <v>4441</v>
      </c>
      <c r="J553" s="1" t="s">
        <v>72</v>
      </c>
      <c r="K553" s="1" t="s">
        <v>39</v>
      </c>
      <c r="L553" s="1" t="s">
        <v>4442</v>
      </c>
      <c r="M553" s="1" t="s">
        <v>42</v>
      </c>
      <c r="N553" s="1"/>
      <c r="O553" s="1" t="s">
        <v>31</v>
      </c>
      <c r="P553" s="1"/>
      <c r="Q553" s="1"/>
      <c r="R553" s="1"/>
      <c r="S553" s="1" t="s">
        <v>4443</v>
      </c>
      <c r="T553" s="15">
        <v>2022</v>
      </c>
      <c r="U553" s="26" t="s">
        <v>45</v>
      </c>
      <c r="V553" s="13" t="s">
        <v>29</v>
      </c>
      <c r="X553" s="12">
        <v>5</v>
      </c>
      <c r="Y553" s="16">
        <v>45012</v>
      </c>
      <c r="Z553" s="14" t="s">
        <v>3835</v>
      </c>
      <c r="AA553" s="14" t="s">
        <v>4603</v>
      </c>
      <c r="AB553" s="14" t="s">
        <v>3884</v>
      </c>
      <c r="AD553" s="14" t="s">
        <v>53</v>
      </c>
    </row>
    <row r="554" spans="1:30" hidden="1" x14ac:dyDescent="0.3">
      <c r="A554" s="1"/>
      <c r="B554" s="1" t="s">
        <v>523</v>
      </c>
      <c r="C554" s="1" t="s">
        <v>4223</v>
      </c>
      <c r="D554" s="1" t="s">
        <v>4224</v>
      </c>
      <c r="E554" s="1" t="s">
        <v>4225</v>
      </c>
      <c r="F554" s="1" t="s">
        <v>4226</v>
      </c>
      <c r="G554" s="1"/>
      <c r="H554" s="1" t="s">
        <v>221</v>
      </c>
      <c r="I554" s="1" t="s">
        <v>4227</v>
      </c>
      <c r="J554" s="1" t="s">
        <v>1920</v>
      </c>
      <c r="K554" s="1" t="s">
        <v>39</v>
      </c>
      <c r="L554" s="1" t="s">
        <v>4228</v>
      </c>
      <c r="M554" s="1" t="s">
        <v>141</v>
      </c>
      <c r="N554" s="1"/>
      <c r="O554" s="1" t="s">
        <v>31</v>
      </c>
      <c r="P554" s="1"/>
      <c r="Q554" s="1"/>
      <c r="R554" s="1"/>
      <c r="S554" s="1" t="s">
        <v>4433</v>
      </c>
      <c r="T554" s="15">
        <v>2022</v>
      </c>
      <c r="U554" s="26" t="s">
        <v>45</v>
      </c>
      <c r="V554" s="13" t="s">
        <v>29</v>
      </c>
      <c r="X554" s="12">
        <v>5</v>
      </c>
      <c r="Z554" s="14" t="s">
        <v>3835</v>
      </c>
      <c r="AA554" s="14" t="s">
        <v>4602</v>
      </c>
      <c r="AB554" s="14" t="s">
        <v>3884</v>
      </c>
      <c r="AD554" s="14" t="s">
        <v>53</v>
      </c>
    </row>
    <row r="555" spans="1:30" ht="27.6" hidden="1" x14ac:dyDescent="0.3">
      <c r="A555" s="1" t="s">
        <v>4417</v>
      </c>
      <c r="B555" s="1" t="s">
        <v>4418</v>
      </c>
      <c r="C555" s="1" t="s">
        <v>3544</v>
      </c>
      <c r="D555" s="1" t="s">
        <v>4419</v>
      </c>
      <c r="E555" s="1" t="s">
        <v>4420</v>
      </c>
      <c r="F555" s="1" t="s">
        <v>4421</v>
      </c>
      <c r="G555" s="1"/>
      <c r="H555" s="1"/>
      <c r="I555" s="1"/>
      <c r="J555" s="1" t="s">
        <v>72</v>
      </c>
      <c r="K555" s="1" t="s">
        <v>39</v>
      </c>
      <c r="L555" s="1" t="s">
        <v>4422</v>
      </c>
      <c r="M555" s="1" t="s">
        <v>141</v>
      </c>
      <c r="N555" s="1"/>
      <c r="O555" s="1" t="s">
        <v>31</v>
      </c>
      <c r="P555" s="1"/>
      <c r="Q555" s="1"/>
      <c r="R555" s="1"/>
      <c r="S555" s="1" t="s">
        <v>4423</v>
      </c>
      <c r="T555" s="15">
        <v>2022</v>
      </c>
      <c r="U555" s="26" t="s">
        <v>45</v>
      </c>
      <c r="V555" s="13" t="s">
        <v>29</v>
      </c>
      <c r="X555" s="12">
        <v>5</v>
      </c>
      <c r="Z555" s="14" t="s">
        <v>3828</v>
      </c>
      <c r="AA555" s="12" t="s">
        <v>4601</v>
      </c>
      <c r="AB555" s="14" t="s">
        <v>3885</v>
      </c>
      <c r="AD555" s="14" t="s">
        <v>53</v>
      </c>
    </row>
    <row r="556" spans="1:30" hidden="1" x14ac:dyDescent="0.3">
      <c r="A556" s="1" t="s">
        <v>1388</v>
      </c>
      <c r="B556" s="1" t="s">
        <v>4424</v>
      </c>
      <c r="C556" s="1" t="s">
        <v>79</v>
      </c>
      <c r="D556" s="1" t="s">
        <v>4425</v>
      </c>
      <c r="E556" s="1" t="s">
        <v>4426</v>
      </c>
      <c r="F556" s="1" t="s">
        <v>4427</v>
      </c>
      <c r="G556" s="1" t="s">
        <v>4428</v>
      </c>
      <c r="H556" s="1" t="s">
        <v>4429</v>
      </c>
      <c r="I556" s="1" t="s">
        <v>4430</v>
      </c>
      <c r="J556" s="1" t="s">
        <v>4431</v>
      </c>
      <c r="K556" s="1" t="s">
        <v>39</v>
      </c>
      <c r="L556" s="1" t="s">
        <v>4432</v>
      </c>
      <c r="M556" s="1" t="s">
        <v>42</v>
      </c>
      <c r="N556" s="1"/>
      <c r="O556" s="1" t="s">
        <v>31</v>
      </c>
      <c r="P556" s="1"/>
      <c r="Q556" s="1"/>
      <c r="R556" s="1"/>
      <c r="S556" s="1" t="s">
        <v>4423</v>
      </c>
      <c r="T556" s="15">
        <v>2022</v>
      </c>
      <c r="U556" s="26" t="s">
        <v>45</v>
      </c>
      <c r="V556" s="13" t="s">
        <v>29</v>
      </c>
      <c r="X556" s="12">
        <v>5</v>
      </c>
      <c r="Z556" s="14" t="s">
        <v>3828</v>
      </c>
      <c r="AA556" s="14" t="s">
        <v>4583</v>
      </c>
      <c r="AB556" s="14" t="s">
        <v>3888</v>
      </c>
      <c r="AD556" s="14" t="s">
        <v>53</v>
      </c>
    </row>
    <row r="557" spans="1:30" ht="55.2" x14ac:dyDescent="0.3">
      <c r="A557" s="1" t="s">
        <v>4024</v>
      </c>
      <c r="B557" s="1" t="s">
        <v>4407</v>
      </c>
      <c r="C557" s="1" t="s">
        <v>4408</v>
      </c>
      <c r="D557" s="1" t="s">
        <v>4409</v>
      </c>
      <c r="E557" s="1" t="s">
        <v>4410</v>
      </c>
      <c r="F557" s="1" t="s">
        <v>4411</v>
      </c>
      <c r="G557" s="1" t="s">
        <v>4412</v>
      </c>
      <c r="H557" s="1" t="s">
        <v>4024</v>
      </c>
      <c r="I557" s="1" t="s">
        <v>4413</v>
      </c>
      <c r="J557" s="1" t="s">
        <v>4414</v>
      </c>
      <c r="K557" s="1" t="s">
        <v>39</v>
      </c>
      <c r="L557" s="1" t="s">
        <v>4415</v>
      </c>
      <c r="M557" s="1" t="s">
        <v>42</v>
      </c>
      <c r="N557" s="1"/>
      <c r="O557" s="1" t="s">
        <v>31</v>
      </c>
      <c r="P557" s="1"/>
      <c r="Q557" s="1"/>
      <c r="R557" s="1"/>
      <c r="S557" s="1" t="s">
        <v>4416</v>
      </c>
      <c r="T557" s="15">
        <v>2022</v>
      </c>
      <c r="U557" s="26" t="s">
        <v>45</v>
      </c>
      <c r="V557" s="13" t="s">
        <v>29</v>
      </c>
      <c r="Y557" s="16" t="s">
        <v>10081</v>
      </c>
      <c r="Z557" s="14" t="s">
        <v>2148</v>
      </c>
      <c r="AA557" s="14" t="s">
        <v>4600</v>
      </c>
      <c r="AB557" s="14" t="s">
        <v>4594</v>
      </c>
      <c r="AD557" s="14" t="s">
        <v>53</v>
      </c>
    </row>
    <row r="558" spans="1:30" hidden="1" x14ac:dyDescent="0.3">
      <c r="A558" s="1" t="s">
        <v>100</v>
      </c>
      <c r="B558" s="1" t="s">
        <v>3173</v>
      </c>
      <c r="C558" s="1" t="s">
        <v>229</v>
      </c>
      <c r="D558" s="1" t="s">
        <v>4398</v>
      </c>
      <c r="E558" s="1" t="s">
        <v>4399</v>
      </c>
      <c r="F558" s="1" t="s">
        <v>4400</v>
      </c>
      <c r="G558" s="1" t="s">
        <v>4401</v>
      </c>
      <c r="H558" s="1" t="s">
        <v>4402</v>
      </c>
      <c r="I558" s="1" t="s">
        <v>4403</v>
      </c>
      <c r="J558" s="1" t="s">
        <v>4404</v>
      </c>
      <c r="K558" s="1" t="s">
        <v>39</v>
      </c>
      <c r="L558" s="1" t="s">
        <v>4405</v>
      </c>
      <c r="M558" s="1" t="s">
        <v>42</v>
      </c>
      <c r="N558" s="1"/>
      <c r="O558" s="1" t="s">
        <v>31</v>
      </c>
      <c r="P558" s="1"/>
      <c r="Q558" s="1"/>
      <c r="R558" s="1"/>
      <c r="S558" s="1" t="s">
        <v>4406</v>
      </c>
      <c r="T558" s="15">
        <v>2022</v>
      </c>
      <c r="U558" s="26" t="s">
        <v>45</v>
      </c>
      <c r="V558" s="13" t="s">
        <v>29</v>
      </c>
      <c r="X558" s="12">
        <v>5</v>
      </c>
      <c r="Z558" s="14" t="s">
        <v>3828</v>
      </c>
      <c r="AA558" s="14" t="s">
        <v>4599</v>
      </c>
      <c r="AB558" s="14" t="s">
        <v>3888</v>
      </c>
      <c r="AD558" s="14" t="s">
        <v>53</v>
      </c>
    </row>
    <row r="559" spans="1:30" hidden="1" x14ac:dyDescent="0.3">
      <c r="A559" s="1" t="s">
        <v>2707</v>
      </c>
      <c r="B559" s="1" t="s">
        <v>4290</v>
      </c>
      <c r="C559" s="1" t="s">
        <v>2097</v>
      </c>
      <c r="D559" s="1" t="s">
        <v>4291</v>
      </c>
      <c r="E559" s="1"/>
      <c r="F559" s="1" t="s">
        <v>4292</v>
      </c>
      <c r="G559" s="1"/>
      <c r="H559" s="1" t="s">
        <v>4293</v>
      </c>
      <c r="I559" s="1" t="s">
        <v>4294</v>
      </c>
      <c r="J559" s="1" t="s">
        <v>1497</v>
      </c>
      <c r="K559" s="1" t="s">
        <v>39</v>
      </c>
      <c r="L559" s="1" t="s">
        <v>4295</v>
      </c>
      <c r="M559" s="1" t="s">
        <v>141</v>
      </c>
      <c r="N559" s="1"/>
      <c r="O559" s="1" t="s">
        <v>31</v>
      </c>
      <c r="P559" s="1"/>
      <c r="Q559" s="1"/>
      <c r="R559" s="1"/>
      <c r="S559" s="1" t="s">
        <v>4397</v>
      </c>
      <c r="T559" s="15">
        <v>2022</v>
      </c>
      <c r="U559" s="26" t="s">
        <v>45</v>
      </c>
      <c r="V559" s="13" t="s">
        <v>29</v>
      </c>
      <c r="X559" s="12">
        <v>5</v>
      </c>
      <c r="Z559" s="14" t="s">
        <v>3835</v>
      </c>
      <c r="AA559" s="14" t="s">
        <v>4060</v>
      </c>
      <c r="AB559" s="14" t="s">
        <v>3884</v>
      </c>
      <c r="AD559" s="14" t="s">
        <v>53</v>
      </c>
    </row>
    <row r="560" spans="1:30" hidden="1" x14ac:dyDescent="0.3">
      <c r="A560" s="1" t="s">
        <v>22</v>
      </c>
      <c r="B560" s="1" t="s">
        <v>3978</v>
      </c>
      <c r="C560" s="1" t="s">
        <v>806</v>
      </c>
      <c r="D560" s="1" t="s">
        <v>4391</v>
      </c>
      <c r="E560" s="1" t="s">
        <v>4392</v>
      </c>
      <c r="F560" s="1" t="s">
        <v>4393</v>
      </c>
      <c r="G560" s="1"/>
      <c r="H560" s="1"/>
      <c r="I560" s="1"/>
      <c r="J560" s="1" t="s">
        <v>4394</v>
      </c>
      <c r="K560" s="1" t="s">
        <v>39</v>
      </c>
      <c r="L560" s="1" t="s">
        <v>4395</v>
      </c>
      <c r="M560" s="1" t="s">
        <v>141</v>
      </c>
      <c r="N560" s="1"/>
      <c r="O560" s="1" t="s">
        <v>31</v>
      </c>
      <c r="P560" s="1"/>
      <c r="Q560" s="1"/>
      <c r="R560" s="1"/>
      <c r="S560" s="1" t="s">
        <v>4396</v>
      </c>
      <c r="T560" s="15">
        <v>2022</v>
      </c>
      <c r="U560" s="26" t="s">
        <v>45</v>
      </c>
      <c r="V560" s="13" t="s">
        <v>29</v>
      </c>
      <c r="X560" s="12">
        <v>5</v>
      </c>
      <c r="Z560" s="14" t="s">
        <v>3835</v>
      </c>
      <c r="AA560" s="14" t="s">
        <v>4598</v>
      </c>
      <c r="AB560" s="14" t="s">
        <v>3884</v>
      </c>
      <c r="AD560" s="14" t="s">
        <v>53</v>
      </c>
    </row>
    <row r="561" spans="1:30" ht="55.2" x14ac:dyDescent="0.3">
      <c r="A561" s="1" t="s">
        <v>4384</v>
      </c>
      <c r="B561" s="1" t="s">
        <v>4385</v>
      </c>
      <c r="C561" s="1" t="s">
        <v>1678</v>
      </c>
      <c r="D561" s="1" t="s">
        <v>4386</v>
      </c>
      <c r="E561" s="1" t="s">
        <v>4387</v>
      </c>
      <c r="F561" s="1" t="s">
        <v>4388</v>
      </c>
      <c r="G561" s="1"/>
      <c r="H561" s="1"/>
      <c r="I561" s="1"/>
      <c r="J561" s="1" t="s">
        <v>72</v>
      </c>
      <c r="K561" s="1" t="s">
        <v>39</v>
      </c>
      <c r="L561" s="1" t="s">
        <v>4389</v>
      </c>
      <c r="M561" s="1" t="s">
        <v>42</v>
      </c>
      <c r="N561" s="1"/>
      <c r="O561" s="1" t="s">
        <v>31</v>
      </c>
      <c r="P561" s="1"/>
      <c r="Q561" s="1"/>
      <c r="R561" s="1"/>
      <c r="S561" s="1" t="s">
        <v>4390</v>
      </c>
      <c r="T561" s="15">
        <v>2022</v>
      </c>
      <c r="U561" s="26" t="s">
        <v>45</v>
      </c>
      <c r="V561" s="13" t="s">
        <v>29</v>
      </c>
      <c r="Y561" s="16" t="s">
        <v>10081</v>
      </c>
      <c r="Z561" s="14" t="s">
        <v>3870</v>
      </c>
      <c r="AA561" s="14" t="s">
        <v>4120</v>
      </c>
      <c r="AB561" s="14" t="s">
        <v>3886</v>
      </c>
      <c r="AD561" s="14" t="s">
        <v>53</v>
      </c>
    </row>
    <row r="562" spans="1:30" ht="27.6" hidden="1" x14ac:dyDescent="0.3">
      <c r="A562" s="1" t="s">
        <v>2039</v>
      </c>
      <c r="B562" s="1" t="s">
        <v>4377</v>
      </c>
      <c r="C562" s="1" t="s">
        <v>157</v>
      </c>
      <c r="D562" s="1" t="s">
        <v>4378</v>
      </c>
      <c r="E562" s="1" t="s">
        <v>4379</v>
      </c>
      <c r="F562" s="1" t="s">
        <v>4380</v>
      </c>
      <c r="G562" s="1" t="s">
        <v>4380</v>
      </c>
      <c r="H562" s="1" t="s">
        <v>4381</v>
      </c>
      <c r="I562" s="1" t="s">
        <v>81</v>
      </c>
      <c r="J562" s="1" t="s">
        <v>2312</v>
      </c>
      <c r="K562" s="1" t="s">
        <v>39</v>
      </c>
      <c r="L562" s="1" t="s">
        <v>4382</v>
      </c>
      <c r="M562" s="1" t="s">
        <v>141</v>
      </c>
      <c r="N562" s="1"/>
      <c r="O562" s="1" t="s">
        <v>31</v>
      </c>
      <c r="P562" s="1"/>
      <c r="Q562" s="1"/>
      <c r="R562" s="1"/>
      <c r="S562" s="1" t="s">
        <v>4383</v>
      </c>
      <c r="T562" s="15">
        <v>2022</v>
      </c>
      <c r="U562" s="26" t="s">
        <v>45</v>
      </c>
      <c r="V562" s="13" t="s">
        <v>29</v>
      </c>
      <c r="X562" s="12">
        <v>5</v>
      </c>
      <c r="Z562" s="14" t="s">
        <v>3835</v>
      </c>
      <c r="AA562" s="14" t="s">
        <v>4597</v>
      </c>
      <c r="AB562" s="14" t="s">
        <v>3884</v>
      </c>
      <c r="AD562" s="14" t="s">
        <v>53</v>
      </c>
    </row>
    <row r="563" spans="1:30" hidden="1" x14ac:dyDescent="0.3">
      <c r="A563" s="1" t="s">
        <v>460</v>
      </c>
      <c r="B563" s="1" t="s">
        <v>4369</v>
      </c>
      <c r="C563" s="1" t="s">
        <v>68</v>
      </c>
      <c r="D563" s="1" t="s">
        <v>4370</v>
      </c>
      <c r="E563" s="1" t="s">
        <v>4371</v>
      </c>
      <c r="F563" s="1" t="s">
        <v>4372</v>
      </c>
      <c r="G563" s="1" t="s">
        <v>4373</v>
      </c>
      <c r="H563" s="1" t="s">
        <v>908</v>
      </c>
      <c r="I563" s="1" t="s">
        <v>4374</v>
      </c>
      <c r="J563" s="1" t="s">
        <v>72</v>
      </c>
      <c r="K563" s="1" t="s">
        <v>39</v>
      </c>
      <c r="L563" s="1" t="s">
        <v>4375</v>
      </c>
      <c r="M563" s="1" t="s">
        <v>42</v>
      </c>
      <c r="N563" s="1"/>
      <c r="O563" s="1" t="s">
        <v>31</v>
      </c>
      <c r="P563" s="1"/>
      <c r="Q563" s="1"/>
      <c r="R563" s="1"/>
      <c r="S563" s="1" t="s">
        <v>4376</v>
      </c>
      <c r="T563" s="15">
        <v>2022</v>
      </c>
      <c r="U563" s="26" t="s">
        <v>45</v>
      </c>
      <c r="V563" s="13" t="s">
        <v>29</v>
      </c>
      <c r="X563" s="12">
        <v>5</v>
      </c>
      <c r="Z563" s="14" t="s">
        <v>3870</v>
      </c>
      <c r="AA563" s="14" t="s">
        <v>4596</v>
      </c>
      <c r="AB563" s="14" t="s">
        <v>3886</v>
      </c>
      <c r="AD563" s="14" t="s">
        <v>53</v>
      </c>
    </row>
    <row r="564" spans="1:30" ht="55.2" x14ac:dyDescent="0.3">
      <c r="A564" s="1"/>
      <c r="B564" s="1" t="s">
        <v>2396</v>
      </c>
      <c r="C564" s="1" t="s">
        <v>189</v>
      </c>
      <c r="D564" s="1" t="s">
        <v>4595</v>
      </c>
      <c r="E564" s="1" t="s">
        <v>4363</v>
      </c>
      <c r="F564" s="1" t="s">
        <v>4364</v>
      </c>
      <c r="G564" s="1" t="s">
        <v>4365</v>
      </c>
      <c r="H564" s="1" t="s">
        <v>3493</v>
      </c>
      <c r="I564" s="1" t="s">
        <v>4366</v>
      </c>
      <c r="J564" s="1" t="s">
        <v>72</v>
      </c>
      <c r="K564" s="1" t="s">
        <v>39</v>
      </c>
      <c r="L564" s="1" t="s">
        <v>4367</v>
      </c>
      <c r="M564" s="1" t="s">
        <v>42</v>
      </c>
      <c r="N564" s="1"/>
      <c r="O564" s="1" t="s">
        <v>31</v>
      </c>
      <c r="P564" s="1"/>
      <c r="Q564" s="1"/>
      <c r="R564" s="1"/>
      <c r="S564" s="1" t="s">
        <v>4368</v>
      </c>
      <c r="T564" s="15">
        <v>2022</v>
      </c>
      <c r="U564" s="26" t="s">
        <v>45</v>
      </c>
      <c r="V564" s="13" t="s">
        <v>29</v>
      </c>
      <c r="Y564" s="16" t="s">
        <v>10081</v>
      </c>
      <c r="Z564" s="14" t="s">
        <v>3828</v>
      </c>
      <c r="AA564" s="14" t="s">
        <v>4590</v>
      </c>
      <c r="AB564" s="14" t="s">
        <v>3888</v>
      </c>
      <c r="AD564" s="14" t="s">
        <v>53</v>
      </c>
    </row>
    <row r="565" spans="1:30" ht="27.6" hidden="1" x14ac:dyDescent="0.3">
      <c r="A565" s="1" t="s">
        <v>1379</v>
      </c>
      <c r="B565" s="1" t="s">
        <v>2782</v>
      </c>
      <c r="C565" s="1" t="s">
        <v>4353</v>
      </c>
      <c r="D565" s="1" t="s">
        <v>4354</v>
      </c>
      <c r="E565" s="1" t="s">
        <v>4355</v>
      </c>
      <c r="F565" s="1" t="s">
        <v>4356</v>
      </c>
      <c r="G565" s="1" t="s">
        <v>4357</v>
      </c>
      <c r="H565" s="1" t="s">
        <v>4358</v>
      </c>
      <c r="I565" s="1" t="s">
        <v>4359</v>
      </c>
      <c r="J565" s="1" t="s">
        <v>4360</v>
      </c>
      <c r="K565" s="1" t="s">
        <v>39</v>
      </c>
      <c r="L565" s="1" t="s">
        <v>4361</v>
      </c>
      <c r="M565" s="1" t="s">
        <v>42</v>
      </c>
      <c r="N565" s="1"/>
      <c r="O565" s="1" t="s">
        <v>31</v>
      </c>
      <c r="P565" s="1"/>
      <c r="Q565" s="1"/>
      <c r="R565" s="1"/>
      <c r="S565" s="1" t="s">
        <v>4362</v>
      </c>
      <c r="T565" s="15">
        <v>2022</v>
      </c>
      <c r="U565" s="26" t="s">
        <v>45</v>
      </c>
      <c r="V565" s="13" t="s">
        <v>29</v>
      </c>
      <c r="X565" s="12">
        <v>5</v>
      </c>
      <c r="Y565" s="16">
        <v>45012</v>
      </c>
      <c r="Z565" s="14" t="s">
        <v>3828</v>
      </c>
      <c r="AA565" s="14" t="s">
        <v>4583</v>
      </c>
      <c r="AB565" s="14" t="s">
        <v>3888</v>
      </c>
      <c r="AD565" s="14" t="s">
        <v>53</v>
      </c>
    </row>
    <row r="566" spans="1:30" hidden="1" x14ac:dyDescent="0.3">
      <c r="A566" s="1" t="s">
        <v>1379</v>
      </c>
      <c r="B566" s="1" t="s">
        <v>4346</v>
      </c>
      <c r="C566" s="1" t="s">
        <v>3137</v>
      </c>
      <c r="D566" s="1" t="s">
        <v>4347</v>
      </c>
      <c r="E566" s="1" t="s">
        <v>4348</v>
      </c>
      <c r="F566" s="1" t="s">
        <v>4349</v>
      </c>
      <c r="G566" s="1"/>
      <c r="H566" s="1"/>
      <c r="I566" s="1" t="s">
        <v>4350</v>
      </c>
      <c r="J566" s="1" t="s">
        <v>4351</v>
      </c>
      <c r="K566" s="1" t="s">
        <v>39</v>
      </c>
      <c r="L566" s="1" t="s">
        <v>1144</v>
      </c>
      <c r="M566" s="1" t="s">
        <v>42</v>
      </c>
      <c r="N566" s="1"/>
      <c r="O566" s="1" t="s">
        <v>31</v>
      </c>
      <c r="P566" s="1"/>
      <c r="Q566" s="1"/>
      <c r="R566" s="1"/>
      <c r="S566" s="1" t="s">
        <v>4352</v>
      </c>
      <c r="T566" s="15">
        <v>2022</v>
      </c>
      <c r="U566" s="26" t="s">
        <v>45</v>
      </c>
      <c r="V566" s="13" t="s">
        <v>29</v>
      </c>
      <c r="X566" s="12">
        <v>5</v>
      </c>
      <c r="Z566" s="14" t="s">
        <v>3828</v>
      </c>
      <c r="AA566" s="14" t="s">
        <v>4583</v>
      </c>
      <c r="AB566" s="14" t="s">
        <v>3888</v>
      </c>
      <c r="AD566" s="14" t="s">
        <v>53</v>
      </c>
    </row>
    <row r="567" spans="1:30" ht="27.6" hidden="1" x14ac:dyDescent="0.3">
      <c r="A567" s="1"/>
      <c r="B567" s="1" t="s">
        <v>4339</v>
      </c>
      <c r="C567" s="1" t="s">
        <v>1867</v>
      </c>
      <c r="D567" s="1" t="s">
        <v>4340</v>
      </c>
      <c r="E567" s="1" t="s">
        <v>4341</v>
      </c>
      <c r="F567" s="1" t="s">
        <v>4342</v>
      </c>
      <c r="G567" s="1" t="s">
        <v>4343</v>
      </c>
      <c r="H567" s="1"/>
      <c r="I567" s="1"/>
      <c r="J567" s="1" t="s">
        <v>72</v>
      </c>
      <c r="K567" s="1" t="s">
        <v>39</v>
      </c>
      <c r="L567" s="1" t="s">
        <v>4344</v>
      </c>
      <c r="M567" s="1" t="s">
        <v>42</v>
      </c>
      <c r="N567" s="1"/>
      <c r="O567" s="1" t="s">
        <v>31</v>
      </c>
      <c r="P567" s="1"/>
      <c r="Q567" s="1"/>
      <c r="R567" s="1"/>
      <c r="S567" s="1" t="s">
        <v>4345</v>
      </c>
      <c r="T567" s="15">
        <v>2022</v>
      </c>
      <c r="U567" s="26" t="s">
        <v>45</v>
      </c>
      <c r="V567" s="13" t="s">
        <v>29</v>
      </c>
      <c r="X567" s="12">
        <v>5</v>
      </c>
      <c r="Y567" s="16" t="s">
        <v>5979</v>
      </c>
      <c r="Z567" s="14" t="s">
        <v>2148</v>
      </c>
      <c r="AA567" s="12" t="s">
        <v>4593</v>
      </c>
      <c r="AB567" s="14" t="s">
        <v>4594</v>
      </c>
      <c r="AD567" s="14" t="s">
        <v>53</v>
      </c>
    </row>
    <row r="568" spans="1:30" hidden="1" x14ac:dyDescent="0.3">
      <c r="A568" s="1"/>
      <c r="B568" s="1" t="s">
        <v>4328</v>
      </c>
      <c r="C568" s="1" t="s">
        <v>4329</v>
      </c>
      <c r="D568" s="1" t="s">
        <v>4330</v>
      </c>
      <c r="E568" s="1" t="s">
        <v>4331</v>
      </c>
      <c r="F568" s="1" t="s">
        <v>4332</v>
      </c>
      <c r="G568" s="1" t="s">
        <v>4333</v>
      </c>
      <c r="H568" s="1" t="s">
        <v>4334</v>
      </c>
      <c r="I568" s="1" t="s">
        <v>4335</v>
      </c>
      <c r="J568" s="1" t="s">
        <v>72</v>
      </c>
      <c r="K568" s="1" t="s">
        <v>39</v>
      </c>
      <c r="L568" s="1" t="s">
        <v>4336</v>
      </c>
      <c r="M568" s="1" t="s">
        <v>141</v>
      </c>
      <c r="N568" s="1" t="s">
        <v>4337</v>
      </c>
      <c r="O568" s="1" t="s">
        <v>31</v>
      </c>
      <c r="P568" s="1"/>
      <c r="Q568" s="1"/>
      <c r="R568" s="1"/>
      <c r="S568" s="1" t="s">
        <v>4338</v>
      </c>
      <c r="T568" s="15">
        <v>2022</v>
      </c>
      <c r="U568" s="26" t="s">
        <v>45</v>
      </c>
      <c r="V568" s="13" t="s">
        <v>29</v>
      </c>
      <c r="X568" s="12">
        <v>5</v>
      </c>
      <c r="Z568" s="14" t="s">
        <v>3828</v>
      </c>
      <c r="AA568" s="12" t="s">
        <v>4592</v>
      </c>
      <c r="AB568" s="14" t="s">
        <v>3885</v>
      </c>
      <c r="AD568" s="14" t="s">
        <v>53</v>
      </c>
    </row>
    <row r="569" spans="1:30" ht="55.2" x14ac:dyDescent="0.3">
      <c r="A569" s="1" t="s">
        <v>908</v>
      </c>
      <c r="B569" s="1" t="s">
        <v>4322</v>
      </c>
      <c r="C569" s="1" t="s">
        <v>2097</v>
      </c>
      <c r="D569" s="1" t="s">
        <v>4323</v>
      </c>
      <c r="E569" s="1" t="s">
        <v>4324</v>
      </c>
      <c r="F569" s="1" t="s">
        <v>4325</v>
      </c>
      <c r="G569" s="1"/>
      <c r="H569" s="1"/>
      <c r="I569" s="1"/>
      <c r="J569" s="1" t="s">
        <v>72</v>
      </c>
      <c r="K569" s="1" t="s">
        <v>39</v>
      </c>
      <c r="L569" s="1" t="s">
        <v>4326</v>
      </c>
      <c r="M569" s="1" t="s">
        <v>42</v>
      </c>
      <c r="N569" s="1"/>
      <c r="O569" s="1" t="s">
        <v>31</v>
      </c>
      <c r="P569" s="1"/>
      <c r="Q569" s="1"/>
      <c r="R569" s="1"/>
      <c r="S569" s="1" t="s">
        <v>4327</v>
      </c>
      <c r="T569" s="15">
        <v>2022</v>
      </c>
      <c r="U569" s="26" t="s">
        <v>45</v>
      </c>
      <c r="V569" s="13" t="s">
        <v>29</v>
      </c>
      <c r="Y569" s="16" t="s">
        <v>10081</v>
      </c>
      <c r="Z569" s="14" t="s">
        <v>3870</v>
      </c>
      <c r="AA569" s="14" t="s">
        <v>4120</v>
      </c>
      <c r="AB569" s="14" t="s">
        <v>3886</v>
      </c>
      <c r="AD569" s="14" t="s">
        <v>53</v>
      </c>
    </row>
    <row r="570" spans="1:30" hidden="1" x14ac:dyDescent="0.3">
      <c r="A570" s="1" t="s">
        <v>908</v>
      </c>
      <c r="B570" s="1" t="s">
        <v>3203</v>
      </c>
      <c r="C570" s="1" t="s">
        <v>4316</v>
      </c>
      <c r="D570" s="1" t="s">
        <v>4317</v>
      </c>
      <c r="E570" s="1"/>
      <c r="F570" s="1" t="s">
        <v>4318</v>
      </c>
      <c r="G570" s="1"/>
      <c r="H570" s="1"/>
      <c r="I570" s="1"/>
      <c r="J570" s="1" t="s">
        <v>4319</v>
      </c>
      <c r="K570" s="1" t="s">
        <v>39</v>
      </c>
      <c r="L570" s="1" t="s">
        <v>4320</v>
      </c>
      <c r="M570" s="1" t="s">
        <v>141</v>
      </c>
      <c r="N570" s="1"/>
      <c r="O570" s="1" t="s">
        <v>31</v>
      </c>
      <c r="P570" s="1"/>
      <c r="Q570" s="1"/>
      <c r="R570" s="1"/>
      <c r="S570" s="1" t="s">
        <v>4321</v>
      </c>
      <c r="T570" s="15">
        <v>2022</v>
      </c>
      <c r="U570" s="26" t="s">
        <v>45</v>
      </c>
      <c r="V570" s="13" t="s">
        <v>29</v>
      </c>
      <c r="X570" s="12">
        <v>5</v>
      </c>
      <c r="Z570" s="14" t="s">
        <v>3870</v>
      </c>
      <c r="AA570" s="14" t="s">
        <v>4591</v>
      </c>
      <c r="AB570" s="14" t="s">
        <v>3886</v>
      </c>
      <c r="AD570" s="14" t="s">
        <v>53</v>
      </c>
    </row>
    <row r="571" spans="1:30" ht="27.6" hidden="1" x14ac:dyDescent="0.3">
      <c r="A571" s="1" t="s">
        <v>908</v>
      </c>
      <c r="B571" s="1" t="s">
        <v>4275</v>
      </c>
      <c r="C571" s="1" t="s">
        <v>4276</v>
      </c>
      <c r="D571" s="1" t="s">
        <v>4277</v>
      </c>
      <c r="E571" s="1" t="s">
        <v>4278</v>
      </c>
      <c r="F571" s="1" t="s">
        <v>4279</v>
      </c>
      <c r="G571" s="1" t="s">
        <v>4280</v>
      </c>
      <c r="H571" s="1" t="s">
        <v>908</v>
      </c>
      <c r="I571" s="1"/>
      <c r="J571" s="1" t="s">
        <v>72</v>
      </c>
      <c r="K571" s="1" t="s">
        <v>39</v>
      </c>
      <c r="L571" s="1" t="s">
        <v>4281</v>
      </c>
      <c r="M571" s="1" t="s">
        <v>141</v>
      </c>
      <c r="N571" s="1"/>
      <c r="O571" s="1" t="s">
        <v>31</v>
      </c>
      <c r="P571" s="1"/>
      <c r="Q571" s="1"/>
      <c r="R571" s="1"/>
      <c r="S571" s="1" t="s">
        <v>4315</v>
      </c>
      <c r="T571" s="15">
        <v>2022</v>
      </c>
      <c r="U571" s="26" t="s">
        <v>45</v>
      </c>
      <c r="V571" s="13" t="s">
        <v>29</v>
      </c>
      <c r="X571" s="12">
        <v>5</v>
      </c>
      <c r="Z571" s="14" t="s">
        <v>3870</v>
      </c>
      <c r="AA571" s="14" t="s">
        <v>4120</v>
      </c>
      <c r="AB571" s="14" t="s">
        <v>3886</v>
      </c>
      <c r="AD571" s="14" t="s">
        <v>53</v>
      </c>
    </row>
    <row r="572" spans="1:30" hidden="1" x14ac:dyDescent="0.3">
      <c r="A572" s="1" t="s">
        <v>22</v>
      </c>
      <c r="B572" s="1" t="s">
        <v>4306</v>
      </c>
      <c r="C572" s="1" t="s">
        <v>390</v>
      </c>
      <c r="D572" s="1" t="s">
        <v>4307</v>
      </c>
      <c r="E572" s="1" t="s">
        <v>4308</v>
      </c>
      <c r="F572" s="1" t="s">
        <v>4309</v>
      </c>
      <c r="G572" s="1" t="s">
        <v>4310</v>
      </c>
      <c r="H572" s="1" t="s">
        <v>4311</v>
      </c>
      <c r="I572" s="1" t="s">
        <v>4312</v>
      </c>
      <c r="J572" s="1" t="s">
        <v>72</v>
      </c>
      <c r="K572" s="1" t="s">
        <v>39</v>
      </c>
      <c r="L572" s="1" t="s">
        <v>4313</v>
      </c>
      <c r="M572" s="1" t="s">
        <v>141</v>
      </c>
      <c r="N572" s="1"/>
      <c r="O572" s="1" t="s">
        <v>31</v>
      </c>
      <c r="P572" s="1"/>
      <c r="Q572" s="1"/>
      <c r="R572" s="1"/>
      <c r="S572" s="1" t="s">
        <v>4314</v>
      </c>
      <c r="T572" s="15">
        <v>2022</v>
      </c>
      <c r="U572" s="26" t="s">
        <v>45</v>
      </c>
      <c r="V572" s="13" t="s">
        <v>29</v>
      </c>
      <c r="X572" s="12">
        <v>5</v>
      </c>
      <c r="Z572" s="14" t="s">
        <v>3828</v>
      </c>
      <c r="AA572" s="14" t="s">
        <v>4590</v>
      </c>
      <c r="AB572" s="14" t="s">
        <v>3888</v>
      </c>
      <c r="AD572" s="14" t="s">
        <v>53</v>
      </c>
    </row>
    <row r="573" spans="1:30" ht="55.2" x14ac:dyDescent="0.3">
      <c r="A573" s="4" t="s">
        <v>1388</v>
      </c>
      <c r="B573" s="4" t="s">
        <v>4296</v>
      </c>
      <c r="C573" s="4" t="s">
        <v>4297</v>
      </c>
      <c r="D573" s="4" t="s">
        <v>4717</v>
      </c>
      <c r="E573" s="4" t="s">
        <v>4298</v>
      </c>
      <c r="F573" s="1" t="s">
        <v>4299</v>
      </c>
      <c r="G573" s="4" t="s">
        <v>4300</v>
      </c>
      <c r="H573" s="4" t="s">
        <v>4301</v>
      </c>
      <c r="I573" s="4" t="s">
        <v>4302</v>
      </c>
      <c r="J573" s="4" t="s">
        <v>4303</v>
      </c>
      <c r="K573" s="4" t="s">
        <v>92</v>
      </c>
      <c r="L573" s="4" t="s">
        <v>4304</v>
      </c>
      <c r="M573" s="4" t="s">
        <v>42</v>
      </c>
      <c r="N573" s="4"/>
      <c r="O573" s="4" t="s">
        <v>31</v>
      </c>
      <c r="P573" s="4"/>
      <c r="Q573" s="4"/>
      <c r="R573" s="4"/>
      <c r="S573" s="4" t="s">
        <v>4305</v>
      </c>
      <c r="T573" s="15">
        <v>2022</v>
      </c>
      <c r="U573" s="26" t="s">
        <v>45</v>
      </c>
      <c r="V573" s="13" t="s">
        <v>29</v>
      </c>
      <c r="W573" s="14"/>
      <c r="X573" s="14"/>
      <c r="Y573" s="16" t="s">
        <v>10081</v>
      </c>
      <c r="Z573" s="14" t="s">
        <v>3835</v>
      </c>
      <c r="AA573" s="14" t="s">
        <v>4729</v>
      </c>
      <c r="AB573" s="14" t="s">
        <v>3884</v>
      </c>
      <c r="AC573" s="14"/>
      <c r="AD573" s="14" t="s">
        <v>4730</v>
      </c>
    </row>
    <row r="574" spans="1:30" hidden="1" x14ac:dyDescent="0.3">
      <c r="A574" s="1" t="s">
        <v>908</v>
      </c>
      <c r="B574" s="1" t="s">
        <v>4282</v>
      </c>
      <c r="C574" s="1" t="s">
        <v>282</v>
      </c>
      <c r="D574" s="1" t="s">
        <v>4283</v>
      </c>
      <c r="E574" s="1" t="s">
        <v>4284</v>
      </c>
      <c r="F574" s="1" t="s">
        <v>4285</v>
      </c>
      <c r="G574" s="1" t="s">
        <v>4286</v>
      </c>
      <c r="H574" s="1" t="s">
        <v>908</v>
      </c>
      <c r="I574" s="1" t="s">
        <v>4287</v>
      </c>
      <c r="J574" s="1" t="s">
        <v>3286</v>
      </c>
      <c r="K574" s="1" t="s">
        <v>39</v>
      </c>
      <c r="L574" s="1" t="s">
        <v>4288</v>
      </c>
      <c r="M574" s="1" t="s">
        <v>141</v>
      </c>
      <c r="N574" s="1"/>
      <c r="O574" s="1" t="s">
        <v>31</v>
      </c>
      <c r="P574" s="1"/>
      <c r="Q574" s="1"/>
      <c r="R574" s="1"/>
      <c r="S574" s="1" t="s">
        <v>4289</v>
      </c>
      <c r="T574" s="15">
        <v>2022</v>
      </c>
      <c r="U574" s="26" t="s">
        <v>45</v>
      </c>
      <c r="V574" s="13" t="s">
        <v>29</v>
      </c>
      <c r="X574" s="12">
        <v>5</v>
      </c>
      <c r="Z574" s="14" t="s">
        <v>3870</v>
      </c>
      <c r="AA574" s="14" t="s">
        <v>4120</v>
      </c>
      <c r="AB574" s="14" t="s">
        <v>3886</v>
      </c>
      <c r="AD574" s="14" t="s">
        <v>53</v>
      </c>
    </row>
    <row r="575" spans="1:30" ht="27.6" hidden="1" x14ac:dyDescent="0.3">
      <c r="A575" s="1" t="s">
        <v>4264</v>
      </c>
      <c r="B575" s="1" t="s">
        <v>4265</v>
      </c>
      <c r="C575" s="1" t="s">
        <v>3319</v>
      </c>
      <c r="D575" s="1" t="s">
        <v>4266</v>
      </c>
      <c r="E575" s="1" t="s">
        <v>4267</v>
      </c>
      <c r="F575" s="1" t="s">
        <v>4268</v>
      </c>
      <c r="G575" s="1" t="s">
        <v>4269</v>
      </c>
      <c r="H575" s="1" t="s">
        <v>4270</v>
      </c>
      <c r="I575" s="1" t="s">
        <v>4271</v>
      </c>
      <c r="J575" s="1" t="s">
        <v>4272</v>
      </c>
      <c r="K575" s="1" t="s">
        <v>39</v>
      </c>
      <c r="L575" s="1" t="s">
        <v>4273</v>
      </c>
      <c r="M575" s="1" t="s">
        <v>141</v>
      </c>
      <c r="N575" s="1"/>
      <c r="O575" s="1" t="s">
        <v>31</v>
      </c>
      <c r="P575" s="1"/>
      <c r="Q575" s="1"/>
      <c r="R575" s="1"/>
      <c r="S575" s="1" t="s">
        <v>4274</v>
      </c>
      <c r="T575" s="15">
        <v>2022</v>
      </c>
      <c r="U575" s="26" t="s">
        <v>45</v>
      </c>
      <c r="V575" s="13" t="s">
        <v>29</v>
      </c>
      <c r="X575" s="12">
        <v>5</v>
      </c>
      <c r="Z575" s="14" t="s">
        <v>3828</v>
      </c>
      <c r="AA575" s="14" t="s">
        <v>4151</v>
      </c>
      <c r="AB575" s="14" t="s">
        <v>3887</v>
      </c>
      <c r="AD575" s="14" t="s">
        <v>53</v>
      </c>
    </row>
    <row r="576" spans="1:30" hidden="1" x14ac:dyDescent="0.3">
      <c r="A576" s="1" t="s">
        <v>22</v>
      </c>
      <c r="B576" s="1" t="s">
        <v>4255</v>
      </c>
      <c r="C576" s="1" t="s">
        <v>4256</v>
      </c>
      <c r="D576" s="1" t="s">
        <v>4257</v>
      </c>
      <c r="E576" s="1" t="s">
        <v>4258</v>
      </c>
      <c r="F576" s="1" t="s">
        <v>4259</v>
      </c>
      <c r="G576" s="1" t="s">
        <v>4260</v>
      </c>
      <c r="H576" s="1" t="s">
        <v>3945</v>
      </c>
      <c r="I576" s="1" t="s">
        <v>4261</v>
      </c>
      <c r="J576" s="1" t="s">
        <v>72</v>
      </c>
      <c r="K576" s="1" t="s">
        <v>39</v>
      </c>
      <c r="L576" s="1" t="s">
        <v>4262</v>
      </c>
      <c r="M576" s="1" t="s">
        <v>141</v>
      </c>
      <c r="N576" s="1"/>
      <c r="O576" s="1" t="s">
        <v>31</v>
      </c>
      <c r="P576" s="1"/>
      <c r="Q576" s="1"/>
      <c r="R576" s="1"/>
      <c r="S576" s="1" t="s">
        <v>4263</v>
      </c>
      <c r="T576" s="15">
        <v>2022</v>
      </c>
      <c r="U576" s="26" t="s">
        <v>45</v>
      </c>
      <c r="V576" s="13" t="s">
        <v>29</v>
      </c>
      <c r="X576" s="12">
        <v>5</v>
      </c>
      <c r="Z576" s="14" t="s">
        <v>2148</v>
      </c>
      <c r="AA576" s="14" t="s">
        <v>4589</v>
      </c>
      <c r="AB576" s="14" t="s">
        <v>3890</v>
      </c>
      <c r="AD576" s="14" t="s">
        <v>53</v>
      </c>
    </row>
    <row r="577" spans="1:30" hidden="1" x14ac:dyDescent="0.3">
      <c r="A577" s="1"/>
      <c r="B577" s="1" t="s">
        <v>4248</v>
      </c>
      <c r="C577" s="1" t="s">
        <v>79</v>
      </c>
      <c r="D577" s="1" t="s">
        <v>4249</v>
      </c>
      <c r="E577" s="1" t="s">
        <v>4250</v>
      </c>
      <c r="F577" s="1" t="s">
        <v>4251</v>
      </c>
      <c r="G577" s="1"/>
      <c r="H577" s="1"/>
      <c r="I577" s="1"/>
      <c r="J577" s="1" t="s">
        <v>4252</v>
      </c>
      <c r="K577" s="1" t="s">
        <v>39</v>
      </c>
      <c r="L577" s="1" t="s">
        <v>4253</v>
      </c>
      <c r="M577" s="1" t="s">
        <v>42</v>
      </c>
      <c r="N577" s="1"/>
      <c r="O577" s="1" t="s">
        <v>31</v>
      </c>
      <c r="P577" s="1"/>
      <c r="Q577" s="1"/>
      <c r="R577" s="1"/>
      <c r="S577" s="1" t="s">
        <v>4254</v>
      </c>
      <c r="T577" s="15">
        <v>2022</v>
      </c>
      <c r="U577" s="26" t="s">
        <v>45</v>
      </c>
      <c r="V577" s="13" t="s">
        <v>29</v>
      </c>
      <c r="X577" s="12">
        <v>5</v>
      </c>
      <c r="Z577" s="14" t="s">
        <v>3828</v>
      </c>
      <c r="AA577" s="14" t="s">
        <v>4151</v>
      </c>
      <c r="AB577" s="14" t="s">
        <v>3887</v>
      </c>
      <c r="AD577" s="14" t="s">
        <v>53</v>
      </c>
    </row>
    <row r="578" spans="1:30" ht="55.2" x14ac:dyDescent="0.3">
      <c r="A578" s="1" t="s">
        <v>2533</v>
      </c>
      <c r="B578" s="1" t="s">
        <v>4239</v>
      </c>
      <c r="C578" s="1" t="s">
        <v>4240</v>
      </c>
      <c r="D578" s="1" t="s">
        <v>4241</v>
      </c>
      <c r="E578" s="1" t="s">
        <v>4242</v>
      </c>
      <c r="F578" s="1" t="s">
        <v>4243</v>
      </c>
      <c r="G578" s="1" t="s">
        <v>4244</v>
      </c>
      <c r="H578" s="1"/>
      <c r="I578" s="1" t="s">
        <v>4245</v>
      </c>
      <c r="J578" s="1" t="s">
        <v>809</v>
      </c>
      <c r="K578" s="1" t="s">
        <v>39</v>
      </c>
      <c r="L578" s="1" t="s">
        <v>4246</v>
      </c>
      <c r="M578" s="1" t="s">
        <v>42</v>
      </c>
      <c r="N578" s="1"/>
      <c r="O578" s="1" t="s">
        <v>31</v>
      </c>
      <c r="P578" s="1"/>
      <c r="Q578" s="1"/>
      <c r="R578" s="1"/>
      <c r="S578" s="1" t="s">
        <v>4247</v>
      </c>
      <c r="T578" s="15">
        <v>2022</v>
      </c>
      <c r="U578" s="26" t="s">
        <v>45</v>
      </c>
      <c r="V578" s="13" t="s">
        <v>29</v>
      </c>
      <c r="Y578" s="16" t="s">
        <v>10081</v>
      </c>
      <c r="Z578" s="14" t="s">
        <v>3828</v>
      </c>
      <c r="AA578" s="12" t="s">
        <v>4587</v>
      </c>
      <c r="AB578" s="14" t="s">
        <v>3887</v>
      </c>
      <c r="AD578" s="14" t="s">
        <v>4588</v>
      </c>
    </row>
    <row r="579" spans="1:30" ht="55.2" x14ac:dyDescent="0.3">
      <c r="A579" s="1" t="s">
        <v>4229</v>
      </c>
      <c r="B579" s="1" t="s">
        <v>4230</v>
      </c>
      <c r="C579" s="1" t="s">
        <v>4231</v>
      </c>
      <c r="D579" s="1" t="s">
        <v>4232</v>
      </c>
      <c r="E579" s="1" t="s">
        <v>4233</v>
      </c>
      <c r="F579" s="1" t="s">
        <v>4234</v>
      </c>
      <c r="G579" s="1" t="s">
        <v>4235</v>
      </c>
      <c r="H579" s="1" t="s">
        <v>399</v>
      </c>
      <c r="I579" s="1"/>
      <c r="J579" s="1" t="s">
        <v>3939</v>
      </c>
      <c r="K579" s="1" t="s">
        <v>39</v>
      </c>
      <c r="L579" s="1" t="s">
        <v>4236</v>
      </c>
      <c r="M579" s="1" t="s">
        <v>42</v>
      </c>
      <c r="N579" s="1" t="s">
        <v>4237</v>
      </c>
      <c r="O579" s="1" t="s">
        <v>31</v>
      </c>
      <c r="P579" s="1"/>
      <c r="Q579" s="1"/>
      <c r="R579" s="1"/>
      <c r="S579" s="1" t="s">
        <v>4238</v>
      </c>
      <c r="T579" s="15">
        <v>2022</v>
      </c>
      <c r="U579" s="26" t="s">
        <v>45</v>
      </c>
      <c r="V579" s="13" t="s">
        <v>29</v>
      </c>
      <c r="Y579" s="16" t="s">
        <v>10081</v>
      </c>
      <c r="Z579" s="14" t="s">
        <v>3828</v>
      </c>
      <c r="AA579" s="14" t="s">
        <v>4583</v>
      </c>
      <c r="AB579" s="14" t="s">
        <v>3888</v>
      </c>
      <c r="AD579" s="14" t="s">
        <v>53</v>
      </c>
    </row>
    <row r="580" spans="1:30" ht="27.6" hidden="1" x14ac:dyDescent="0.3">
      <c r="A580" s="1"/>
      <c r="B580" s="1" t="s">
        <v>4213</v>
      </c>
      <c r="C580" s="1" t="s">
        <v>4214</v>
      </c>
      <c r="D580" s="1" t="s">
        <v>4215</v>
      </c>
      <c r="E580" s="1" t="s">
        <v>4216</v>
      </c>
      <c r="F580" s="1" t="s">
        <v>4217</v>
      </c>
      <c r="G580" s="1" t="s">
        <v>4218</v>
      </c>
      <c r="H580" s="1" t="s">
        <v>4219</v>
      </c>
      <c r="I580" s="1" t="s">
        <v>81</v>
      </c>
      <c r="J580" s="1" t="s">
        <v>4220</v>
      </c>
      <c r="K580" s="1" t="s">
        <v>39</v>
      </c>
      <c r="L580" s="1" t="s">
        <v>4221</v>
      </c>
      <c r="M580" s="1" t="s">
        <v>42</v>
      </c>
      <c r="N580" s="1"/>
      <c r="O580" s="1" t="s">
        <v>31</v>
      </c>
      <c r="P580" s="1"/>
      <c r="Q580" s="1"/>
      <c r="R580" s="1"/>
      <c r="S580" s="1" t="s">
        <v>4222</v>
      </c>
      <c r="T580" s="15">
        <v>2022</v>
      </c>
      <c r="U580" s="26" t="s">
        <v>45</v>
      </c>
      <c r="V580" s="13" t="s">
        <v>29</v>
      </c>
      <c r="X580" s="12">
        <v>5</v>
      </c>
      <c r="Z580" s="14" t="s">
        <v>3835</v>
      </c>
      <c r="AA580" s="12" t="s">
        <v>4586</v>
      </c>
      <c r="AB580" s="14" t="s">
        <v>3884</v>
      </c>
      <c r="AD580" s="14" t="s">
        <v>53</v>
      </c>
    </row>
    <row r="581" spans="1:30" hidden="1" x14ac:dyDescent="0.3">
      <c r="A581" s="1" t="s">
        <v>4202</v>
      </c>
      <c r="B581" s="1" t="s">
        <v>4203</v>
      </c>
      <c r="C581" s="1" t="s">
        <v>354</v>
      </c>
      <c r="D581" s="1" t="s">
        <v>4204</v>
      </c>
      <c r="E581" s="1" t="s">
        <v>4205</v>
      </c>
      <c r="F581" s="1" t="s">
        <v>4206</v>
      </c>
      <c r="G581" s="1" t="s">
        <v>4207</v>
      </c>
      <c r="H581" s="1" t="s">
        <v>4208</v>
      </c>
      <c r="I581" s="1" t="s">
        <v>4209</v>
      </c>
      <c r="J581" s="1" t="s">
        <v>4210</v>
      </c>
      <c r="K581" s="1" t="s">
        <v>39</v>
      </c>
      <c r="L581" s="1" t="s">
        <v>4211</v>
      </c>
      <c r="M581" s="1" t="s">
        <v>42</v>
      </c>
      <c r="N581" s="1"/>
      <c r="O581" s="1" t="s">
        <v>31</v>
      </c>
      <c r="P581" s="1"/>
      <c r="Q581" s="1"/>
      <c r="R581" s="1"/>
      <c r="S581" s="1" t="s">
        <v>4212</v>
      </c>
      <c r="T581" s="15">
        <v>2022</v>
      </c>
      <c r="U581" s="26" t="s">
        <v>45</v>
      </c>
      <c r="V581" s="13" t="s">
        <v>29</v>
      </c>
      <c r="X581" s="12">
        <v>5</v>
      </c>
      <c r="Z581" s="14" t="s">
        <v>3828</v>
      </c>
      <c r="AA581" s="14" t="s">
        <v>4583</v>
      </c>
      <c r="AB581" s="14" t="s">
        <v>3888</v>
      </c>
      <c r="AD581" s="14" t="s">
        <v>53</v>
      </c>
    </row>
    <row r="582" spans="1:30" hidden="1" x14ac:dyDescent="0.3">
      <c r="A582" s="1" t="s">
        <v>254</v>
      </c>
      <c r="B582" s="1" t="s">
        <v>4194</v>
      </c>
      <c r="C582" s="1" t="s">
        <v>229</v>
      </c>
      <c r="D582" s="1" t="s">
        <v>4195</v>
      </c>
      <c r="E582" s="1" t="s">
        <v>4196</v>
      </c>
      <c r="F582" s="1" t="s">
        <v>4731</v>
      </c>
      <c r="G582" s="1" t="s">
        <v>4197</v>
      </c>
      <c r="H582" s="1" t="s">
        <v>4198</v>
      </c>
      <c r="I582" s="1" t="s">
        <v>4199</v>
      </c>
      <c r="J582" s="1" t="s">
        <v>72</v>
      </c>
      <c r="K582" s="1" t="s">
        <v>39</v>
      </c>
      <c r="L582" s="1" t="s">
        <v>4200</v>
      </c>
      <c r="M582" s="1" t="s">
        <v>141</v>
      </c>
      <c r="N582" s="1"/>
      <c r="O582" s="1" t="s">
        <v>31</v>
      </c>
      <c r="P582" s="1"/>
      <c r="Q582" s="1"/>
      <c r="R582" s="1"/>
      <c r="S582" s="1" t="s">
        <v>4201</v>
      </c>
      <c r="T582" s="15">
        <v>2022</v>
      </c>
      <c r="U582" s="26" t="s">
        <v>45</v>
      </c>
      <c r="V582" s="13" t="s">
        <v>29</v>
      </c>
      <c r="X582" s="12">
        <v>5</v>
      </c>
      <c r="Z582" s="14" t="s">
        <v>3835</v>
      </c>
      <c r="AA582" s="14" t="s">
        <v>4585</v>
      </c>
      <c r="AB582" s="14" t="s">
        <v>3884</v>
      </c>
      <c r="AD582" s="14" t="s">
        <v>53</v>
      </c>
    </row>
    <row r="583" spans="1:30" ht="55.2" x14ac:dyDescent="0.3">
      <c r="A583" s="1" t="s">
        <v>2707</v>
      </c>
      <c r="B583" s="1" t="s">
        <v>203</v>
      </c>
      <c r="C583" s="1" t="s">
        <v>4187</v>
      </c>
      <c r="D583" s="1" t="s">
        <v>4188</v>
      </c>
      <c r="E583" s="1" t="s">
        <v>4189</v>
      </c>
      <c r="F583" s="1" t="s">
        <v>4190</v>
      </c>
      <c r="G583" s="1" t="s">
        <v>4191</v>
      </c>
      <c r="H583" s="1" t="s">
        <v>3730</v>
      </c>
      <c r="I583" s="1"/>
      <c r="J583" s="1" t="s">
        <v>2926</v>
      </c>
      <c r="K583" s="1" t="s">
        <v>39</v>
      </c>
      <c r="L583" s="1" t="s">
        <v>4192</v>
      </c>
      <c r="M583" s="1" t="s">
        <v>42</v>
      </c>
      <c r="N583" s="1"/>
      <c r="O583" s="1" t="s">
        <v>31</v>
      </c>
      <c r="P583" s="1"/>
      <c r="Q583" s="1"/>
      <c r="R583" s="1"/>
      <c r="S583" s="1" t="s">
        <v>4193</v>
      </c>
      <c r="T583" s="15">
        <v>2022</v>
      </c>
      <c r="U583" s="26" t="s">
        <v>45</v>
      </c>
      <c r="V583" s="13" t="s">
        <v>29</v>
      </c>
      <c r="Y583" s="16" t="s">
        <v>10081</v>
      </c>
      <c r="Z583" s="14" t="s">
        <v>2148</v>
      </c>
      <c r="AA583" s="14" t="s">
        <v>4584</v>
      </c>
      <c r="AB583" s="14" t="s">
        <v>3891</v>
      </c>
      <c r="AD583" s="14" t="s">
        <v>53</v>
      </c>
    </row>
    <row r="584" spans="1:30" ht="55.2" hidden="1" x14ac:dyDescent="0.3">
      <c r="A584" s="1"/>
      <c r="B584" s="1" t="s">
        <v>4178</v>
      </c>
      <c r="C584" s="1" t="s">
        <v>2674</v>
      </c>
      <c r="D584" s="1" t="s">
        <v>4179</v>
      </c>
      <c r="E584" s="1" t="s">
        <v>4180</v>
      </c>
      <c r="F584" s="1" t="s">
        <v>4181</v>
      </c>
      <c r="G584" s="1" t="s">
        <v>4182</v>
      </c>
      <c r="H584" s="1" t="s">
        <v>4183</v>
      </c>
      <c r="I584" s="1" t="s">
        <v>549</v>
      </c>
      <c r="J584" s="1" t="s">
        <v>72</v>
      </c>
      <c r="K584" s="1" t="s">
        <v>39</v>
      </c>
      <c r="L584" s="1" t="s">
        <v>4184</v>
      </c>
      <c r="M584" s="1" t="s">
        <v>141</v>
      </c>
      <c r="N584" s="1" t="s">
        <v>4185</v>
      </c>
      <c r="O584" s="1" t="s">
        <v>31</v>
      </c>
      <c r="P584" s="1"/>
      <c r="Q584" s="1"/>
      <c r="R584" s="1"/>
      <c r="S584" s="1" t="s">
        <v>4186</v>
      </c>
      <c r="T584" s="15">
        <v>2022</v>
      </c>
      <c r="U584" s="26" t="s">
        <v>45</v>
      </c>
      <c r="V584" s="13" t="s">
        <v>29</v>
      </c>
      <c r="X584" s="12">
        <v>10</v>
      </c>
      <c r="Z584" s="14" t="s">
        <v>3828</v>
      </c>
      <c r="AA584" s="14" t="s">
        <v>4583</v>
      </c>
      <c r="AB584" s="14" t="s">
        <v>3888</v>
      </c>
      <c r="AD584" s="14" t="s">
        <v>53</v>
      </c>
    </row>
    <row r="585" spans="1:30" hidden="1" x14ac:dyDescent="0.3">
      <c r="A585" s="1" t="s">
        <v>2707</v>
      </c>
      <c r="B585" s="1" t="s">
        <v>3584</v>
      </c>
      <c r="C585" s="1" t="s">
        <v>397</v>
      </c>
      <c r="D585" s="1" t="s">
        <v>4163</v>
      </c>
      <c r="E585" s="1" t="s">
        <v>4164</v>
      </c>
      <c r="F585" s="1" t="s">
        <v>4165</v>
      </c>
      <c r="G585" s="1" t="s">
        <v>4166</v>
      </c>
      <c r="H585" s="1" t="s">
        <v>4167</v>
      </c>
      <c r="I585" s="1" t="s">
        <v>4168</v>
      </c>
      <c r="J585" s="1" t="s">
        <v>339</v>
      </c>
      <c r="K585" s="1" t="s">
        <v>39</v>
      </c>
      <c r="L585" s="1" t="s">
        <v>4169</v>
      </c>
      <c r="M585" s="1" t="s">
        <v>141</v>
      </c>
      <c r="N585" s="1"/>
      <c r="O585" s="1" t="s">
        <v>31</v>
      </c>
      <c r="P585" s="1"/>
      <c r="Q585" s="1"/>
      <c r="R585" s="1"/>
      <c r="S585" s="1" t="s">
        <v>4170</v>
      </c>
      <c r="T585" s="15">
        <v>2022</v>
      </c>
      <c r="U585" s="26" t="s">
        <v>45</v>
      </c>
      <c r="V585" s="13" t="s">
        <v>29</v>
      </c>
      <c r="X585" s="12">
        <v>10</v>
      </c>
      <c r="Z585" s="14" t="s">
        <v>3835</v>
      </c>
      <c r="AA585" s="14" t="s">
        <v>4060</v>
      </c>
      <c r="AB585" s="14" t="s">
        <v>3884</v>
      </c>
      <c r="AD585" s="14" t="s">
        <v>53</v>
      </c>
    </row>
    <row r="586" spans="1:30" ht="55.2" x14ac:dyDescent="0.3">
      <c r="A586" s="1" t="s">
        <v>1482</v>
      </c>
      <c r="B586" s="4" t="s">
        <v>2055</v>
      </c>
      <c r="C586" s="4" t="s">
        <v>4153</v>
      </c>
      <c r="D586" s="1" t="s">
        <v>4154</v>
      </c>
      <c r="E586" s="1" t="s">
        <v>4155</v>
      </c>
      <c r="F586" s="1" t="s">
        <v>4156</v>
      </c>
      <c r="G586" s="1" t="s">
        <v>4157</v>
      </c>
      <c r="H586" s="1" t="s">
        <v>908</v>
      </c>
      <c r="I586" s="1" t="s">
        <v>4158</v>
      </c>
      <c r="J586" s="1" t="s">
        <v>4159</v>
      </c>
      <c r="K586" s="1" t="s">
        <v>4160</v>
      </c>
      <c r="L586" s="1" t="s">
        <v>4161</v>
      </c>
      <c r="M586" s="1" t="s">
        <v>42</v>
      </c>
      <c r="N586" s="1"/>
      <c r="O586" s="1" t="s">
        <v>31</v>
      </c>
      <c r="P586" s="1"/>
      <c r="Q586" s="1"/>
      <c r="R586" s="1"/>
      <c r="S586" s="1" t="s">
        <v>4162</v>
      </c>
      <c r="T586" s="15">
        <v>2022</v>
      </c>
      <c r="U586" s="26" t="s">
        <v>45</v>
      </c>
      <c r="V586" s="13" t="s">
        <v>29</v>
      </c>
      <c r="Y586" s="16" t="s">
        <v>10081</v>
      </c>
      <c r="Z586" s="14" t="s">
        <v>3870</v>
      </c>
      <c r="AA586" s="14" t="s">
        <v>4582</v>
      </c>
      <c r="AB586" s="14" t="s">
        <v>3886</v>
      </c>
      <c r="AD586" s="14" t="s">
        <v>4160</v>
      </c>
    </row>
    <row r="587" spans="1:30" ht="27.6" hidden="1" x14ac:dyDescent="0.3">
      <c r="A587" s="4" t="s">
        <v>4707</v>
      </c>
      <c r="B587" s="4" t="s">
        <v>4708</v>
      </c>
      <c r="C587" s="4" t="s">
        <v>79</v>
      </c>
      <c r="D587" s="4" t="s">
        <v>4709</v>
      </c>
      <c r="E587" s="4" t="s">
        <v>4710</v>
      </c>
      <c r="F587" s="4" t="s">
        <v>4711</v>
      </c>
      <c r="G587" s="4" t="s">
        <v>4712</v>
      </c>
      <c r="H587" s="1" t="s">
        <v>4713</v>
      </c>
      <c r="I587" s="1"/>
      <c r="J587" s="1" t="s">
        <v>4714</v>
      </c>
      <c r="K587" s="1" t="s">
        <v>39</v>
      </c>
      <c r="L587" s="1" t="s">
        <v>4715</v>
      </c>
      <c r="M587" s="1" t="s">
        <v>42</v>
      </c>
      <c r="N587" s="1"/>
      <c r="O587" s="1" t="s">
        <v>31</v>
      </c>
      <c r="P587" s="1"/>
      <c r="Q587" s="1"/>
      <c r="R587" s="1"/>
      <c r="S587" s="1" t="s">
        <v>4716</v>
      </c>
      <c r="T587" s="15"/>
      <c r="U587" s="26" t="s">
        <v>376</v>
      </c>
      <c r="V587" s="13" t="s">
        <v>376</v>
      </c>
      <c r="W587" s="14"/>
      <c r="X587" s="12" t="s">
        <v>376</v>
      </c>
      <c r="Z587" s="14"/>
      <c r="AD587" s="14" t="s">
        <v>53</v>
      </c>
    </row>
    <row r="588" spans="1:30" ht="27.6" hidden="1" x14ac:dyDescent="0.3">
      <c r="A588" s="1"/>
      <c r="B588" s="1" t="s">
        <v>4643</v>
      </c>
      <c r="C588" s="1" t="s">
        <v>124</v>
      </c>
      <c r="D588" s="1" t="s">
        <v>4699</v>
      </c>
      <c r="E588" s="1" t="s">
        <v>4700</v>
      </c>
      <c r="F588" s="1" t="s">
        <v>4701</v>
      </c>
      <c r="G588" s="1" t="s">
        <v>4702</v>
      </c>
      <c r="H588" s="1" t="s">
        <v>4703</v>
      </c>
      <c r="I588" s="1"/>
      <c r="J588" s="1" t="s">
        <v>4704</v>
      </c>
      <c r="K588" s="1" t="s">
        <v>39</v>
      </c>
      <c r="L588" s="1" t="s">
        <v>4705</v>
      </c>
      <c r="M588" s="1" t="s">
        <v>141</v>
      </c>
      <c r="N588" s="1"/>
      <c r="O588" s="1" t="s">
        <v>31</v>
      </c>
      <c r="P588" s="1"/>
      <c r="Q588" s="1"/>
      <c r="R588" s="1"/>
      <c r="S588" s="1" t="s">
        <v>4706</v>
      </c>
      <c r="T588" s="15">
        <v>2022</v>
      </c>
      <c r="U588" s="26" t="s">
        <v>45</v>
      </c>
      <c r="V588" s="13" t="s">
        <v>29</v>
      </c>
      <c r="X588" s="12">
        <v>5</v>
      </c>
      <c r="Z588" s="14" t="s">
        <v>2148</v>
      </c>
      <c r="AA588" s="14" t="s">
        <v>4728</v>
      </c>
      <c r="AB588" s="14" t="s">
        <v>3890</v>
      </c>
      <c r="AD588" s="14" t="s">
        <v>53</v>
      </c>
    </row>
    <row r="589" spans="1:30" hidden="1" x14ac:dyDescent="0.3">
      <c r="A589" s="1"/>
      <c r="B589" s="1" t="s">
        <v>4693</v>
      </c>
      <c r="C589" s="1" t="s">
        <v>1989</v>
      </c>
      <c r="D589" s="1" t="s">
        <v>4694</v>
      </c>
      <c r="E589" s="1" t="s">
        <v>4695</v>
      </c>
      <c r="F589" s="1" t="s">
        <v>4696</v>
      </c>
      <c r="G589" s="1"/>
      <c r="H589" s="1"/>
      <c r="I589" s="1" t="s">
        <v>4697</v>
      </c>
      <c r="J589" s="1" t="s">
        <v>72</v>
      </c>
      <c r="K589" s="1" t="s">
        <v>39</v>
      </c>
      <c r="L589" s="1" t="s">
        <v>4011</v>
      </c>
      <c r="M589" s="1" t="s">
        <v>42</v>
      </c>
      <c r="N589" s="1"/>
      <c r="O589" s="1" t="s">
        <v>31</v>
      </c>
      <c r="P589" s="1"/>
      <c r="Q589" s="1"/>
      <c r="R589" s="1"/>
      <c r="S589" s="1" t="s">
        <v>4698</v>
      </c>
      <c r="T589" s="15">
        <v>2022</v>
      </c>
      <c r="U589" s="26" t="s">
        <v>45</v>
      </c>
      <c r="V589" s="13" t="s">
        <v>29</v>
      </c>
      <c r="X589" s="12">
        <v>10</v>
      </c>
      <c r="Z589" s="14" t="s">
        <v>3828</v>
      </c>
      <c r="AA589" s="14" t="s">
        <v>4727</v>
      </c>
      <c r="AB589" s="14" t="s">
        <v>3888</v>
      </c>
      <c r="AD589" s="14" t="s">
        <v>53</v>
      </c>
    </row>
    <row r="590" spans="1:30" ht="27.6" hidden="1" x14ac:dyDescent="0.3">
      <c r="A590" s="1" t="s">
        <v>4040</v>
      </c>
      <c r="B590" s="1" t="s">
        <v>4684</v>
      </c>
      <c r="C590" s="1" t="s">
        <v>237</v>
      </c>
      <c r="D590" s="1" t="s">
        <v>4685</v>
      </c>
      <c r="E590" s="1" t="s">
        <v>4686</v>
      </c>
      <c r="F590" s="1" t="s">
        <v>4687</v>
      </c>
      <c r="G590" s="1" t="s">
        <v>4688</v>
      </c>
      <c r="H590" s="1" t="s">
        <v>4689</v>
      </c>
      <c r="I590" s="1" t="s">
        <v>4690</v>
      </c>
      <c r="J590" s="1" t="s">
        <v>72</v>
      </c>
      <c r="K590" s="1" t="s">
        <v>39</v>
      </c>
      <c r="L590" s="1" t="s">
        <v>4691</v>
      </c>
      <c r="M590" s="1" t="s">
        <v>141</v>
      </c>
      <c r="N590" s="1"/>
      <c r="O590" s="1" t="s">
        <v>31</v>
      </c>
      <c r="P590" s="1"/>
      <c r="Q590" s="1"/>
      <c r="R590" s="1"/>
      <c r="S590" s="1" t="s">
        <v>4692</v>
      </c>
      <c r="T590" s="15">
        <v>2022</v>
      </c>
      <c r="U590" s="26" t="s">
        <v>45</v>
      </c>
      <c r="V590" s="13" t="s">
        <v>29</v>
      </c>
      <c r="X590" s="12">
        <v>5</v>
      </c>
      <c r="Z590" s="14" t="s">
        <v>3828</v>
      </c>
      <c r="AA590" s="14" t="s">
        <v>4726</v>
      </c>
      <c r="AB590" s="14" t="s">
        <v>3888</v>
      </c>
      <c r="AD590" s="14" t="s">
        <v>53</v>
      </c>
    </row>
    <row r="591" spans="1:30" ht="55.2" x14ac:dyDescent="0.3">
      <c r="A591" s="1"/>
      <c r="B591" s="1" t="s">
        <v>4678</v>
      </c>
      <c r="C591" s="1" t="s">
        <v>4679</v>
      </c>
      <c r="D591" s="1" t="s">
        <v>4680</v>
      </c>
      <c r="E591" s="1" t="s">
        <v>4681</v>
      </c>
      <c r="F591" s="1" t="s">
        <v>4682</v>
      </c>
      <c r="G591" s="1"/>
      <c r="H591" s="1"/>
      <c r="I591" s="1"/>
      <c r="J591" s="1" t="s">
        <v>72</v>
      </c>
      <c r="K591" s="1" t="s">
        <v>39</v>
      </c>
      <c r="L591" s="1" t="s">
        <v>731</v>
      </c>
      <c r="M591" s="1" t="s">
        <v>141</v>
      </c>
      <c r="N591" s="1"/>
      <c r="O591" s="1" t="s">
        <v>31</v>
      </c>
      <c r="P591" s="1"/>
      <c r="Q591" s="1"/>
      <c r="R591" s="1"/>
      <c r="S591" s="1" t="s">
        <v>4683</v>
      </c>
      <c r="T591" s="15">
        <v>2022</v>
      </c>
      <c r="U591" s="26" t="s">
        <v>45</v>
      </c>
      <c r="V591" s="13" t="s">
        <v>29</v>
      </c>
      <c r="Y591" s="16" t="s">
        <v>10081</v>
      </c>
      <c r="Z591" s="14" t="s">
        <v>2148</v>
      </c>
      <c r="AA591" s="14" t="s">
        <v>4725</v>
      </c>
      <c r="AB591" s="14" t="s">
        <v>3891</v>
      </c>
      <c r="AD591" s="14" t="s">
        <v>53</v>
      </c>
    </row>
    <row r="592" spans="1:30" ht="55.2" x14ac:dyDescent="0.3">
      <c r="A592" s="1" t="s">
        <v>1379</v>
      </c>
      <c r="B592" s="1" t="s">
        <v>4670</v>
      </c>
      <c r="C592" s="1" t="s">
        <v>557</v>
      </c>
      <c r="D592" s="1" t="s">
        <v>4723</v>
      </c>
      <c r="E592" s="1" t="s">
        <v>4671</v>
      </c>
      <c r="F592" s="1" t="s">
        <v>4672</v>
      </c>
      <c r="G592" s="1" t="s">
        <v>4673</v>
      </c>
      <c r="H592" s="1" t="s">
        <v>4674</v>
      </c>
      <c r="I592" s="1" t="s">
        <v>4675</v>
      </c>
      <c r="J592" s="1" t="s">
        <v>72</v>
      </c>
      <c r="K592" s="1" t="s">
        <v>39</v>
      </c>
      <c r="L592" s="1" t="s">
        <v>4676</v>
      </c>
      <c r="M592" s="1" t="s">
        <v>42</v>
      </c>
      <c r="N592" s="1"/>
      <c r="O592" s="1" t="s">
        <v>31</v>
      </c>
      <c r="P592" s="1"/>
      <c r="Q592" s="1"/>
      <c r="R592" s="1"/>
      <c r="S592" s="1" t="s">
        <v>4677</v>
      </c>
      <c r="T592" s="15">
        <v>2022</v>
      </c>
      <c r="U592" s="26" t="s">
        <v>45</v>
      </c>
      <c r="V592" s="13" t="s">
        <v>29</v>
      </c>
      <c r="Y592" s="16" t="s">
        <v>10081</v>
      </c>
      <c r="Z592" s="14" t="s">
        <v>3828</v>
      </c>
      <c r="AA592" s="14" t="s">
        <v>4724</v>
      </c>
      <c r="AB592" s="14" t="s">
        <v>3888</v>
      </c>
      <c r="AD592" s="14" t="s">
        <v>53</v>
      </c>
    </row>
    <row r="593" spans="1:30" ht="55.2" x14ac:dyDescent="0.3">
      <c r="A593" s="1" t="s">
        <v>4660</v>
      </c>
      <c r="B593" s="1" t="s">
        <v>4661</v>
      </c>
      <c r="C593" s="1" t="s">
        <v>4662</v>
      </c>
      <c r="D593" s="1" t="s">
        <v>4663</v>
      </c>
      <c r="E593" s="1" t="s">
        <v>4664</v>
      </c>
      <c r="F593" s="1" t="s">
        <v>4665</v>
      </c>
      <c r="G593" s="1" t="s">
        <v>4666</v>
      </c>
      <c r="H593" s="1" t="s">
        <v>3211</v>
      </c>
      <c r="I593" s="1" t="s">
        <v>4667</v>
      </c>
      <c r="J593" s="1" t="s">
        <v>72</v>
      </c>
      <c r="K593" s="1" t="s">
        <v>39</v>
      </c>
      <c r="L593" s="1" t="s">
        <v>4668</v>
      </c>
      <c r="M593" s="1" t="s">
        <v>42</v>
      </c>
      <c r="N593" s="1"/>
      <c r="O593" s="1" t="s">
        <v>31</v>
      </c>
      <c r="P593" s="1"/>
      <c r="Q593" s="1"/>
      <c r="R593" s="1"/>
      <c r="S593" s="1" t="s">
        <v>4669</v>
      </c>
      <c r="T593" s="15">
        <v>2022</v>
      </c>
      <c r="U593" s="26" t="s">
        <v>45</v>
      </c>
      <c r="V593" s="13" t="s">
        <v>29</v>
      </c>
      <c r="Y593" s="16" t="s">
        <v>10081</v>
      </c>
      <c r="Z593" s="14" t="s">
        <v>3870</v>
      </c>
      <c r="AA593" s="14" t="s">
        <v>4722</v>
      </c>
      <c r="AB593" s="14" t="s">
        <v>3886</v>
      </c>
      <c r="AD593" s="14" t="s">
        <v>53</v>
      </c>
    </row>
    <row r="594" spans="1:30" hidden="1" x14ac:dyDescent="0.3">
      <c r="A594" s="1"/>
      <c r="B594" s="1" t="s">
        <v>4651</v>
      </c>
      <c r="C594" s="1" t="s">
        <v>124</v>
      </c>
      <c r="D594" s="1" t="s">
        <v>4652</v>
      </c>
      <c r="E594" s="1" t="s">
        <v>4653</v>
      </c>
      <c r="F594" s="1" t="s">
        <v>4654</v>
      </c>
      <c r="G594" s="1" t="s">
        <v>4655</v>
      </c>
      <c r="H594" s="1" t="s">
        <v>4656</v>
      </c>
      <c r="I594" s="1" t="s">
        <v>4657</v>
      </c>
      <c r="J594" s="1" t="s">
        <v>2926</v>
      </c>
      <c r="K594" s="1" t="s">
        <v>39</v>
      </c>
      <c r="L594" s="1" t="s">
        <v>4658</v>
      </c>
      <c r="M594" s="1" t="s">
        <v>141</v>
      </c>
      <c r="N594" s="1"/>
      <c r="O594" s="1" t="s">
        <v>31</v>
      </c>
      <c r="P594" s="1"/>
      <c r="Q594" s="1"/>
      <c r="R594" s="1"/>
      <c r="S594" s="1" t="s">
        <v>4659</v>
      </c>
      <c r="T594" s="15">
        <v>2022</v>
      </c>
      <c r="U594" s="26" t="s">
        <v>45</v>
      </c>
      <c r="V594" s="13" t="s">
        <v>29</v>
      </c>
      <c r="X594" s="12">
        <v>5</v>
      </c>
      <c r="Z594" s="14" t="s">
        <v>3835</v>
      </c>
      <c r="AA594" s="14" t="s">
        <v>4721</v>
      </c>
      <c r="AB594" s="14" t="s">
        <v>3884</v>
      </c>
      <c r="AD594" s="14" t="s">
        <v>53</v>
      </c>
    </row>
    <row r="595" spans="1:30" ht="55.2" x14ac:dyDescent="0.3">
      <c r="A595" s="1"/>
      <c r="B595" s="1" t="s">
        <v>4643</v>
      </c>
      <c r="C595" s="1" t="s">
        <v>3120</v>
      </c>
      <c r="D595" s="1" t="s">
        <v>4644</v>
      </c>
      <c r="E595" s="1" t="s">
        <v>4645</v>
      </c>
      <c r="F595" s="1" t="s">
        <v>4646</v>
      </c>
      <c r="G595" s="1" t="s">
        <v>4647</v>
      </c>
      <c r="H595" s="1" t="s">
        <v>4648</v>
      </c>
      <c r="I595" s="1" t="s">
        <v>4649</v>
      </c>
      <c r="J595" s="1" t="s">
        <v>72</v>
      </c>
      <c r="K595" s="1" t="s">
        <v>39</v>
      </c>
      <c r="L595" s="1" t="s">
        <v>4295</v>
      </c>
      <c r="M595" s="1" t="s">
        <v>42</v>
      </c>
      <c r="N595" s="1"/>
      <c r="O595" s="1" t="s">
        <v>31</v>
      </c>
      <c r="P595" s="1"/>
      <c r="Q595" s="1"/>
      <c r="R595" s="1"/>
      <c r="S595" s="1" t="s">
        <v>4650</v>
      </c>
      <c r="T595" s="15">
        <v>2022</v>
      </c>
      <c r="U595" s="26" t="s">
        <v>45</v>
      </c>
      <c r="V595" s="13" t="s">
        <v>29</v>
      </c>
      <c r="Y595" s="16" t="s">
        <v>10081</v>
      </c>
      <c r="Z595" s="14" t="s">
        <v>3835</v>
      </c>
      <c r="AA595" s="14" t="s">
        <v>4720</v>
      </c>
      <c r="AB595" s="14" t="s">
        <v>3884</v>
      </c>
      <c r="AD595" s="14" t="s">
        <v>53</v>
      </c>
    </row>
    <row r="596" spans="1:30" hidden="1" x14ac:dyDescent="0.3">
      <c r="A596" s="1"/>
      <c r="B596" s="1" t="s">
        <v>4634</v>
      </c>
      <c r="C596" s="1" t="s">
        <v>4635</v>
      </c>
      <c r="D596" s="1" t="s">
        <v>4636</v>
      </c>
      <c r="E596" s="1" t="s">
        <v>4637</v>
      </c>
      <c r="F596" s="1" t="s">
        <v>4638</v>
      </c>
      <c r="G596" s="1" t="s">
        <v>4639</v>
      </c>
      <c r="H596" s="1" t="s">
        <v>4640</v>
      </c>
      <c r="I596" s="1" t="s">
        <v>589</v>
      </c>
      <c r="J596" s="1" t="s">
        <v>72</v>
      </c>
      <c r="K596" s="1" t="s">
        <v>39</v>
      </c>
      <c r="L596" s="1" t="s">
        <v>4641</v>
      </c>
      <c r="M596" s="1" t="s">
        <v>141</v>
      </c>
      <c r="N596" s="1"/>
      <c r="O596" s="1" t="s">
        <v>31</v>
      </c>
      <c r="P596" s="1"/>
      <c r="Q596" s="1"/>
      <c r="R596" s="1"/>
      <c r="S596" s="1" t="s">
        <v>4642</v>
      </c>
      <c r="T596" s="15">
        <v>2022</v>
      </c>
      <c r="U596" s="26" t="s">
        <v>45</v>
      </c>
      <c r="V596" s="13" t="s">
        <v>29</v>
      </c>
      <c r="X596" s="12">
        <v>10</v>
      </c>
      <c r="Z596" s="14" t="s">
        <v>3835</v>
      </c>
      <c r="AA596" s="14" t="s">
        <v>4718</v>
      </c>
      <c r="AB596" s="14" t="s">
        <v>3884</v>
      </c>
      <c r="AD596" s="14" t="s">
        <v>53</v>
      </c>
    </row>
    <row r="597" spans="1:30" hidden="1" x14ac:dyDescent="0.3">
      <c r="A597" s="1" t="s">
        <v>4627</v>
      </c>
      <c r="B597" s="1" t="s">
        <v>4628</v>
      </c>
      <c r="C597" s="1" t="s">
        <v>523</v>
      </c>
      <c r="D597" s="1" t="s">
        <v>4629</v>
      </c>
      <c r="E597" s="1" t="s">
        <v>4630</v>
      </c>
      <c r="F597" s="1" t="s">
        <v>4631</v>
      </c>
      <c r="G597" s="1"/>
      <c r="H597" s="1"/>
      <c r="I597" s="1"/>
      <c r="J597" s="1" t="s">
        <v>72</v>
      </c>
      <c r="K597" s="1" t="s">
        <v>39</v>
      </c>
      <c r="L597" s="1" t="s">
        <v>4632</v>
      </c>
      <c r="M597" s="1" t="s">
        <v>42</v>
      </c>
      <c r="N597" s="1"/>
      <c r="O597" s="1" t="s">
        <v>31</v>
      </c>
      <c r="P597" s="1"/>
      <c r="Q597" s="1"/>
      <c r="R597" s="1"/>
      <c r="S597" s="1" t="s">
        <v>4633</v>
      </c>
      <c r="T597" s="15">
        <v>2022</v>
      </c>
      <c r="U597" s="26" t="s">
        <v>45</v>
      </c>
      <c r="V597" s="13" t="s">
        <v>29</v>
      </c>
      <c r="X597" s="12">
        <v>10</v>
      </c>
      <c r="Z597" s="14" t="s">
        <v>3870</v>
      </c>
      <c r="AA597" s="14" t="s">
        <v>4719</v>
      </c>
      <c r="AB597" s="14" t="s">
        <v>3886</v>
      </c>
      <c r="AD597" s="14" t="s">
        <v>53</v>
      </c>
    </row>
    <row r="598" spans="1:30" hidden="1" x14ac:dyDescent="0.3">
      <c r="A598" s="1"/>
      <c r="B598" s="1" t="s">
        <v>4619</v>
      </c>
      <c r="C598" s="1" t="s">
        <v>447</v>
      </c>
      <c r="D598" s="1" t="s">
        <v>4620</v>
      </c>
      <c r="E598" s="1" t="s">
        <v>4621</v>
      </c>
      <c r="F598" s="1" t="s">
        <v>4622</v>
      </c>
      <c r="G598" s="1" t="s">
        <v>72</v>
      </c>
      <c r="H598" s="1" t="s">
        <v>4623</v>
      </c>
      <c r="I598" s="1"/>
      <c r="J598" s="1" t="s">
        <v>4624</v>
      </c>
      <c r="K598" s="1" t="s">
        <v>39</v>
      </c>
      <c r="L598" s="1" t="s">
        <v>4625</v>
      </c>
      <c r="M598" s="1" t="s">
        <v>141</v>
      </c>
      <c r="N598" s="1"/>
      <c r="O598" s="1" t="s">
        <v>31</v>
      </c>
      <c r="P598" s="1"/>
      <c r="Q598" s="1"/>
      <c r="R598" s="1"/>
      <c r="S598" s="1" t="s">
        <v>4626</v>
      </c>
      <c r="T598" s="15">
        <v>2022</v>
      </c>
      <c r="U598" s="26" t="s">
        <v>45</v>
      </c>
      <c r="V598" s="13" t="s">
        <v>29</v>
      </c>
      <c r="X598" s="12">
        <v>10</v>
      </c>
      <c r="Z598" s="14" t="s">
        <v>3835</v>
      </c>
      <c r="AA598" s="14" t="s">
        <v>4718</v>
      </c>
      <c r="AB598" s="14" t="s">
        <v>3884</v>
      </c>
      <c r="AD598" s="14" t="s">
        <v>53</v>
      </c>
    </row>
    <row r="599" spans="1:30" hidden="1" x14ac:dyDescent="0.3">
      <c r="A599" s="1"/>
      <c r="B599" s="4" t="s">
        <v>4610</v>
      </c>
      <c r="C599" s="4" t="s">
        <v>958</v>
      </c>
      <c r="D599" s="1" t="s">
        <v>4611</v>
      </c>
      <c r="E599" s="1" t="s">
        <v>4612</v>
      </c>
      <c r="F599" s="1" t="s">
        <v>4613</v>
      </c>
      <c r="G599" s="1" t="s">
        <v>4614</v>
      </c>
      <c r="H599" s="1" t="s">
        <v>4615</v>
      </c>
      <c r="I599" s="1" t="s">
        <v>4616</v>
      </c>
      <c r="J599" s="1" t="s">
        <v>2926</v>
      </c>
      <c r="K599" s="1" t="s">
        <v>39</v>
      </c>
      <c r="L599" s="1" t="s">
        <v>4617</v>
      </c>
      <c r="M599" s="1" t="s">
        <v>42</v>
      </c>
      <c r="N599" s="1"/>
      <c r="O599" s="1" t="s">
        <v>31</v>
      </c>
      <c r="P599" s="1"/>
      <c r="Q599" s="1"/>
      <c r="R599" s="1"/>
      <c r="S599" s="1" t="s">
        <v>4618</v>
      </c>
      <c r="T599" s="15">
        <v>2022</v>
      </c>
      <c r="U599" s="26" t="s">
        <v>45</v>
      </c>
      <c r="V599" s="13" t="s">
        <v>29</v>
      </c>
      <c r="X599" s="12">
        <v>5</v>
      </c>
      <c r="Y599" s="16">
        <v>45012</v>
      </c>
      <c r="Z599" s="14" t="s">
        <v>3835</v>
      </c>
      <c r="AA599" s="14" t="s">
        <v>4718</v>
      </c>
      <c r="AB599" s="14" t="s">
        <v>3884</v>
      </c>
      <c r="AD599" s="14" t="s">
        <v>53</v>
      </c>
    </row>
    <row r="600" spans="1:30" ht="27.6" hidden="1" x14ac:dyDescent="0.3">
      <c r="A600" s="1" t="s">
        <v>2635</v>
      </c>
      <c r="B600" s="1" t="s">
        <v>370</v>
      </c>
      <c r="C600" s="1" t="s">
        <v>4857</v>
      </c>
      <c r="D600" s="1" t="s">
        <v>4858</v>
      </c>
      <c r="E600" s="1"/>
      <c r="F600" s="1" t="s">
        <v>4859</v>
      </c>
      <c r="G600" s="1"/>
      <c r="H600" s="1" t="s">
        <v>4860</v>
      </c>
      <c r="I600" s="1" t="s">
        <v>4861</v>
      </c>
      <c r="J600" s="1" t="s">
        <v>4862</v>
      </c>
      <c r="K600" s="1" t="s">
        <v>39</v>
      </c>
      <c r="L600" s="1" t="s">
        <v>4863</v>
      </c>
      <c r="M600" s="1" t="s">
        <v>141</v>
      </c>
      <c r="N600" s="1"/>
      <c r="O600" s="1" t="s">
        <v>31</v>
      </c>
      <c r="P600" s="1"/>
      <c r="Q600" s="1"/>
      <c r="R600" s="1"/>
      <c r="S600" s="1" t="s">
        <v>4864</v>
      </c>
      <c r="T600" s="15">
        <v>2022</v>
      </c>
      <c r="U600" s="26" t="s">
        <v>45</v>
      </c>
      <c r="V600" s="13" t="s">
        <v>29</v>
      </c>
      <c r="X600" s="12">
        <v>5</v>
      </c>
      <c r="Z600" s="14" t="s">
        <v>3828</v>
      </c>
      <c r="AA600" s="14" t="s">
        <v>4868</v>
      </c>
      <c r="AB600" s="14" t="s">
        <v>3888</v>
      </c>
      <c r="AD600" s="14" t="s">
        <v>53</v>
      </c>
    </row>
    <row r="601" spans="1:30" hidden="1" x14ac:dyDescent="0.3">
      <c r="A601" s="1" t="s">
        <v>1902</v>
      </c>
      <c r="B601" s="1" t="s">
        <v>546</v>
      </c>
      <c r="C601" s="1" t="s">
        <v>557</v>
      </c>
      <c r="D601" s="1" t="s">
        <v>4849</v>
      </c>
      <c r="E601" s="1" t="s">
        <v>4850</v>
      </c>
      <c r="F601" s="1" t="s">
        <v>4851</v>
      </c>
      <c r="G601" s="1" t="s">
        <v>4852</v>
      </c>
      <c r="H601" s="1"/>
      <c r="I601" s="1" t="s">
        <v>4853</v>
      </c>
      <c r="J601" s="1" t="s">
        <v>4854</v>
      </c>
      <c r="K601" s="1" t="s">
        <v>39</v>
      </c>
      <c r="L601" s="1" t="s">
        <v>4855</v>
      </c>
      <c r="M601" s="1" t="s">
        <v>42</v>
      </c>
      <c r="N601" s="1"/>
      <c r="O601" s="1" t="s">
        <v>31</v>
      </c>
      <c r="P601" s="1"/>
      <c r="Q601" s="1"/>
      <c r="R601" s="1"/>
      <c r="S601" s="1" t="s">
        <v>4856</v>
      </c>
      <c r="T601" s="15">
        <v>2022</v>
      </c>
      <c r="U601" s="26" t="s">
        <v>45</v>
      </c>
      <c r="V601" s="13" t="s">
        <v>29</v>
      </c>
      <c r="X601" s="12">
        <v>5</v>
      </c>
      <c r="Z601" s="14" t="s">
        <v>3828</v>
      </c>
      <c r="AA601" s="14" t="s">
        <v>4868</v>
      </c>
      <c r="AB601" s="14" t="s">
        <v>3888</v>
      </c>
      <c r="AD601" s="14" t="s">
        <v>53</v>
      </c>
    </row>
    <row r="602" spans="1:30" hidden="1" x14ac:dyDescent="0.3">
      <c r="A602" s="1"/>
      <c r="B602" s="1" t="s">
        <v>2608</v>
      </c>
      <c r="C602" s="1" t="s">
        <v>2487</v>
      </c>
      <c r="D602" s="1" t="s">
        <v>4843</v>
      </c>
      <c r="E602" s="1"/>
      <c r="F602" s="1" t="s">
        <v>4844</v>
      </c>
      <c r="G602" s="1"/>
      <c r="H602" s="1" t="s">
        <v>4845</v>
      </c>
      <c r="I602" s="1" t="s">
        <v>4846</v>
      </c>
      <c r="J602" s="1" t="s">
        <v>284</v>
      </c>
      <c r="K602" s="1" t="s">
        <v>39</v>
      </c>
      <c r="L602" s="1" t="s">
        <v>4847</v>
      </c>
      <c r="M602" s="1" t="s">
        <v>141</v>
      </c>
      <c r="N602" s="1"/>
      <c r="O602" s="1" t="s">
        <v>31</v>
      </c>
      <c r="P602" s="1"/>
      <c r="Q602" s="1"/>
      <c r="R602" s="1"/>
      <c r="S602" s="1" t="s">
        <v>4848</v>
      </c>
      <c r="T602" s="15">
        <v>2022</v>
      </c>
      <c r="U602" s="26" t="s">
        <v>45</v>
      </c>
      <c r="V602" s="13" t="s">
        <v>29</v>
      </c>
      <c r="X602" s="12">
        <v>5</v>
      </c>
      <c r="Z602" s="14" t="s">
        <v>3835</v>
      </c>
      <c r="AA602" s="14" t="s">
        <v>4867</v>
      </c>
      <c r="AB602" s="14" t="s">
        <v>3884</v>
      </c>
      <c r="AD602" s="14" t="s">
        <v>53</v>
      </c>
    </row>
    <row r="603" spans="1:30" ht="55.2" x14ac:dyDescent="0.3">
      <c r="A603" s="1" t="s">
        <v>1379</v>
      </c>
      <c r="B603" s="1" t="s">
        <v>4832</v>
      </c>
      <c r="C603" s="1" t="s">
        <v>4833</v>
      </c>
      <c r="D603" s="1" t="s">
        <v>4834</v>
      </c>
      <c r="E603" s="1" t="s">
        <v>4835</v>
      </c>
      <c r="F603" s="1" t="s">
        <v>4836</v>
      </c>
      <c r="G603" s="1" t="s">
        <v>4837</v>
      </c>
      <c r="H603" s="1" t="s">
        <v>4838</v>
      </c>
      <c r="I603" s="1" t="s">
        <v>4839</v>
      </c>
      <c r="J603" s="1" t="s">
        <v>4840</v>
      </c>
      <c r="K603" s="1" t="s">
        <v>39</v>
      </c>
      <c r="L603" s="1" t="s">
        <v>4841</v>
      </c>
      <c r="M603" s="1" t="s">
        <v>42</v>
      </c>
      <c r="N603" s="1"/>
      <c r="O603" s="1" t="s">
        <v>31</v>
      </c>
      <c r="P603" s="1"/>
      <c r="Q603" s="1"/>
      <c r="R603" s="1"/>
      <c r="S603" s="1" t="s">
        <v>4842</v>
      </c>
      <c r="T603" s="15">
        <v>2022</v>
      </c>
      <c r="U603" s="26" t="s">
        <v>45</v>
      </c>
      <c r="V603" s="13" t="s">
        <v>29</v>
      </c>
      <c r="Y603" s="16" t="s">
        <v>10081</v>
      </c>
      <c r="Z603" s="14" t="s">
        <v>3828</v>
      </c>
      <c r="AA603" s="14" t="s">
        <v>4866</v>
      </c>
      <c r="AB603" s="14" t="s">
        <v>3887</v>
      </c>
      <c r="AD603" s="14" t="s">
        <v>53</v>
      </c>
    </row>
    <row r="604" spans="1:30" ht="27.6" hidden="1" x14ac:dyDescent="0.3">
      <c r="A604" s="1" t="s">
        <v>3420</v>
      </c>
      <c r="B604" s="1" t="s">
        <v>4826</v>
      </c>
      <c r="C604" s="1" t="s">
        <v>157</v>
      </c>
      <c r="D604" s="1" t="s">
        <v>4865</v>
      </c>
      <c r="E604" s="1" t="s">
        <v>4827</v>
      </c>
      <c r="F604" s="1" t="s">
        <v>4828</v>
      </c>
      <c r="G604" s="1" t="s">
        <v>4829</v>
      </c>
      <c r="H604" s="1" t="s">
        <v>1606</v>
      </c>
      <c r="I604" s="1" t="s">
        <v>191</v>
      </c>
      <c r="J604" s="1" t="s">
        <v>72</v>
      </c>
      <c r="K604" s="1" t="s">
        <v>39</v>
      </c>
      <c r="L604" s="1" t="s">
        <v>4830</v>
      </c>
      <c r="M604" s="1" t="s">
        <v>141</v>
      </c>
      <c r="N604" s="1"/>
      <c r="O604" s="1" t="s">
        <v>31</v>
      </c>
      <c r="P604" s="1"/>
      <c r="Q604" s="1"/>
      <c r="R604" s="1"/>
      <c r="S604" s="1" t="s">
        <v>4831</v>
      </c>
      <c r="T604" s="15">
        <v>2022</v>
      </c>
      <c r="U604" s="26" t="s">
        <v>45</v>
      </c>
      <c r="V604" s="13" t="s">
        <v>29</v>
      </c>
      <c r="X604" s="12">
        <v>5</v>
      </c>
      <c r="Z604" s="14" t="s">
        <v>3828</v>
      </c>
      <c r="AA604" s="14" t="s">
        <v>4869</v>
      </c>
      <c r="AB604" s="14" t="s">
        <v>3888</v>
      </c>
      <c r="AD604" s="14" t="s">
        <v>53</v>
      </c>
    </row>
    <row r="605" spans="1:30" hidden="1" x14ac:dyDescent="0.3">
      <c r="A605" s="1" t="s">
        <v>4819</v>
      </c>
      <c r="B605" s="1" t="s">
        <v>4820</v>
      </c>
      <c r="C605" s="1" t="s">
        <v>447</v>
      </c>
      <c r="D605" s="1" t="s">
        <v>4821</v>
      </c>
      <c r="E605" s="1"/>
      <c r="F605" s="1" t="s">
        <v>4822</v>
      </c>
      <c r="G605" s="1"/>
      <c r="H605" s="1"/>
      <c r="I605" s="1"/>
      <c r="J605" s="1" t="s">
        <v>4823</v>
      </c>
      <c r="K605" s="1" t="s">
        <v>39</v>
      </c>
      <c r="L605" s="1" t="s">
        <v>4824</v>
      </c>
      <c r="M605" s="1" t="s">
        <v>141</v>
      </c>
      <c r="N605" s="1"/>
      <c r="O605" s="1" t="s">
        <v>31</v>
      </c>
      <c r="P605" s="1"/>
      <c r="Q605" s="1"/>
      <c r="R605" s="1"/>
      <c r="S605" s="1" t="s">
        <v>4825</v>
      </c>
      <c r="T605" s="15">
        <v>2022</v>
      </c>
      <c r="U605" s="26" t="s">
        <v>45</v>
      </c>
      <c r="V605" s="13" t="s">
        <v>29</v>
      </c>
      <c r="X605" s="12">
        <v>5</v>
      </c>
      <c r="Z605" s="14" t="s">
        <v>3870</v>
      </c>
      <c r="AA605" s="14" t="s">
        <v>4120</v>
      </c>
      <c r="AB605" s="14" t="s">
        <v>3886</v>
      </c>
      <c r="AD605" s="14" t="s">
        <v>53</v>
      </c>
    </row>
    <row r="606" spans="1:30" hidden="1" x14ac:dyDescent="0.3">
      <c r="A606" s="1"/>
      <c r="B606" s="1" t="s">
        <v>4810</v>
      </c>
      <c r="C606" s="1" t="s">
        <v>1321</v>
      </c>
      <c r="D606" s="1" t="s">
        <v>4811</v>
      </c>
      <c r="E606" s="1" t="s">
        <v>4812</v>
      </c>
      <c r="F606" s="1" t="s">
        <v>4813</v>
      </c>
      <c r="G606" s="1" t="s">
        <v>4814</v>
      </c>
      <c r="H606" s="1" t="s">
        <v>4815</v>
      </c>
      <c r="I606" s="1" t="s">
        <v>4816</v>
      </c>
      <c r="J606" s="1" t="s">
        <v>72</v>
      </c>
      <c r="K606" s="1" t="s">
        <v>39</v>
      </c>
      <c r="L606" s="1" t="s">
        <v>4817</v>
      </c>
      <c r="M606" s="1" t="s">
        <v>42</v>
      </c>
      <c r="N606" s="1"/>
      <c r="O606" s="1" t="s">
        <v>31</v>
      </c>
      <c r="P606" s="1"/>
      <c r="Q606" s="1"/>
      <c r="R606" s="1"/>
      <c r="S606" s="1" t="s">
        <v>4818</v>
      </c>
      <c r="T606" s="15">
        <v>2022</v>
      </c>
      <c r="U606" s="26" t="s">
        <v>45</v>
      </c>
      <c r="V606" s="13" t="s">
        <v>29</v>
      </c>
      <c r="X606" s="12">
        <v>20</v>
      </c>
      <c r="Y606" s="16">
        <v>45012</v>
      </c>
      <c r="Z606" s="14" t="s">
        <v>3828</v>
      </c>
      <c r="AA606" s="12" t="s">
        <v>4870</v>
      </c>
      <c r="AB606" s="14" t="s">
        <v>3888</v>
      </c>
      <c r="AD606" s="14" t="s">
        <v>53</v>
      </c>
    </row>
    <row r="607" spans="1:30" hidden="1" x14ac:dyDescent="0.3">
      <c r="A607" s="1" t="s">
        <v>2716</v>
      </c>
      <c r="B607" s="1" t="s">
        <v>4800</v>
      </c>
      <c r="C607" s="1" t="s">
        <v>4801</v>
      </c>
      <c r="D607" s="1" t="s">
        <v>4802</v>
      </c>
      <c r="E607" s="1" t="s">
        <v>4803</v>
      </c>
      <c r="F607" s="1" t="s">
        <v>4804</v>
      </c>
      <c r="G607" s="1" t="s">
        <v>4805</v>
      </c>
      <c r="H607" s="1" t="s">
        <v>4806</v>
      </c>
      <c r="I607" s="1" t="s">
        <v>4807</v>
      </c>
      <c r="J607" s="1" t="s">
        <v>72</v>
      </c>
      <c r="K607" s="1" t="s">
        <v>39</v>
      </c>
      <c r="L607" s="1" t="s">
        <v>4808</v>
      </c>
      <c r="M607" s="1" t="s">
        <v>42</v>
      </c>
      <c r="N607" s="1"/>
      <c r="O607" s="1" t="s">
        <v>31</v>
      </c>
      <c r="P607" s="1"/>
      <c r="Q607" s="1"/>
      <c r="R607" s="1"/>
      <c r="S607" s="1" t="s">
        <v>4809</v>
      </c>
      <c r="T607" s="15">
        <v>2022</v>
      </c>
      <c r="U607" s="26" t="s">
        <v>45</v>
      </c>
      <c r="V607" s="13" t="s">
        <v>29</v>
      </c>
      <c r="X607" s="12">
        <v>10</v>
      </c>
      <c r="Z607" s="14" t="s">
        <v>3828</v>
      </c>
      <c r="AA607" s="12" t="s">
        <v>4871</v>
      </c>
      <c r="AB607" s="14" t="s">
        <v>3888</v>
      </c>
      <c r="AD607" s="14" t="s">
        <v>53</v>
      </c>
    </row>
    <row r="608" spans="1:30" hidden="1" x14ac:dyDescent="0.3">
      <c r="A608" s="1" t="s">
        <v>908</v>
      </c>
      <c r="B608" s="1" t="s">
        <v>4792</v>
      </c>
      <c r="C608" s="1" t="s">
        <v>181</v>
      </c>
      <c r="D608" s="1" t="s">
        <v>4793</v>
      </c>
      <c r="E608" s="1" t="s">
        <v>4794</v>
      </c>
      <c r="F608" s="1" t="s">
        <v>4795</v>
      </c>
      <c r="G608" s="1" t="s">
        <v>4796</v>
      </c>
      <c r="H608" s="1" t="s">
        <v>4797</v>
      </c>
      <c r="I608" s="1" t="s">
        <v>4798</v>
      </c>
      <c r="J608" s="1" t="s">
        <v>72</v>
      </c>
      <c r="K608" s="1" t="s">
        <v>39</v>
      </c>
      <c r="L608" s="1" t="s">
        <v>731</v>
      </c>
      <c r="M608" s="1" t="s">
        <v>141</v>
      </c>
      <c r="N608" s="1"/>
      <c r="O608" s="1" t="s">
        <v>31</v>
      </c>
      <c r="P608" s="1"/>
      <c r="Q608" s="1"/>
      <c r="R608" s="1"/>
      <c r="S608" s="1" t="s">
        <v>4799</v>
      </c>
      <c r="T608" s="15">
        <v>2022</v>
      </c>
      <c r="U608" s="26" t="s">
        <v>45</v>
      </c>
      <c r="V608" s="13" t="s">
        <v>29</v>
      </c>
      <c r="X608" s="12">
        <v>10</v>
      </c>
      <c r="Z608" s="14" t="s">
        <v>3870</v>
      </c>
      <c r="AA608" s="12" t="s">
        <v>1342</v>
      </c>
      <c r="AB608" s="14" t="s">
        <v>3886</v>
      </c>
      <c r="AD608" s="14" t="s">
        <v>53</v>
      </c>
    </row>
    <row r="609" spans="1:30" ht="55.2" x14ac:dyDescent="0.3">
      <c r="A609" s="1"/>
      <c r="B609" s="1" t="s">
        <v>4784</v>
      </c>
      <c r="C609" s="1" t="s">
        <v>87</v>
      </c>
      <c r="D609" s="1" t="s">
        <v>4785</v>
      </c>
      <c r="E609" s="1"/>
      <c r="F609" s="1" t="s">
        <v>4786</v>
      </c>
      <c r="G609" s="1"/>
      <c r="H609" s="1" t="s">
        <v>4787</v>
      </c>
      <c r="I609" s="1"/>
      <c r="J609" s="1" t="s">
        <v>4788</v>
      </c>
      <c r="K609" s="1" t="s">
        <v>4789</v>
      </c>
      <c r="L609" s="1" t="s">
        <v>4790</v>
      </c>
      <c r="M609" s="1" t="s">
        <v>42</v>
      </c>
      <c r="N609" s="1"/>
      <c r="O609" s="1" t="s">
        <v>31</v>
      </c>
      <c r="P609" s="1"/>
      <c r="Q609" s="1"/>
      <c r="R609" s="1"/>
      <c r="S609" s="1" t="s">
        <v>4791</v>
      </c>
      <c r="T609" s="15">
        <v>2022</v>
      </c>
      <c r="U609" s="26" t="s">
        <v>45</v>
      </c>
      <c r="V609" s="13" t="s">
        <v>29</v>
      </c>
      <c r="Y609" s="16" t="s">
        <v>10081</v>
      </c>
      <c r="Z609" s="14" t="s">
        <v>3828</v>
      </c>
      <c r="AA609" s="12" t="s">
        <v>4872</v>
      </c>
      <c r="AB609" s="14" t="s">
        <v>3885</v>
      </c>
      <c r="AD609" s="14" t="s">
        <v>53</v>
      </c>
    </row>
    <row r="610" spans="1:30" ht="55.2" x14ac:dyDescent="0.3">
      <c r="A610" s="1"/>
      <c r="B610" s="1" t="s">
        <v>4777</v>
      </c>
      <c r="C610" s="1" t="s">
        <v>4778</v>
      </c>
      <c r="D610" s="1" t="s">
        <v>4779</v>
      </c>
      <c r="E610" s="1" t="s">
        <v>4780</v>
      </c>
      <c r="F610" s="1" t="s">
        <v>4781</v>
      </c>
      <c r="G610" s="1" t="s">
        <v>4782</v>
      </c>
      <c r="H610" s="1"/>
      <c r="I610" s="1"/>
      <c r="J610" s="1" t="s">
        <v>4543</v>
      </c>
      <c r="K610" s="1" t="s">
        <v>39</v>
      </c>
      <c r="L610" s="1" t="s">
        <v>1144</v>
      </c>
      <c r="M610" s="1" t="s">
        <v>42</v>
      </c>
      <c r="N610" s="1"/>
      <c r="O610" s="1" t="s">
        <v>31</v>
      </c>
      <c r="P610" s="1"/>
      <c r="Q610" s="1"/>
      <c r="R610" s="1"/>
      <c r="S610" s="1" t="s">
        <v>4783</v>
      </c>
      <c r="T610" s="15">
        <v>2022</v>
      </c>
      <c r="U610" s="26" t="s">
        <v>45</v>
      </c>
      <c r="V610" s="13" t="s">
        <v>29</v>
      </c>
      <c r="Y610" s="16" t="s">
        <v>10081</v>
      </c>
      <c r="Z610" s="14" t="s">
        <v>3835</v>
      </c>
      <c r="AA610" s="12" t="s">
        <v>4873</v>
      </c>
      <c r="AB610" s="14" t="s">
        <v>3884</v>
      </c>
      <c r="AD610" s="14" t="s">
        <v>53</v>
      </c>
    </row>
    <row r="611" spans="1:30" hidden="1" x14ac:dyDescent="0.3">
      <c r="A611" s="1"/>
      <c r="B611" s="1" t="s">
        <v>4768</v>
      </c>
      <c r="C611" s="1" t="s">
        <v>229</v>
      </c>
      <c r="D611" s="1" t="s">
        <v>4769</v>
      </c>
      <c r="E611" s="1" t="s">
        <v>4770</v>
      </c>
      <c r="F611" s="1" t="s">
        <v>4771</v>
      </c>
      <c r="G611" s="1" t="s">
        <v>4772</v>
      </c>
      <c r="H611" s="1" t="s">
        <v>4773</v>
      </c>
      <c r="I611" s="1" t="s">
        <v>4774</v>
      </c>
      <c r="J611" s="1" t="s">
        <v>72</v>
      </c>
      <c r="K611" s="1" t="s">
        <v>39</v>
      </c>
      <c r="L611" s="1" t="s">
        <v>4775</v>
      </c>
      <c r="M611" s="1" t="s">
        <v>42</v>
      </c>
      <c r="N611" s="1"/>
      <c r="O611" s="1" t="s">
        <v>31</v>
      </c>
      <c r="P611" s="1"/>
      <c r="Q611" s="1"/>
      <c r="R611" s="1"/>
      <c r="S611" s="1" t="s">
        <v>4776</v>
      </c>
      <c r="T611" s="15">
        <v>2022</v>
      </c>
      <c r="U611" s="26" t="s">
        <v>45</v>
      </c>
      <c r="V611" s="13" t="s">
        <v>29</v>
      </c>
      <c r="X611" s="12">
        <v>10</v>
      </c>
      <c r="Z611" s="14" t="s">
        <v>3828</v>
      </c>
      <c r="AA611" s="12" t="s">
        <v>4871</v>
      </c>
      <c r="AB611" s="14" t="s">
        <v>3888</v>
      </c>
      <c r="AD611" s="14" t="s">
        <v>53</v>
      </c>
    </row>
    <row r="612" spans="1:30" ht="55.2" x14ac:dyDescent="0.3">
      <c r="A612" s="1" t="s">
        <v>4040</v>
      </c>
      <c r="B612" s="1" t="s">
        <v>4760</v>
      </c>
      <c r="C612" s="1" t="s">
        <v>4122</v>
      </c>
      <c r="D612" s="1" t="s">
        <v>4761</v>
      </c>
      <c r="E612" s="1"/>
      <c r="F612" s="1" t="s">
        <v>4762</v>
      </c>
      <c r="G612" s="1"/>
      <c r="H612" s="1" t="s">
        <v>4763</v>
      </c>
      <c r="I612" s="1" t="s">
        <v>4764</v>
      </c>
      <c r="J612" s="1" t="s">
        <v>4765</v>
      </c>
      <c r="K612" s="1" t="s">
        <v>92</v>
      </c>
      <c r="L612" s="1" t="s">
        <v>4766</v>
      </c>
      <c r="M612" s="1" t="s">
        <v>42</v>
      </c>
      <c r="N612" s="1"/>
      <c r="O612" s="1" t="s">
        <v>31</v>
      </c>
      <c r="P612" s="1"/>
      <c r="Q612" s="1"/>
      <c r="R612" s="1"/>
      <c r="S612" s="1" t="s">
        <v>4767</v>
      </c>
      <c r="T612" s="15">
        <v>2022</v>
      </c>
      <c r="U612" s="26" t="s">
        <v>45</v>
      </c>
      <c r="V612" s="13" t="s">
        <v>29</v>
      </c>
      <c r="Y612" s="16" t="s">
        <v>10081</v>
      </c>
      <c r="Z612" s="14" t="s">
        <v>3828</v>
      </c>
      <c r="AA612" s="12" t="s">
        <v>4869</v>
      </c>
      <c r="AB612" s="14" t="s">
        <v>3888</v>
      </c>
      <c r="AD612" s="14" t="s">
        <v>53</v>
      </c>
    </row>
    <row r="613" spans="1:30" hidden="1" x14ac:dyDescent="0.3">
      <c r="A613" s="1" t="s">
        <v>100</v>
      </c>
      <c r="B613" s="1" t="s">
        <v>1537</v>
      </c>
      <c r="C613" s="1" t="s">
        <v>587</v>
      </c>
      <c r="D613" s="1" t="s">
        <v>4753</v>
      </c>
      <c r="E613" s="1" t="s">
        <v>4754</v>
      </c>
      <c r="F613" s="1" t="s">
        <v>4755</v>
      </c>
      <c r="G613" s="1"/>
      <c r="H613" s="1" t="s">
        <v>4756</v>
      </c>
      <c r="I613" s="1" t="s">
        <v>4757</v>
      </c>
      <c r="J613" s="1" t="s">
        <v>3658</v>
      </c>
      <c r="K613" s="1" t="s">
        <v>39</v>
      </c>
      <c r="L613" s="1" t="s">
        <v>4758</v>
      </c>
      <c r="M613" s="1" t="s">
        <v>42</v>
      </c>
      <c r="N613" s="1"/>
      <c r="O613" s="1" t="s">
        <v>31</v>
      </c>
      <c r="P613" s="1"/>
      <c r="Q613" s="1"/>
      <c r="R613" s="1"/>
      <c r="S613" s="1" t="s">
        <v>4759</v>
      </c>
      <c r="T613" s="15">
        <v>2022</v>
      </c>
      <c r="U613" s="26" t="s">
        <v>45</v>
      </c>
      <c r="V613" s="13" t="s">
        <v>29</v>
      </c>
      <c r="X613" s="12">
        <v>5</v>
      </c>
      <c r="Z613" s="14" t="s">
        <v>3828</v>
      </c>
      <c r="AA613" s="12" t="s">
        <v>4869</v>
      </c>
      <c r="AB613" s="14" t="s">
        <v>3888</v>
      </c>
      <c r="AD613" s="14" t="s">
        <v>53</v>
      </c>
    </row>
    <row r="614" spans="1:30" ht="55.2" hidden="1" x14ac:dyDescent="0.3">
      <c r="A614" s="1" t="s">
        <v>4573</v>
      </c>
      <c r="B614" s="1" t="s">
        <v>4743</v>
      </c>
      <c r="C614" s="1" t="s">
        <v>68</v>
      </c>
      <c r="D614" s="1" t="s">
        <v>4744</v>
      </c>
      <c r="E614" s="1" t="s">
        <v>4745</v>
      </c>
      <c r="F614" s="1" t="s">
        <v>4746</v>
      </c>
      <c r="G614" s="1" t="s">
        <v>4747</v>
      </c>
      <c r="H614" s="1" t="s">
        <v>4748</v>
      </c>
      <c r="I614" s="1" t="s">
        <v>4749</v>
      </c>
      <c r="J614" s="1" t="s">
        <v>284</v>
      </c>
      <c r="K614" s="1" t="s">
        <v>39</v>
      </c>
      <c r="L614" s="1" t="s">
        <v>4750</v>
      </c>
      <c r="M614" s="1" t="s">
        <v>42</v>
      </c>
      <c r="N614" s="1" t="s">
        <v>4751</v>
      </c>
      <c r="O614" s="1" t="s">
        <v>31</v>
      </c>
      <c r="P614" s="1"/>
      <c r="Q614" s="1"/>
      <c r="R614" s="1"/>
      <c r="S614" s="1" t="s">
        <v>4752</v>
      </c>
      <c r="T614" s="15">
        <v>2022</v>
      </c>
      <c r="U614" s="26" t="s">
        <v>45</v>
      </c>
      <c r="V614" s="13" t="s">
        <v>29</v>
      </c>
      <c r="X614" s="12">
        <v>50</v>
      </c>
      <c r="Z614" s="14" t="s">
        <v>3870</v>
      </c>
      <c r="AA614" s="12" t="s">
        <v>1342</v>
      </c>
      <c r="AB614" s="14" t="s">
        <v>3886</v>
      </c>
      <c r="AD614" s="14" t="s">
        <v>53</v>
      </c>
    </row>
    <row r="615" spans="1:30" ht="27.6" hidden="1" x14ac:dyDescent="0.3">
      <c r="A615" s="1" t="s">
        <v>4732</v>
      </c>
      <c r="B615" s="4" t="s">
        <v>4733</v>
      </c>
      <c r="C615" s="4" t="s">
        <v>4734</v>
      </c>
      <c r="D615" s="1" t="s">
        <v>4735</v>
      </c>
      <c r="E615" s="1" t="s">
        <v>4736</v>
      </c>
      <c r="F615" s="1" t="s">
        <v>4737</v>
      </c>
      <c r="G615" s="1"/>
      <c r="H615" s="1" t="s">
        <v>4738</v>
      </c>
      <c r="I615" s="1" t="s">
        <v>4739</v>
      </c>
      <c r="J615" s="1" t="s">
        <v>4740</v>
      </c>
      <c r="K615" s="1" t="s">
        <v>39</v>
      </c>
      <c r="L615" s="1" t="s">
        <v>4741</v>
      </c>
      <c r="M615" s="1" t="s">
        <v>42</v>
      </c>
      <c r="N615" s="1"/>
      <c r="O615" s="1" t="s">
        <v>31</v>
      </c>
      <c r="P615" s="1"/>
      <c r="Q615" s="1"/>
      <c r="R615" s="1"/>
      <c r="S615" s="1" t="s">
        <v>4742</v>
      </c>
      <c r="T615" s="15">
        <v>2022</v>
      </c>
      <c r="U615" s="26" t="s">
        <v>45</v>
      </c>
      <c r="V615" s="13" t="s">
        <v>29</v>
      </c>
      <c r="X615" s="12">
        <v>5</v>
      </c>
      <c r="Z615" s="14" t="s">
        <v>3828</v>
      </c>
      <c r="AA615" s="12" t="s">
        <v>4118</v>
      </c>
      <c r="AB615" s="14" t="s">
        <v>3885</v>
      </c>
      <c r="AD615" s="14" t="s">
        <v>53</v>
      </c>
    </row>
    <row r="616" spans="1:30" s="14" customFormat="1" hidden="1" x14ac:dyDescent="0.3">
      <c r="A616" s="1" t="s">
        <v>1379</v>
      </c>
      <c r="B616" s="1" t="s">
        <v>4907</v>
      </c>
      <c r="C616" s="1" t="s">
        <v>320</v>
      </c>
      <c r="D616" s="1" t="s">
        <v>4908</v>
      </c>
      <c r="E616" s="1" t="s">
        <v>4909</v>
      </c>
      <c r="F616" s="1" t="s">
        <v>4910</v>
      </c>
      <c r="G616" s="1" t="s">
        <v>4911</v>
      </c>
      <c r="H616" s="1" t="s">
        <v>4912</v>
      </c>
      <c r="I616" s="1" t="s">
        <v>4913</v>
      </c>
      <c r="J616" s="1" t="s">
        <v>38</v>
      </c>
      <c r="K616" s="1" t="s">
        <v>39</v>
      </c>
      <c r="L616" s="1" t="s">
        <v>1025</v>
      </c>
      <c r="M616" s="1" t="s">
        <v>141</v>
      </c>
      <c r="N616" s="1"/>
      <c r="O616" s="1" t="s">
        <v>31</v>
      </c>
      <c r="P616" s="1"/>
      <c r="Q616" s="1"/>
      <c r="R616" s="1"/>
      <c r="S616" s="1" t="s">
        <v>4914</v>
      </c>
      <c r="T616" s="15">
        <v>2022</v>
      </c>
      <c r="U616" s="26" t="s">
        <v>45</v>
      </c>
      <c r="V616" s="13" t="s">
        <v>29</v>
      </c>
      <c r="W616" s="12"/>
      <c r="X616" s="12">
        <v>5</v>
      </c>
      <c r="Y616" s="12"/>
      <c r="Z616" s="14" t="s">
        <v>3828</v>
      </c>
      <c r="AA616" s="14" t="s">
        <v>4869</v>
      </c>
      <c r="AB616" s="14" t="s">
        <v>3888</v>
      </c>
      <c r="AC616" s="12"/>
      <c r="AD616" s="14" t="s">
        <v>53</v>
      </c>
    </row>
    <row r="617" spans="1:30" hidden="1" x14ac:dyDescent="0.3">
      <c r="A617" s="1"/>
      <c r="B617" s="1" t="s">
        <v>4902</v>
      </c>
      <c r="C617" s="1" t="s">
        <v>4903</v>
      </c>
      <c r="D617" s="1" t="s">
        <v>4917</v>
      </c>
      <c r="E617" s="1"/>
      <c r="F617" s="1" t="s">
        <v>4904</v>
      </c>
      <c r="G617" s="1"/>
      <c r="H617" s="1"/>
      <c r="I617" s="1"/>
      <c r="J617" s="1" t="s">
        <v>1290</v>
      </c>
      <c r="K617" s="1" t="s">
        <v>39</v>
      </c>
      <c r="L617" s="1" t="s">
        <v>4905</v>
      </c>
      <c r="M617" s="1" t="s">
        <v>42</v>
      </c>
      <c r="N617" s="1"/>
      <c r="O617" s="1" t="s">
        <v>31</v>
      </c>
      <c r="P617" s="1"/>
      <c r="Q617" s="1"/>
      <c r="R617" s="1"/>
      <c r="S617" s="1" t="s">
        <v>4906</v>
      </c>
      <c r="T617" s="15">
        <v>2022</v>
      </c>
      <c r="U617" s="26" t="s">
        <v>45</v>
      </c>
      <c r="V617" s="13" t="s">
        <v>29</v>
      </c>
      <c r="X617" s="12">
        <v>5</v>
      </c>
      <c r="Y617" s="16">
        <v>45012</v>
      </c>
      <c r="Z617" s="14" t="s">
        <v>3835</v>
      </c>
      <c r="AA617" s="14" t="s">
        <v>4918</v>
      </c>
      <c r="AB617" s="14" t="s">
        <v>3884</v>
      </c>
      <c r="AD617" s="14" t="s">
        <v>53</v>
      </c>
    </row>
    <row r="618" spans="1:30" hidden="1" x14ac:dyDescent="0.3">
      <c r="A618" s="1"/>
      <c r="B618" s="1" t="s">
        <v>3203</v>
      </c>
      <c r="C618" s="1" t="s">
        <v>229</v>
      </c>
      <c r="D618" s="1" t="s">
        <v>4894</v>
      </c>
      <c r="E618" s="1" t="s">
        <v>4895</v>
      </c>
      <c r="F618" s="1" t="s">
        <v>4896</v>
      </c>
      <c r="G618" s="1" t="s">
        <v>4897</v>
      </c>
      <c r="H618" s="1" t="s">
        <v>4898</v>
      </c>
      <c r="I618" s="1" t="s">
        <v>4899</v>
      </c>
      <c r="J618" s="1" t="s">
        <v>2480</v>
      </c>
      <c r="K618" s="1" t="s">
        <v>39</v>
      </c>
      <c r="L618" s="1" t="s">
        <v>4900</v>
      </c>
      <c r="M618" s="1" t="s">
        <v>42</v>
      </c>
      <c r="N618" s="1"/>
      <c r="O618" s="1" t="s">
        <v>31</v>
      </c>
      <c r="P618" s="1"/>
      <c r="Q618" s="1"/>
      <c r="R618" s="1"/>
      <c r="S618" s="1" t="s">
        <v>4901</v>
      </c>
      <c r="T618" s="15">
        <v>2022</v>
      </c>
      <c r="U618" s="26" t="s">
        <v>45</v>
      </c>
      <c r="V618" s="13" t="s">
        <v>29</v>
      </c>
      <c r="X618" s="12">
        <v>5</v>
      </c>
      <c r="Z618" s="14" t="s">
        <v>3828</v>
      </c>
      <c r="AA618" s="14" t="s">
        <v>4916</v>
      </c>
      <c r="AB618" s="14" t="s">
        <v>3887</v>
      </c>
      <c r="AD618" s="14" t="s">
        <v>53</v>
      </c>
    </row>
    <row r="619" spans="1:30" ht="55.2" x14ac:dyDescent="0.3">
      <c r="A619" s="1"/>
      <c r="B619" s="1" t="s">
        <v>4888</v>
      </c>
      <c r="C619" s="1" t="s">
        <v>4889</v>
      </c>
      <c r="D619" s="1" t="s">
        <v>4890</v>
      </c>
      <c r="E619" s="1"/>
      <c r="F619" s="1" t="s">
        <v>4891</v>
      </c>
      <c r="G619" s="1"/>
      <c r="H619" s="1"/>
      <c r="I619" s="1"/>
      <c r="J619" s="1" t="s">
        <v>4823</v>
      </c>
      <c r="K619" s="1" t="s">
        <v>39</v>
      </c>
      <c r="L619" s="1" t="s">
        <v>4892</v>
      </c>
      <c r="M619" s="1" t="s">
        <v>42</v>
      </c>
      <c r="N619" s="1"/>
      <c r="O619" s="1" t="s">
        <v>31</v>
      </c>
      <c r="P619" s="1"/>
      <c r="Q619" s="1"/>
      <c r="R619" s="1"/>
      <c r="S619" s="1" t="s">
        <v>4893</v>
      </c>
      <c r="T619" s="15">
        <v>2022</v>
      </c>
      <c r="U619" s="26" t="s">
        <v>45</v>
      </c>
      <c r="V619" s="13" t="s">
        <v>29</v>
      </c>
      <c r="Y619" s="16" t="s">
        <v>10081</v>
      </c>
      <c r="Z619" s="14" t="s">
        <v>3835</v>
      </c>
      <c r="AA619" s="14" t="s">
        <v>4915</v>
      </c>
      <c r="AB619" s="14" t="s">
        <v>3884</v>
      </c>
      <c r="AD619" s="14" t="s">
        <v>53</v>
      </c>
    </row>
    <row r="620" spans="1:30" ht="55.2" x14ac:dyDescent="0.3">
      <c r="A620" s="1" t="s">
        <v>460</v>
      </c>
      <c r="B620" s="1" t="s">
        <v>4881</v>
      </c>
      <c r="C620" s="1" t="s">
        <v>4882</v>
      </c>
      <c r="D620" s="1" t="s">
        <v>4883</v>
      </c>
      <c r="E620" s="1" t="s">
        <v>4884</v>
      </c>
      <c r="F620" s="1" t="s">
        <v>4885</v>
      </c>
      <c r="G620" s="1"/>
      <c r="H620" s="1"/>
      <c r="I620" s="1"/>
      <c r="J620" s="1" t="s">
        <v>72</v>
      </c>
      <c r="K620" s="1" t="s">
        <v>39</v>
      </c>
      <c r="L620" s="1" t="s">
        <v>908</v>
      </c>
      <c r="M620" s="1" t="s">
        <v>42</v>
      </c>
      <c r="N620" s="1"/>
      <c r="O620" s="1" t="s">
        <v>31</v>
      </c>
      <c r="P620" s="1"/>
      <c r="Q620" s="1"/>
      <c r="R620" s="1"/>
      <c r="S620" s="1" t="s">
        <v>4887</v>
      </c>
      <c r="T620" s="15">
        <v>2022</v>
      </c>
      <c r="U620" s="26" t="s">
        <v>45</v>
      </c>
      <c r="V620" s="13" t="s">
        <v>29</v>
      </c>
      <c r="Y620" s="16" t="s">
        <v>10081</v>
      </c>
      <c r="Z620" s="14" t="s">
        <v>3870</v>
      </c>
      <c r="AA620" s="14" t="s">
        <v>4120</v>
      </c>
      <c r="AB620" s="14" t="s">
        <v>3886</v>
      </c>
      <c r="AD620" s="14" t="s">
        <v>53</v>
      </c>
    </row>
    <row r="621" spans="1:30" ht="27.6" hidden="1" x14ac:dyDescent="0.3">
      <c r="A621" s="4" t="s">
        <v>4874</v>
      </c>
      <c r="B621" s="4" t="s">
        <v>4875</v>
      </c>
      <c r="C621" s="4" t="s">
        <v>4876</v>
      </c>
      <c r="D621" s="4" t="s">
        <v>4877</v>
      </c>
      <c r="E621" s="4"/>
      <c r="F621" s="4" t="s">
        <v>4878</v>
      </c>
      <c r="G621" s="4"/>
      <c r="H621" s="4"/>
      <c r="I621" s="4"/>
      <c r="J621" s="4" t="s">
        <v>4879</v>
      </c>
      <c r="K621" s="4" t="s">
        <v>39</v>
      </c>
      <c r="L621" s="4" t="s">
        <v>4880</v>
      </c>
      <c r="M621" s="4" t="s">
        <v>42</v>
      </c>
      <c r="N621" s="4"/>
      <c r="O621" s="4" t="s">
        <v>31</v>
      </c>
      <c r="P621" s="4"/>
      <c r="Q621" s="4"/>
      <c r="R621" s="4"/>
      <c r="S621" s="4" t="s">
        <v>4886</v>
      </c>
      <c r="T621" s="36">
        <v>2022</v>
      </c>
      <c r="U621" s="26" t="s">
        <v>45</v>
      </c>
      <c r="V621" s="13" t="s">
        <v>29</v>
      </c>
      <c r="W621" s="14"/>
      <c r="X621" s="14">
        <v>5</v>
      </c>
      <c r="Y621" s="14"/>
      <c r="Z621" s="14" t="s">
        <v>2148</v>
      </c>
      <c r="AA621" s="14" t="s">
        <v>4945</v>
      </c>
      <c r="AB621" s="14" t="s">
        <v>3890</v>
      </c>
      <c r="AC621" s="14"/>
      <c r="AD621" s="14" t="s">
        <v>53</v>
      </c>
    </row>
    <row r="622" spans="1:30" hidden="1" x14ac:dyDescent="0.3">
      <c r="A622" s="1" t="s">
        <v>4040</v>
      </c>
      <c r="B622" s="1" t="s">
        <v>4935</v>
      </c>
      <c r="C622" s="1" t="s">
        <v>4936</v>
      </c>
      <c r="D622" s="1" t="s">
        <v>4937</v>
      </c>
      <c r="E622" s="1" t="s">
        <v>4938</v>
      </c>
      <c r="F622" s="1" t="s">
        <v>4939</v>
      </c>
      <c r="G622" s="1" t="s">
        <v>4940</v>
      </c>
      <c r="H622" s="1"/>
      <c r="I622" s="1"/>
      <c r="J622" s="1" t="s">
        <v>638</v>
      </c>
      <c r="K622" s="1" t="s">
        <v>39</v>
      </c>
      <c r="L622" s="1" t="s">
        <v>4941</v>
      </c>
      <c r="M622" s="1" t="s">
        <v>42</v>
      </c>
      <c r="N622" s="1"/>
      <c r="O622" s="1" t="s">
        <v>31</v>
      </c>
      <c r="P622" s="1"/>
      <c r="Q622" s="1"/>
      <c r="R622" s="1"/>
      <c r="S622" s="1" t="s">
        <v>4942</v>
      </c>
      <c r="T622" s="15">
        <v>2022</v>
      </c>
      <c r="U622" s="26" t="s">
        <v>45</v>
      </c>
      <c r="V622" s="13" t="s">
        <v>29</v>
      </c>
      <c r="X622" s="12">
        <v>5</v>
      </c>
      <c r="Z622" s="14" t="s">
        <v>3828</v>
      </c>
      <c r="AA622" s="12" t="s">
        <v>4943</v>
      </c>
      <c r="AB622" s="14" t="s">
        <v>3887</v>
      </c>
      <c r="AD622" s="14" t="s">
        <v>53</v>
      </c>
    </row>
    <row r="623" spans="1:30" ht="41.4" hidden="1" x14ac:dyDescent="0.3">
      <c r="A623" s="1"/>
      <c r="B623" s="4" t="s">
        <v>4926</v>
      </c>
      <c r="C623" s="4" t="s">
        <v>4316</v>
      </c>
      <c r="D623" s="1" t="s">
        <v>4927</v>
      </c>
      <c r="E623" s="1" t="s">
        <v>4928</v>
      </c>
      <c r="F623" s="1" t="s">
        <v>4929</v>
      </c>
      <c r="G623" s="1" t="s">
        <v>4930</v>
      </c>
      <c r="H623" s="1" t="s">
        <v>4931</v>
      </c>
      <c r="I623" s="1" t="s">
        <v>4932</v>
      </c>
      <c r="J623" s="1" t="s">
        <v>4823</v>
      </c>
      <c r="K623" s="1" t="s">
        <v>39</v>
      </c>
      <c r="L623" s="1" t="s">
        <v>4933</v>
      </c>
      <c r="M623" s="1" t="s">
        <v>42</v>
      </c>
      <c r="N623" s="1"/>
      <c r="O623" s="1" t="s">
        <v>31</v>
      </c>
      <c r="P623" s="1"/>
      <c r="Q623" s="1"/>
      <c r="R623" s="1"/>
      <c r="S623" s="1" t="s">
        <v>4934</v>
      </c>
      <c r="T623" s="15">
        <v>2022</v>
      </c>
      <c r="U623" s="26" t="s">
        <v>45</v>
      </c>
      <c r="V623" s="13" t="s">
        <v>29</v>
      </c>
      <c r="X623" s="12">
        <v>5</v>
      </c>
      <c r="Y623" s="16" t="s">
        <v>7278</v>
      </c>
      <c r="Z623" s="14" t="s">
        <v>3828</v>
      </c>
      <c r="AA623" s="12" t="s">
        <v>3839</v>
      </c>
      <c r="AB623" s="14" t="s">
        <v>3885</v>
      </c>
      <c r="AD623" s="14" t="s">
        <v>53</v>
      </c>
    </row>
    <row r="624" spans="1:30" ht="41.4" hidden="1" x14ac:dyDescent="0.3">
      <c r="A624" s="1" t="s">
        <v>4919</v>
      </c>
      <c r="B624" s="4" t="s">
        <v>2318</v>
      </c>
      <c r="C624" s="4" t="s">
        <v>4920</v>
      </c>
      <c r="D624" s="1" t="s">
        <v>4944</v>
      </c>
      <c r="E624" s="1"/>
      <c r="F624" s="1" t="s">
        <v>4921</v>
      </c>
      <c r="G624" s="1"/>
      <c r="H624" s="1" t="s">
        <v>4922</v>
      </c>
      <c r="I624" s="1" t="s">
        <v>4923</v>
      </c>
      <c r="J624" s="1" t="s">
        <v>4924</v>
      </c>
      <c r="K624" s="1" t="s">
        <v>39</v>
      </c>
      <c r="L624" s="1" t="s">
        <v>1144</v>
      </c>
      <c r="M624" s="1" t="s">
        <v>42</v>
      </c>
      <c r="N624" s="1"/>
      <c r="O624" s="1" t="s">
        <v>31</v>
      </c>
      <c r="P624" s="1"/>
      <c r="Q624" s="1"/>
      <c r="R624" s="1"/>
      <c r="S624" s="1" t="s">
        <v>4925</v>
      </c>
      <c r="T624" s="15">
        <v>2022</v>
      </c>
      <c r="U624" s="26" t="s">
        <v>45</v>
      </c>
      <c r="V624" s="13" t="s">
        <v>29</v>
      </c>
      <c r="X624" s="12">
        <v>10</v>
      </c>
      <c r="Z624" s="14" t="s">
        <v>3835</v>
      </c>
      <c r="AA624" s="14" t="s">
        <v>1454</v>
      </c>
      <c r="AB624" s="14" t="s">
        <v>3884</v>
      </c>
      <c r="AD624" s="14" t="s">
        <v>53</v>
      </c>
    </row>
    <row r="625" spans="1:30" ht="55.2" x14ac:dyDescent="0.3">
      <c r="B625" s="12" t="s">
        <v>4972</v>
      </c>
      <c r="C625" s="12" t="s">
        <v>320</v>
      </c>
      <c r="D625" s="12" t="s">
        <v>4973</v>
      </c>
      <c r="E625" s="12" t="s">
        <v>4974</v>
      </c>
      <c r="F625" s="12" t="s">
        <v>4975</v>
      </c>
      <c r="J625" s="12" t="s">
        <v>72</v>
      </c>
      <c r="K625" s="12" t="s">
        <v>39</v>
      </c>
      <c r="L625" s="12" t="s">
        <v>4976</v>
      </c>
      <c r="M625" s="12" t="s">
        <v>42</v>
      </c>
      <c r="O625" s="12" t="s">
        <v>31</v>
      </c>
      <c r="S625" s="12" t="s">
        <v>4977</v>
      </c>
      <c r="T625" s="15">
        <v>2022</v>
      </c>
      <c r="U625" s="26" t="s">
        <v>45</v>
      </c>
      <c r="V625" s="13" t="s">
        <v>29</v>
      </c>
      <c r="Y625" s="16" t="s">
        <v>10081</v>
      </c>
      <c r="Z625" s="14" t="s">
        <v>3835</v>
      </c>
      <c r="AA625" s="12" t="s">
        <v>4586</v>
      </c>
      <c r="AB625" s="14" t="s">
        <v>3884</v>
      </c>
      <c r="AD625" s="14" t="s">
        <v>53</v>
      </c>
    </row>
    <row r="626" spans="1:30" hidden="1" x14ac:dyDescent="0.3">
      <c r="B626" s="12" t="s">
        <v>4965</v>
      </c>
      <c r="C626" s="12" t="s">
        <v>361</v>
      </c>
      <c r="D626" s="12" t="s">
        <v>4966</v>
      </c>
      <c r="E626" s="12" t="s">
        <v>4967</v>
      </c>
      <c r="F626" s="12" t="s">
        <v>4968</v>
      </c>
      <c r="G626" s="12" t="s">
        <v>4969</v>
      </c>
      <c r="J626" s="12" t="s">
        <v>72</v>
      </c>
      <c r="K626" s="12" t="s">
        <v>39</v>
      </c>
      <c r="L626" s="12" t="s">
        <v>4970</v>
      </c>
      <c r="M626" s="12" t="s">
        <v>141</v>
      </c>
      <c r="O626" s="12" t="s">
        <v>31</v>
      </c>
      <c r="S626" s="12" t="s">
        <v>4971</v>
      </c>
      <c r="T626" s="15">
        <v>2022</v>
      </c>
      <c r="U626" s="26" t="s">
        <v>45</v>
      </c>
      <c r="V626" s="13" t="s">
        <v>29</v>
      </c>
      <c r="X626" s="12">
        <v>5</v>
      </c>
      <c r="Z626" s="14" t="s">
        <v>3835</v>
      </c>
      <c r="AA626" s="12" t="s">
        <v>4980</v>
      </c>
      <c r="AB626" s="14" t="s">
        <v>3884</v>
      </c>
      <c r="AD626" s="14" t="s">
        <v>53</v>
      </c>
    </row>
    <row r="627" spans="1:30" ht="41.4" hidden="1" x14ac:dyDescent="0.3">
      <c r="A627" s="12" t="s">
        <v>908</v>
      </c>
      <c r="B627" s="12" t="s">
        <v>4960</v>
      </c>
      <c r="C627" s="12" t="s">
        <v>4920</v>
      </c>
      <c r="D627" s="12" t="s">
        <v>4961</v>
      </c>
      <c r="F627" s="12" t="s">
        <v>4962</v>
      </c>
      <c r="J627" s="12" t="s">
        <v>72</v>
      </c>
      <c r="K627" s="12" t="s">
        <v>39</v>
      </c>
      <c r="L627" s="12" t="s">
        <v>4963</v>
      </c>
      <c r="M627" s="12" t="s">
        <v>141</v>
      </c>
      <c r="O627" s="12" t="s">
        <v>31</v>
      </c>
      <c r="S627" s="12" t="s">
        <v>4964</v>
      </c>
      <c r="T627" s="15">
        <v>2022</v>
      </c>
      <c r="U627" s="26" t="s">
        <v>45</v>
      </c>
      <c r="V627" s="13" t="s">
        <v>29</v>
      </c>
      <c r="X627" s="12">
        <v>5</v>
      </c>
      <c r="Z627" s="14" t="s">
        <v>3870</v>
      </c>
      <c r="AA627" s="12" t="s">
        <v>4979</v>
      </c>
      <c r="AB627" s="14" t="s">
        <v>3886</v>
      </c>
      <c r="AD627" s="14" t="s">
        <v>53</v>
      </c>
    </row>
    <row r="628" spans="1:30" ht="55.2" x14ac:dyDescent="0.3">
      <c r="A628" s="12" t="s">
        <v>1388</v>
      </c>
      <c r="B628" s="12" t="s">
        <v>2065</v>
      </c>
      <c r="C628" s="12" t="s">
        <v>2318</v>
      </c>
      <c r="D628" s="12" t="s">
        <v>4953</v>
      </c>
      <c r="E628" s="12" t="s">
        <v>4954</v>
      </c>
      <c r="F628" s="12" t="s">
        <v>4955</v>
      </c>
      <c r="H628" s="12" t="s">
        <v>4956</v>
      </c>
      <c r="I628" s="12" t="s">
        <v>4957</v>
      </c>
      <c r="J628" s="12" t="s">
        <v>382</v>
      </c>
      <c r="K628" s="12" t="s">
        <v>92</v>
      </c>
      <c r="L628" s="12" t="s">
        <v>4958</v>
      </c>
      <c r="M628" s="12" t="s">
        <v>42</v>
      </c>
      <c r="O628" s="12" t="s">
        <v>31</v>
      </c>
      <c r="S628" s="12" t="s">
        <v>4959</v>
      </c>
      <c r="T628" s="15">
        <v>2022</v>
      </c>
      <c r="U628" s="26" t="s">
        <v>45</v>
      </c>
      <c r="V628" s="13" t="s">
        <v>29</v>
      </c>
      <c r="Y628" s="16" t="s">
        <v>10081</v>
      </c>
      <c r="Z628" s="14" t="s">
        <v>3835</v>
      </c>
      <c r="AA628" s="12" t="s">
        <v>4061</v>
      </c>
      <c r="AB628" s="14" t="s">
        <v>3884</v>
      </c>
      <c r="AD628" s="14" t="s">
        <v>53</v>
      </c>
    </row>
    <row r="629" spans="1:30" ht="27.6" hidden="1" x14ac:dyDescent="0.3">
      <c r="A629" s="12" t="s">
        <v>292</v>
      </c>
      <c r="B629" s="14" t="s">
        <v>4947</v>
      </c>
      <c r="C629" s="14" t="s">
        <v>2097</v>
      </c>
      <c r="D629" s="12" t="s">
        <v>4948</v>
      </c>
      <c r="F629" s="12" t="s">
        <v>4949</v>
      </c>
      <c r="H629" s="12" t="s">
        <v>355</v>
      </c>
      <c r="I629" s="12" t="s">
        <v>4950</v>
      </c>
      <c r="J629" s="12" t="s">
        <v>72</v>
      </c>
      <c r="K629" s="12" t="s">
        <v>39</v>
      </c>
      <c r="L629" s="12" t="s">
        <v>4951</v>
      </c>
      <c r="M629" s="12" t="s">
        <v>141</v>
      </c>
      <c r="O629" s="12" t="s">
        <v>31</v>
      </c>
      <c r="S629" s="12" t="s">
        <v>4952</v>
      </c>
      <c r="T629" s="15">
        <v>2022</v>
      </c>
      <c r="U629" s="26" t="s">
        <v>45</v>
      </c>
      <c r="V629" s="13" t="s">
        <v>29</v>
      </c>
      <c r="X629" s="12">
        <v>5</v>
      </c>
      <c r="Z629" s="14" t="s">
        <v>3835</v>
      </c>
      <c r="AA629" s="12" t="s">
        <v>4978</v>
      </c>
      <c r="AB629" s="14" t="s">
        <v>3884</v>
      </c>
      <c r="AD629" s="14" t="s">
        <v>53</v>
      </c>
    </row>
    <row r="630" spans="1:30" hidden="1" x14ac:dyDescent="0.3">
      <c r="A630" s="1"/>
      <c r="B630" s="1" t="s">
        <v>5007</v>
      </c>
      <c r="C630" s="1" t="s">
        <v>397</v>
      </c>
      <c r="D630" s="1" t="s">
        <v>5008</v>
      </c>
      <c r="E630" s="1" t="s">
        <v>5009</v>
      </c>
      <c r="F630" s="1" t="s">
        <v>5010</v>
      </c>
      <c r="G630" s="1" t="s">
        <v>5011</v>
      </c>
      <c r="H630" s="1" t="s">
        <v>5012</v>
      </c>
      <c r="I630" s="1"/>
      <c r="J630" s="1" t="s">
        <v>72</v>
      </c>
      <c r="K630" s="1" t="s">
        <v>39</v>
      </c>
      <c r="L630" s="1" t="s">
        <v>5013</v>
      </c>
      <c r="M630" s="1" t="s">
        <v>141</v>
      </c>
      <c r="N630" s="1"/>
      <c r="O630" s="1" t="s">
        <v>31</v>
      </c>
      <c r="P630" s="1"/>
      <c r="Q630" s="1"/>
      <c r="R630" s="1"/>
      <c r="S630" s="1" t="s">
        <v>5014</v>
      </c>
      <c r="T630" s="38" t="s">
        <v>5019</v>
      </c>
      <c r="U630" s="26" t="s">
        <v>45</v>
      </c>
      <c r="V630" s="13" t="s">
        <v>29</v>
      </c>
      <c r="X630" s="12">
        <v>10</v>
      </c>
      <c r="Z630" s="14" t="s">
        <v>3835</v>
      </c>
      <c r="AA630" s="12" t="s">
        <v>4873</v>
      </c>
      <c r="AB630" s="14" t="s">
        <v>3884</v>
      </c>
      <c r="AD630" s="14" t="s">
        <v>53</v>
      </c>
    </row>
    <row r="631" spans="1:30" hidden="1" x14ac:dyDescent="0.3">
      <c r="A631" s="1" t="s">
        <v>1838</v>
      </c>
      <c r="B631" s="1" t="s">
        <v>4997</v>
      </c>
      <c r="C631" s="1" t="s">
        <v>4998</v>
      </c>
      <c r="D631" s="1" t="s">
        <v>4999</v>
      </c>
      <c r="E631" s="1" t="s">
        <v>5000</v>
      </c>
      <c r="F631" s="1" t="s">
        <v>5001</v>
      </c>
      <c r="G631" s="1" t="s">
        <v>5002</v>
      </c>
      <c r="H631" s="1" t="s">
        <v>5003</v>
      </c>
      <c r="I631" s="1" t="s">
        <v>5004</v>
      </c>
      <c r="J631" s="1" t="s">
        <v>72</v>
      </c>
      <c r="K631" s="1" t="s">
        <v>39</v>
      </c>
      <c r="L631" s="1" t="s">
        <v>5005</v>
      </c>
      <c r="M631" s="1" t="s">
        <v>141</v>
      </c>
      <c r="N631" s="1"/>
      <c r="O631" s="1" t="s">
        <v>31</v>
      </c>
      <c r="P631" s="1"/>
      <c r="Q631" s="1"/>
      <c r="R631" s="1"/>
      <c r="S631" s="1" t="s">
        <v>5006</v>
      </c>
      <c r="T631" s="38" t="s">
        <v>5019</v>
      </c>
      <c r="U631" s="26" t="s">
        <v>45</v>
      </c>
      <c r="V631" s="13" t="s">
        <v>29</v>
      </c>
      <c r="X631" s="12">
        <v>5</v>
      </c>
      <c r="Z631" s="14" t="s">
        <v>3828</v>
      </c>
      <c r="AA631" s="12" t="s">
        <v>5017</v>
      </c>
      <c r="AB631" s="14" t="s">
        <v>3888</v>
      </c>
      <c r="AD631" s="14" t="s">
        <v>53</v>
      </c>
    </row>
    <row r="632" spans="1:30" ht="27.6" hidden="1" x14ac:dyDescent="0.3">
      <c r="A632" s="1" t="s">
        <v>1859</v>
      </c>
      <c r="B632" s="1" t="s">
        <v>4987</v>
      </c>
      <c r="C632" s="1" t="s">
        <v>523</v>
      </c>
      <c r="D632" s="1" t="s">
        <v>4988</v>
      </c>
      <c r="E632" s="1" t="s">
        <v>4989</v>
      </c>
      <c r="F632" s="1" t="s">
        <v>4990</v>
      </c>
      <c r="G632" s="1" t="s">
        <v>4991</v>
      </c>
      <c r="H632" s="1" t="s">
        <v>4992</v>
      </c>
      <c r="I632" s="1" t="s">
        <v>4993</v>
      </c>
      <c r="J632" s="1" t="s">
        <v>4994</v>
      </c>
      <c r="K632" s="1" t="s">
        <v>39</v>
      </c>
      <c r="L632" s="1" t="s">
        <v>4995</v>
      </c>
      <c r="M632" s="1" t="s">
        <v>141</v>
      </c>
      <c r="N632" s="1"/>
      <c r="O632" s="1" t="s">
        <v>31</v>
      </c>
      <c r="P632" s="1"/>
      <c r="Q632" s="1"/>
      <c r="R632" s="1"/>
      <c r="S632" s="1" t="s">
        <v>4996</v>
      </c>
      <c r="T632" s="38" t="s">
        <v>5019</v>
      </c>
      <c r="U632" s="26" t="s">
        <v>45</v>
      </c>
      <c r="V632" s="13" t="s">
        <v>29</v>
      </c>
      <c r="X632" s="12">
        <v>5</v>
      </c>
      <c r="Z632" s="14" t="s">
        <v>3835</v>
      </c>
      <c r="AA632" s="12" t="s">
        <v>5016</v>
      </c>
      <c r="AB632" s="14" t="s">
        <v>3884</v>
      </c>
      <c r="AD632" s="14" t="s">
        <v>53</v>
      </c>
    </row>
    <row r="633" spans="1:30" hidden="1" x14ac:dyDescent="0.3">
      <c r="A633" s="1" t="s">
        <v>49</v>
      </c>
      <c r="B633" s="4" t="s">
        <v>4981</v>
      </c>
      <c r="C633" s="4" t="s">
        <v>466</v>
      </c>
      <c r="D633" s="1" t="s">
        <v>4982</v>
      </c>
      <c r="E633" s="1"/>
      <c r="F633" s="1" t="s">
        <v>4983</v>
      </c>
      <c r="G633" s="1"/>
      <c r="H633" s="1" t="s">
        <v>4984</v>
      </c>
      <c r="I633" s="1" t="s">
        <v>191</v>
      </c>
      <c r="J633" s="1" t="s">
        <v>72</v>
      </c>
      <c r="K633" s="1" t="s">
        <v>39</v>
      </c>
      <c r="L633" s="1" t="s">
        <v>4985</v>
      </c>
      <c r="M633" s="1" t="s">
        <v>141</v>
      </c>
      <c r="N633" s="1"/>
      <c r="O633" s="1" t="s">
        <v>31</v>
      </c>
      <c r="P633" s="1"/>
      <c r="Q633" s="1"/>
      <c r="R633" s="1"/>
      <c r="S633" s="1" t="s">
        <v>4986</v>
      </c>
      <c r="T633" s="38" t="s">
        <v>5019</v>
      </c>
      <c r="U633" s="26" t="s">
        <v>3533</v>
      </c>
      <c r="V633" s="13" t="s">
        <v>708</v>
      </c>
      <c r="X633" s="12">
        <v>5</v>
      </c>
      <c r="Z633" s="14" t="s">
        <v>2148</v>
      </c>
      <c r="AA633" s="12" t="s">
        <v>5015</v>
      </c>
      <c r="AD633" s="14" t="s">
        <v>53</v>
      </c>
    </row>
    <row r="634" spans="1:30" ht="27.6" hidden="1" x14ac:dyDescent="0.3">
      <c r="A634" s="1" t="s">
        <v>5048</v>
      </c>
      <c r="B634" s="1" t="s">
        <v>5049</v>
      </c>
      <c r="C634" s="1" t="s">
        <v>5050</v>
      </c>
      <c r="D634" s="1" t="s">
        <v>5051</v>
      </c>
      <c r="E634" s="1" t="s">
        <v>5052</v>
      </c>
      <c r="F634" s="2" t="s">
        <v>5923</v>
      </c>
      <c r="G634" s="1" t="s">
        <v>5053</v>
      </c>
      <c r="H634" s="1" t="s">
        <v>5054</v>
      </c>
      <c r="I634" s="1" t="s">
        <v>191</v>
      </c>
      <c r="J634" s="1" t="s">
        <v>72</v>
      </c>
      <c r="K634" s="1" t="s">
        <v>39</v>
      </c>
      <c r="L634" s="1" t="s">
        <v>5055</v>
      </c>
      <c r="M634" s="1" t="s">
        <v>141</v>
      </c>
      <c r="N634" s="1"/>
      <c r="O634" s="1" t="s">
        <v>31</v>
      </c>
      <c r="P634" s="1"/>
      <c r="Q634" s="1"/>
      <c r="R634" s="1"/>
      <c r="S634" s="1" t="s">
        <v>5056</v>
      </c>
      <c r="T634" s="39" t="s">
        <v>5019</v>
      </c>
      <c r="U634" s="26" t="s">
        <v>6168</v>
      </c>
      <c r="V634" s="13" t="s">
        <v>708</v>
      </c>
      <c r="X634" s="12">
        <v>5</v>
      </c>
      <c r="Y634" s="16" t="s">
        <v>5979</v>
      </c>
      <c r="Z634" s="14" t="s">
        <v>3828</v>
      </c>
      <c r="AA634" s="14" t="s">
        <v>5087</v>
      </c>
      <c r="AB634" s="14"/>
      <c r="AD634" s="14" t="s">
        <v>53</v>
      </c>
    </row>
    <row r="635" spans="1:30" ht="27.6" hidden="1" x14ac:dyDescent="0.3">
      <c r="A635" s="1" t="s">
        <v>1859</v>
      </c>
      <c r="B635" s="1" t="s">
        <v>5038</v>
      </c>
      <c r="C635" s="1" t="s">
        <v>5039</v>
      </c>
      <c r="D635" s="1" t="s">
        <v>5040</v>
      </c>
      <c r="E635" s="1" t="s">
        <v>5041</v>
      </c>
      <c r="F635" s="1" t="s">
        <v>5042</v>
      </c>
      <c r="G635" s="1" t="s">
        <v>5043</v>
      </c>
      <c r="H635" s="1" t="s">
        <v>5044</v>
      </c>
      <c r="I635" s="1"/>
      <c r="J635" s="1" t="s">
        <v>5045</v>
      </c>
      <c r="K635" s="1" t="s">
        <v>39</v>
      </c>
      <c r="L635" s="1" t="s">
        <v>5046</v>
      </c>
      <c r="M635" s="1" t="s">
        <v>42</v>
      </c>
      <c r="N635" s="1"/>
      <c r="O635" s="1" t="s">
        <v>31</v>
      </c>
      <c r="P635" s="1"/>
      <c r="Q635" s="1"/>
      <c r="R635" s="1"/>
      <c r="S635" s="1" t="s">
        <v>5047</v>
      </c>
      <c r="T635" s="39" t="s">
        <v>5019</v>
      </c>
      <c r="U635" s="26" t="s">
        <v>45</v>
      </c>
      <c r="V635" s="13" t="s">
        <v>29</v>
      </c>
      <c r="X635" s="12">
        <v>5</v>
      </c>
      <c r="Z635" s="14" t="s">
        <v>3835</v>
      </c>
      <c r="AA635" s="14" t="s">
        <v>5057</v>
      </c>
      <c r="AB635" s="14" t="s">
        <v>3884</v>
      </c>
      <c r="AD635" s="14" t="s">
        <v>53</v>
      </c>
    </row>
    <row r="636" spans="1:30" ht="55.2" x14ac:dyDescent="0.3">
      <c r="A636" s="1"/>
      <c r="B636" s="1" t="s">
        <v>5031</v>
      </c>
      <c r="C636" s="1" t="s">
        <v>320</v>
      </c>
      <c r="D636" s="1" t="s">
        <v>5032</v>
      </c>
      <c r="E636" s="1" t="s">
        <v>5033</v>
      </c>
      <c r="F636" s="1" t="s">
        <v>5034</v>
      </c>
      <c r="G636" s="1" t="s">
        <v>5035</v>
      </c>
      <c r="H636" s="1"/>
      <c r="I636" s="1"/>
      <c r="J636" s="1" t="s">
        <v>72</v>
      </c>
      <c r="K636" s="1" t="s">
        <v>39</v>
      </c>
      <c r="L636" s="1" t="s">
        <v>5036</v>
      </c>
      <c r="M636" s="1" t="s">
        <v>42</v>
      </c>
      <c r="N636" s="1"/>
      <c r="O636" s="1" t="s">
        <v>31</v>
      </c>
      <c r="P636" s="1"/>
      <c r="Q636" s="1"/>
      <c r="R636" s="1"/>
      <c r="S636" s="1" t="s">
        <v>5037</v>
      </c>
      <c r="T636" s="39" t="s">
        <v>5019</v>
      </c>
      <c r="U636" s="26" t="s">
        <v>45</v>
      </c>
      <c r="V636" s="13" t="s">
        <v>29</v>
      </c>
      <c r="Y636" s="16" t="s">
        <v>10081</v>
      </c>
      <c r="Z636" s="14" t="s">
        <v>3835</v>
      </c>
      <c r="AA636" s="14" t="s">
        <v>4873</v>
      </c>
      <c r="AB636" s="14" t="s">
        <v>3884</v>
      </c>
      <c r="AD636" s="14" t="s">
        <v>53</v>
      </c>
    </row>
    <row r="637" spans="1:30" hidden="1" x14ac:dyDescent="0.3">
      <c r="A637" s="1"/>
      <c r="B637" s="4" t="s">
        <v>5023</v>
      </c>
      <c r="C637" s="4" t="s">
        <v>5024</v>
      </c>
      <c r="D637" s="1" t="s">
        <v>5025</v>
      </c>
      <c r="E637" s="1" t="s">
        <v>5026</v>
      </c>
      <c r="F637" s="1" t="s">
        <v>5027</v>
      </c>
      <c r="G637" s="1"/>
      <c r="H637" s="1" t="s">
        <v>5028</v>
      </c>
      <c r="I637" s="1"/>
      <c r="J637" s="1" t="s">
        <v>1290</v>
      </c>
      <c r="K637" s="1" t="s">
        <v>39</v>
      </c>
      <c r="L637" s="1" t="s">
        <v>5029</v>
      </c>
      <c r="M637" s="1" t="s">
        <v>42</v>
      </c>
      <c r="N637" s="1"/>
      <c r="O637" s="1" t="s">
        <v>31</v>
      </c>
      <c r="P637" s="1"/>
      <c r="Q637" s="1"/>
      <c r="R637" s="1"/>
      <c r="S637" s="1" t="s">
        <v>5030</v>
      </c>
      <c r="T637" s="39" t="s">
        <v>5019</v>
      </c>
      <c r="U637" s="26" t="s">
        <v>45</v>
      </c>
      <c r="V637" s="13" t="s">
        <v>29</v>
      </c>
      <c r="X637" s="12">
        <v>5</v>
      </c>
      <c r="Z637" s="14" t="s">
        <v>3870</v>
      </c>
      <c r="AA637" s="14" t="s">
        <v>4059</v>
      </c>
      <c r="AB637" s="14" t="s">
        <v>3886</v>
      </c>
      <c r="AD637" s="14" t="s">
        <v>53</v>
      </c>
    </row>
    <row r="638" spans="1:30" ht="27.6" hidden="1" x14ac:dyDescent="0.3">
      <c r="A638" s="1" t="s">
        <v>100</v>
      </c>
      <c r="B638" s="1" t="s">
        <v>5077</v>
      </c>
      <c r="C638" s="1" t="s">
        <v>320</v>
      </c>
      <c r="D638" s="1" t="s">
        <v>5078</v>
      </c>
      <c r="E638" s="1" t="s">
        <v>5079</v>
      </c>
      <c r="F638" s="1" t="s">
        <v>5080</v>
      </c>
      <c r="G638" s="1" t="s">
        <v>5081</v>
      </c>
      <c r="H638" s="1" t="s">
        <v>5082</v>
      </c>
      <c r="I638" s="1" t="s">
        <v>5083</v>
      </c>
      <c r="J638" s="1" t="s">
        <v>3286</v>
      </c>
      <c r="K638" s="1" t="s">
        <v>39</v>
      </c>
      <c r="L638" s="1" t="s">
        <v>5084</v>
      </c>
      <c r="M638" s="1" t="s">
        <v>141</v>
      </c>
      <c r="N638" s="1" t="s">
        <v>5085</v>
      </c>
      <c r="O638" s="1" t="s">
        <v>31</v>
      </c>
      <c r="P638" s="1"/>
      <c r="Q638" s="1"/>
      <c r="R638" s="1"/>
      <c r="S638" s="1" t="s">
        <v>5086</v>
      </c>
      <c r="T638" s="38" t="s">
        <v>5019</v>
      </c>
      <c r="U638" s="26" t="s">
        <v>45</v>
      </c>
      <c r="V638" s="13" t="s">
        <v>29</v>
      </c>
      <c r="X638" s="12">
        <v>5</v>
      </c>
      <c r="Z638" s="14" t="s">
        <v>3828</v>
      </c>
      <c r="AA638" s="12" t="s">
        <v>5088</v>
      </c>
      <c r="AB638" s="14" t="s">
        <v>3888</v>
      </c>
      <c r="AD638" s="14" t="s">
        <v>53</v>
      </c>
    </row>
    <row r="639" spans="1:30" ht="41.4" hidden="1" x14ac:dyDescent="0.3">
      <c r="A639" s="1" t="s">
        <v>5065</v>
      </c>
      <c r="B639" s="1" t="s">
        <v>5066</v>
      </c>
      <c r="C639" s="1" t="s">
        <v>5067</v>
      </c>
      <c r="D639" s="1" t="s">
        <v>5068</v>
      </c>
      <c r="E639" s="1" t="s">
        <v>5069</v>
      </c>
      <c r="F639" s="1" t="s">
        <v>5070</v>
      </c>
      <c r="G639" s="1" t="s">
        <v>5071</v>
      </c>
      <c r="H639" s="1" t="s">
        <v>5072</v>
      </c>
      <c r="I639" s="1" t="s">
        <v>5073</v>
      </c>
      <c r="J639" s="1" t="s">
        <v>5074</v>
      </c>
      <c r="K639" s="1" t="s">
        <v>39</v>
      </c>
      <c r="L639" s="1" t="s">
        <v>5075</v>
      </c>
      <c r="M639" s="1" t="s">
        <v>141</v>
      </c>
      <c r="N639" s="1"/>
      <c r="O639" s="1" t="s">
        <v>31</v>
      </c>
      <c r="P639" s="1"/>
      <c r="Q639" s="1"/>
      <c r="R639" s="1"/>
      <c r="S639" s="1" t="s">
        <v>5076</v>
      </c>
      <c r="T639" s="38" t="s">
        <v>5019</v>
      </c>
      <c r="U639" s="26" t="s">
        <v>45</v>
      </c>
      <c r="V639" s="13" t="s">
        <v>29</v>
      </c>
      <c r="X639" s="12">
        <v>5</v>
      </c>
      <c r="Z639" s="14" t="s">
        <v>3835</v>
      </c>
      <c r="AA639" s="14" t="s">
        <v>5057</v>
      </c>
      <c r="AB639" s="14" t="s">
        <v>3884</v>
      </c>
      <c r="AD639" s="14" t="s">
        <v>53</v>
      </c>
    </row>
    <row r="640" spans="1:30" hidden="1" x14ac:dyDescent="0.3">
      <c r="A640" s="1" t="s">
        <v>908</v>
      </c>
      <c r="B640" s="4" t="s">
        <v>5059</v>
      </c>
      <c r="C640" s="4" t="s">
        <v>68</v>
      </c>
      <c r="D640" s="1" t="s">
        <v>5060</v>
      </c>
      <c r="E640" s="1" t="s">
        <v>5061</v>
      </c>
      <c r="F640" s="1" t="s">
        <v>5062</v>
      </c>
      <c r="G640" s="1"/>
      <c r="H640" s="1" t="s">
        <v>399</v>
      </c>
      <c r="I640" s="1" t="s">
        <v>5063</v>
      </c>
      <c r="J640" s="1" t="s">
        <v>72</v>
      </c>
      <c r="K640" s="1" t="s">
        <v>39</v>
      </c>
      <c r="L640" s="1" t="s">
        <v>731</v>
      </c>
      <c r="M640" s="1" t="s">
        <v>141</v>
      </c>
      <c r="N640" s="1"/>
      <c r="O640" s="1" t="s">
        <v>31</v>
      </c>
      <c r="P640" s="1"/>
      <c r="Q640" s="1"/>
      <c r="R640" s="1"/>
      <c r="S640" s="1" t="s">
        <v>5064</v>
      </c>
      <c r="T640" s="38" t="s">
        <v>5019</v>
      </c>
      <c r="U640" s="26" t="s">
        <v>45</v>
      </c>
      <c r="V640" s="13" t="s">
        <v>29</v>
      </c>
      <c r="X640" s="12">
        <v>20</v>
      </c>
      <c r="Z640" s="14" t="s">
        <v>3870</v>
      </c>
      <c r="AA640" s="14" t="s">
        <v>4059</v>
      </c>
      <c r="AB640" s="14" t="s">
        <v>3886</v>
      </c>
      <c r="AD640" s="14" t="s">
        <v>53</v>
      </c>
    </row>
    <row r="641" spans="1:30" hidden="1" x14ac:dyDescent="0.3">
      <c r="A641" s="1" t="s">
        <v>908</v>
      </c>
      <c r="B641" s="1" t="s">
        <v>5116</v>
      </c>
      <c r="C641" s="1" t="s">
        <v>68</v>
      </c>
      <c r="D641" s="1" t="s">
        <v>5117</v>
      </c>
      <c r="E641" s="1" t="s">
        <v>5118</v>
      </c>
      <c r="F641" s="1" t="s">
        <v>5119</v>
      </c>
      <c r="G641" s="1"/>
      <c r="H641" s="1"/>
      <c r="I641" s="1"/>
      <c r="J641" s="1" t="s">
        <v>3286</v>
      </c>
      <c r="K641" s="1" t="s">
        <v>39</v>
      </c>
      <c r="L641" s="1" t="s">
        <v>5120</v>
      </c>
      <c r="M641" s="1" t="s">
        <v>141</v>
      </c>
      <c r="N641" s="1"/>
      <c r="O641" s="1" t="s">
        <v>31</v>
      </c>
      <c r="P641" s="1"/>
      <c r="Q641" s="1"/>
      <c r="R641" s="1"/>
      <c r="S641" s="1" t="s">
        <v>5121</v>
      </c>
      <c r="T641" s="15">
        <v>2023</v>
      </c>
      <c r="U641" s="26" t="s">
        <v>45</v>
      </c>
      <c r="V641" s="13" t="s">
        <v>29</v>
      </c>
      <c r="X641" s="12">
        <v>20</v>
      </c>
      <c r="Z641" s="14" t="s">
        <v>3870</v>
      </c>
      <c r="AA641" s="14" t="s">
        <v>4059</v>
      </c>
      <c r="AB641" s="14" t="s">
        <v>3886</v>
      </c>
      <c r="AD641" s="14" t="s">
        <v>53</v>
      </c>
    </row>
    <row r="642" spans="1:30" hidden="1" x14ac:dyDescent="0.3">
      <c r="A642" s="1"/>
      <c r="B642" s="1" t="s">
        <v>5108</v>
      </c>
      <c r="C642" s="1" t="s">
        <v>189</v>
      </c>
      <c r="D642" s="1" t="s">
        <v>5109</v>
      </c>
      <c r="E642" s="1" t="s">
        <v>5110</v>
      </c>
      <c r="F642" s="1" t="s">
        <v>5111</v>
      </c>
      <c r="G642" s="1" t="s">
        <v>5112</v>
      </c>
      <c r="H642" s="1" t="s">
        <v>1389</v>
      </c>
      <c r="I642" s="1" t="s">
        <v>5113</v>
      </c>
      <c r="J642" s="1" t="s">
        <v>72</v>
      </c>
      <c r="K642" s="1" t="s">
        <v>39</v>
      </c>
      <c r="L642" s="1" t="s">
        <v>5114</v>
      </c>
      <c r="M642" s="1" t="s">
        <v>141</v>
      </c>
      <c r="N642" s="1"/>
      <c r="O642" s="1" t="s">
        <v>31</v>
      </c>
      <c r="P642" s="1"/>
      <c r="Q642" s="1"/>
      <c r="R642" s="1"/>
      <c r="S642" s="1" t="s">
        <v>5115</v>
      </c>
      <c r="T642" s="15">
        <v>2023</v>
      </c>
      <c r="U642" s="26" t="s">
        <v>45</v>
      </c>
      <c r="V642" s="13" t="s">
        <v>29</v>
      </c>
      <c r="X642" s="12">
        <v>5</v>
      </c>
      <c r="Z642" s="14" t="s">
        <v>3828</v>
      </c>
      <c r="AA642" s="14" t="s">
        <v>4869</v>
      </c>
      <c r="AB642" s="14" t="s">
        <v>3888</v>
      </c>
      <c r="AD642" s="14" t="s">
        <v>53</v>
      </c>
    </row>
    <row r="643" spans="1:30" ht="41.4" hidden="1" x14ac:dyDescent="0.3">
      <c r="A643" s="1" t="s">
        <v>5100</v>
      </c>
      <c r="B643" s="1" t="s">
        <v>5101</v>
      </c>
      <c r="C643" s="1" t="s">
        <v>181</v>
      </c>
      <c r="D643" s="1" t="s">
        <v>5123</v>
      </c>
      <c r="E643" s="1" t="s">
        <v>5102</v>
      </c>
      <c r="F643" s="1" t="s">
        <v>5103</v>
      </c>
      <c r="G643" s="1" t="s">
        <v>5104</v>
      </c>
      <c r="H643" s="1" t="s">
        <v>5105</v>
      </c>
      <c r="I643" s="1" t="s">
        <v>5106</v>
      </c>
      <c r="J643" s="1" t="s">
        <v>72</v>
      </c>
      <c r="K643" s="1" t="s">
        <v>39</v>
      </c>
      <c r="L643" s="1" t="s">
        <v>1144</v>
      </c>
      <c r="M643" s="1" t="s">
        <v>42</v>
      </c>
      <c r="N643" s="1"/>
      <c r="O643" s="1" t="s">
        <v>31</v>
      </c>
      <c r="P643" s="1"/>
      <c r="Q643" s="1"/>
      <c r="R643" s="1"/>
      <c r="S643" s="1" t="s">
        <v>5107</v>
      </c>
      <c r="T643" s="15">
        <v>2023</v>
      </c>
      <c r="U643" s="26" t="s">
        <v>45</v>
      </c>
      <c r="V643" s="13" t="s">
        <v>29</v>
      </c>
      <c r="X643" s="12">
        <v>5</v>
      </c>
      <c r="Z643" s="14" t="s">
        <v>3828</v>
      </c>
      <c r="AA643" s="14" t="s">
        <v>5124</v>
      </c>
      <c r="AB643" s="14" t="s">
        <v>3885</v>
      </c>
      <c r="AD643" s="14" t="s">
        <v>53</v>
      </c>
    </row>
    <row r="644" spans="1:30" ht="55.2" hidden="1" x14ac:dyDescent="0.3">
      <c r="A644" s="1" t="s">
        <v>5091</v>
      </c>
      <c r="B644" s="4" t="s">
        <v>5092</v>
      </c>
      <c r="C644" s="4" t="s">
        <v>3319</v>
      </c>
      <c r="D644" s="1" t="s">
        <v>5093</v>
      </c>
      <c r="E644" s="1" t="s">
        <v>5094</v>
      </c>
      <c r="F644" s="1" t="s">
        <v>5095</v>
      </c>
      <c r="G644" s="1" t="s">
        <v>5096</v>
      </c>
      <c r="H644" s="1" t="s">
        <v>5097</v>
      </c>
      <c r="I644" s="1" t="s">
        <v>4898</v>
      </c>
      <c r="J644" s="1" t="s">
        <v>72</v>
      </c>
      <c r="K644" s="1" t="s">
        <v>39</v>
      </c>
      <c r="L644" s="1" t="s">
        <v>5098</v>
      </c>
      <c r="M644" s="1" t="s">
        <v>42</v>
      </c>
      <c r="N644" s="1"/>
      <c r="O644" s="1" t="s">
        <v>31</v>
      </c>
      <c r="P644" s="1"/>
      <c r="Q644" s="1"/>
      <c r="R644" s="1"/>
      <c r="S644" s="1" t="s">
        <v>5099</v>
      </c>
      <c r="T644" s="38" t="s">
        <v>5019</v>
      </c>
      <c r="U644" s="26" t="s">
        <v>45</v>
      </c>
      <c r="V644" s="13" t="s">
        <v>29</v>
      </c>
      <c r="X644" s="12">
        <v>5</v>
      </c>
      <c r="Z644" s="14" t="s">
        <v>3835</v>
      </c>
      <c r="AA644" s="14" t="s">
        <v>5122</v>
      </c>
      <c r="AB644" s="14" t="s">
        <v>3884</v>
      </c>
      <c r="AD644" s="14" t="s">
        <v>53</v>
      </c>
    </row>
    <row r="645" spans="1:30" hidden="1" x14ac:dyDescent="0.3">
      <c r="A645" s="1"/>
      <c r="B645" s="1" t="s">
        <v>2318</v>
      </c>
      <c r="C645" s="1" t="s">
        <v>3326</v>
      </c>
      <c r="D645" s="1" t="s">
        <v>5197</v>
      </c>
      <c r="E645" s="1" t="s">
        <v>5198</v>
      </c>
      <c r="F645" s="2" t="s">
        <v>5199</v>
      </c>
      <c r="G645" s="1" t="s">
        <v>5200</v>
      </c>
      <c r="H645" s="1" t="s">
        <v>5201</v>
      </c>
      <c r="I645" s="1" t="s">
        <v>5202</v>
      </c>
      <c r="J645" s="1" t="s">
        <v>72</v>
      </c>
      <c r="K645" s="1" t="s">
        <v>39</v>
      </c>
      <c r="L645" s="1" t="s">
        <v>5203</v>
      </c>
      <c r="M645" s="1" t="s">
        <v>42</v>
      </c>
      <c r="N645" s="1"/>
      <c r="O645" s="1" t="s">
        <v>31</v>
      </c>
      <c r="P645" s="1"/>
      <c r="Q645" s="1"/>
      <c r="R645" s="1"/>
      <c r="S645" s="1" t="s">
        <v>5204</v>
      </c>
      <c r="T645" s="15">
        <v>2023</v>
      </c>
      <c r="U645" s="26" t="s">
        <v>45</v>
      </c>
      <c r="V645" s="13" t="s">
        <v>29</v>
      </c>
      <c r="X645" s="12">
        <v>10</v>
      </c>
      <c r="Z645" s="14" t="s">
        <v>3828</v>
      </c>
      <c r="AA645" s="12" t="s">
        <v>5211</v>
      </c>
      <c r="AB645" s="14" t="s">
        <v>3885</v>
      </c>
      <c r="AD645" s="12" t="s">
        <v>764</v>
      </c>
    </row>
    <row r="646" spans="1:30" ht="27.6" hidden="1" x14ac:dyDescent="0.3">
      <c r="A646" s="1" t="s">
        <v>100</v>
      </c>
      <c r="B646" s="1" t="s">
        <v>586</v>
      </c>
      <c r="C646" s="1" t="s">
        <v>181</v>
      </c>
      <c r="D646" s="1" t="s">
        <v>5191</v>
      </c>
      <c r="E646" s="1" t="s">
        <v>5192</v>
      </c>
      <c r="F646" s="1" t="s">
        <v>5193</v>
      </c>
      <c r="G646" s="1"/>
      <c r="H646" s="1" t="s">
        <v>5194</v>
      </c>
      <c r="I646" s="1" t="s">
        <v>191</v>
      </c>
      <c r="J646" s="1" t="s">
        <v>4543</v>
      </c>
      <c r="K646" s="1" t="s">
        <v>39</v>
      </c>
      <c r="L646" s="1" t="s">
        <v>5195</v>
      </c>
      <c r="M646" s="1" t="s">
        <v>141</v>
      </c>
      <c r="N646" s="1"/>
      <c r="O646" s="1" t="s">
        <v>31</v>
      </c>
      <c r="P646" s="1"/>
      <c r="Q646" s="1"/>
      <c r="R646" s="1"/>
      <c r="S646" s="1" t="s">
        <v>5196</v>
      </c>
      <c r="T646" s="15">
        <v>2023</v>
      </c>
      <c r="U646" s="26" t="s">
        <v>45</v>
      </c>
      <c r="V646" s="13" t="s">
        <v>29</v>
      </c>
      <c r="X646" s="12">
        <v>5</v>
      </c>
      <c r="Z646" s="14" t="s">
        <v>3828</v>
      </c>
      <c r="AA646" s="12" t="s">
        <v>5210</v>
      </c>
      <c r="AB646" s="14" t="s">
        <v>3888</v>
      </c>
      <c r="AD646" s="12" t="s">
        <v>764</v>
      </c>
    </row>
    <row r="647" spans="1:30" ht="27.6" hidden="1" x14ac:dyDescent="0.3">
      <c r="A647" s="1"/>
      <c r="B647" s="4" t="s">
        <v>798</v>
      </c>
      <c r="C647" s="4" t="s">
        <v>5184</v>
      </c>
      <c r="D647" s="4" t="s">
        <v>5185</v>
      </c>
      <c r="E647" s="1" t="s">
        <v>5186</v>
      </c>
      <c r="F647" s="1" t="s">
        <v>5187</v>
      </c>
      <c r="G647" s="1"/>
      <c r="H647" s="1" t="s">
        <v>5188</v>
      </c>
      <c r="I647" s="1" t="s">
        <v>1264</v>
      </c>
      <c r="J647" s="1" t="s">
        <v>4854</v>
      </c>
      <c r="K647" s="1" t="s">
        <v>39</v>
      </c>
      <c r="L647" s="1" t="s">
        <v>5189</v>
      </c>
      <c r="M647" s="1" t="s">
        <v>42</v>
      </c>
      <c r="N647" s="1"/>
      <c r="O647" s="1" t="s">
        <v>31</v>
      </c>
      <c r="P647" s="1"/>
      <c r="Q647" s="1"/>
      <c r="R647" s="1"/>
      <c r="S647" s="1" t="s">
        <v>5190</v>
      </c>
      <c r="T647" s="15">
        <v>2023</v>
      </c>
      <c r="U647" s="26" t="s">
        <v>45</v>
      </c>
      <c r="V647" s="13" t="s">
        <v>29</v>
      </c>
      <c r="X647" s="12">
        <v>5</v>
      </c>
      <c r="Z647" s="14" t="s">
        <v>2148</v>
      </c>
      <c r="AA647" s="12" t="s">
        <v>5209</v>
      </c>
      <c r="AB647" s="14" t="s">
        <v>4594</v>
      </c>
      <c r="AD647" s="12" t="s">
        <v>764</v>
      </c>
    </row>
    <row r="648" spans="1:30" ht="27.6" hidden="1" x14ac:dyDescent="0.3">
      <c r="A648" s="1" t="s">
        <v>5174</v>
      </c>
      <c r="B648" s="4" t="s">
        <v>5175</v>
      </c>
      <c r="C648" s="4" t="s">
        <v>5176</v>
      </c>
      <c r="D648" s="4" t="s">
        <v>5177</v>
      </c>
      <c r="E648" s="1" t="s">
        <v>5178</v>
      </c>
      <c r="F648" s="14" t="s">
        <v>5179</v>
      </c>
      <c r="G648" s="1" t="s">
        <v>5180</v>
      </c>
      <c r="H648" s="1" t="s">
        <v>1621</v>
      </c>
      <c r="I648" s="1" t="s">
        <v>5181</v>
      </c>
      <c r="J648" s="1" t="s">
        <v>72</v>
      </c>
      <c r="K648" s="1" t="s">
        <v>39</v>
      </c>
      <c r="L648" s="1" t="s">
        <v>5182</v>
      </c>
      <c r="M648" s="1" t="s">
        <v>42</v>
      </c>
      <c r="N648" s="1"/>
      <c r="O648" s="1" t="s">
        <v>31</v>
      </c>
      <c r="P648" s="1"/>
      <c r="Q648" s="1"/>
      <c r="R648" s="1"/>
      <c r="S648" s="1" t="s">
        <v>5183</v>
      </c>
      <c r="T648" s="15"/>
      <c r="U648" s="26" t="s">
        <v>376</v>
      </c>
      <c r="V648" s="13" t="s">
        <v>376</v>
      </c>
      <c r="X648" s="12" t="s">
        <v>376</v>
      </c>
      <c r="Z648" s="14"/>
    </row>
    <row r="649" spans="1:30" hidden="1" x14ac:dyDescent="0.3">
      <c r="A649" s="1" t="s">
        <v>5164</v>
      </c>
      <c r="B649" s="4" t="s">
        <v>5165</v>
      </c>
      <c r="C649" s="4" t="s">
        <v>354</v>
      </c>
      <c r="D649" s="4" t="s">
        <v>5166</v>
      </c>
      <c r="E649" s="1" t="s">
        <v>5167</v>
      </c>
      <c r="F649" s="1" t="s">
        <v>5168</v>
      </c>
      <c r="G649" s="1" t="s">
        <v>5169</v>
      </c>
      <c r="H649" s="1" t="s">
        <v>5170</v>
      </c>
      <c r="I649" s="1" t="s">
        <v>5171</v>
      </c>
      <c r="J649" s="1" t="s">
        <v>72</v>
      </c>
      <c r="K649" s="1" t="s">
        <v>39</v>
      </c>
      <c r="L649" s="1" t="s">
        <v>5172</v>
      </c>
      <c r="M649" s="1" t="s">
        <v>42</v>
      </c>
      <c r="N649" s="1"/>
      <c r="O649" s="1" t="s">
        <v>31</v>
      </c>
      <c r="P649" s="1"/>
      <c r="Q649" s="1"/>
      <c r="R649" s="1"/>
      <c r="S649" s="1" t="s">
        <v>5173</v>
      </c>
      <c r="T649" s="15">
        <v>2023</v>
      </c>
      <c r="U649" s="26" t="s">
        <v>45</v>
      </c>
      <c r="V649" s="13" t="s">
        <v>29</v>
      </c>
      <c r="X649" s="12">
        <v>5</v>
      </c>
      <c r="Z649" s="14" t="s">
        <v>3828</v>
      </c>
      <c r="AA649" s="12" t="s">
        <v>5017</v>
      </c>
      <c r="AB649" s="14" t="s">
        <v>3888</v>
      </c>
      <c r="AD649" s="12" t="s">
        <v>764</v>
      </c>
    </row>
    <row r="650" spans="1:30" hidden="1" x14ac:dyDescent="0.3">
      <c r="A650" s="1" t="s">
        <v>5154</v>
      </c>
      <c r="B650" s="4" t="s">
        <v>5155</v>
      </c>
      <c r="C650" s="4" t="s">
        <v>354</v>
      </c>
      <c r="D650" s="4" t="s">
        <v>5156</v>
      </c>
      <c r="E650" s="1" t="s">
        <v>5157</v>
      </c>
      <c r="F650" s="1" t="s">
        <v>5158</v>
      </c>
      <c r="G650" s="1"/>
      <c r="H650" s="1" t="s">
        <v>5159</v>
      </c>
      <c r="I650" s="1" t="s">
        <v>5160</v>
      </c>
      <c r="J650" s="1" t="s">
        <v>5161</v>
      </c>
      <c r="K650" s="1" t="s">
        <v>39</v>
      </c>
      <c r="L650" s="1" t="s">
        <v>5162</v>
      </c>
      <c r="M650" s="1" t="s">
        <v>42</v>
      </c>
      <c r="N650" s="1"/>
      <c r="O650" s="1" t="s">
        <v>31</v>
      </c>
      <c r="P650" s="1"/>
      <c r="Q650" s="1"/>
      <c r="R650" s="1"/>
      <c r="S650" s="1" t="s">
        <v>5163</v>
      </c>
      <c r="T650" s="15">
        <v>2023</v>
      </c>
      <c r="U650" s="26" t="s">
        <v>45</v>
      </c>
      <c r="V650" s="13" t="s">
        <v>29</v>
      </c>
      <c r="X650" s="12">
        <v>10</v>
      </c>
      <c r="Y650" s="16">
        <v>45012</v>
      </c>
      <c r="Z650" s="14" t="s">
        <v>3828</v>
      </c>
      <c r="AA650" s="12" t="s">
        <v>5208</v>
      </c>
      <c r="AB650" s="14" t="s">
        <v>3888</v>
      </c>
      <c r="AD650" s="12" t="s">
        <v>764</v>
      </c>
    </row>
    <row r="651" spans="1:30" ht="27.6" hidden="1" x14ac:dyDescent="0.3">
      <c r="A651" s="1" t="s">
        <v>1388</v>
      </c>
      <c r="B651" s="4" t="s">
        <v>5146</v>
      </c>
      <c r="C651" s="4" t="s">
        <v>5147</v>
      </c>
      <c r="D651" s="4" t="s">
        <v>5148</v>
      </c>
      <c r="E651" s="1" t="s">
        <v>5149</v>
      </c>
      <c r="F651" s="1" t="s">
        <v>5150</v>
      </c>
      <c r="G651" s="1" t="s">
        <v>5151</v>
      </c>
      <c r="H651" s="1"/>
      <c r="I651" s="1"/>
      <c r="J651" s="1" t="s">
        <v>72</v>
      </c>
      <c r="K651" s="1" t="s">
        <v>39</v>
      </c>
      <c r="L651" s="1" t="s">
        <v>5152</v>
      </c>
      <c r="M651" s="1" t="s">
        <v>152</v>
      </c>
      <c r="N651" s="1"/>
      <c r="O651" s="1" t="s">
        <v>31</v>
      </c>
      <c r="P651" s="1"/>
      <c r="Q651" s="1"/>
      <c r="R651" s="1"/>
      <c r="S651" s="1" t="s">
        <v>5153</v>
      </c>
      <c r="T651" s="15">
        <v>2023</v>
      </c>
      <c r="U651" s="26" t="s">
        <v>45</v>
      </c>
      <c r="V651" s="13" t="s">
        <v>29</v>
      </c>
      <c r="X651" s="12">
        <v>5</v>
      </c>
      <c r="Y651" s="16" t="s">
        <v>5979</v>
      </c>
      <c r="Z651" s="14" t="s">
        <v>3835</v>
      </c>
      <c r="AA651" s="14" t="s">
        <v>5212</v>
      </c>
      <c r="AB651" s="14" t="s">
        <v>3884</v>
      </c>
      <c r="AD651" s="12" t="s">
        <v>5213</v>
      </c>
    </row>
    <row r="652" spans="1:30" ht="27.6" hidden="1" x14ac:dyDescent="0.3">
      <c r="A652" s="1" t="s">
        <v>1482</v>
      </c>
      <c r="B652" s="1" t="s">
        <v>5136</v>
      </c>
      <c r="C652" s="1" t="s">
        <v>79</v>
      </c>
      <c r="D652" s="1" t="s">
        <v>5137</v>
      </c>
      <c r="E652" s="1" t="s">
        <v>5138</v>
      </c>
      <c r="F652" s="1" t="s">
        <v>5139</v>
      </c>
      <c r="G652" s="1" t="s">
        <v>5140</v>
      </c>
      <c r="H652" s="1" t="s">
        <v>5141</v>
      </c>
      <c r="I652" s="1" t="s">
        <v>5142</v>
      </c>
      <c r="J652" s="1" t="s">
        <v>5141</v>
      </c>
      <c r="K652" s="1" t="s">
        <v>39</v>
      </c>
      <c r="L652" s="1" t="s">
        <v>5143</v>
      </c>
      <c r="M652" s="1" t="s">
        <v>42</v>
      </c>
      <c r="N652" s="1" t="s">
        <v>5144</v>
      </c>
      <c r="O652" s="1" t="s">
        <v>31</v>
      </c>
      <c r="P652" s="1"/>
      <c r="Q652" s="1"/>
      <c r="R652" s="1"/>
      <c r="S652" s="1" t="s">
        <v>5145</v>
      </c>
      <c r="T652" s="15">
        <v>2023</v>
      </c>
      <c r="U652" s="26" t="s">
        <v>45</v>
      </c>
      <c r="V652" s="13" t="s">
        <v>29</v>
      </c>
      <c r="X652" s="12">
        <v>5</v>
      </c>
      <c r="Y652" s="16" t="s">
        <v>5979</v>
      </c>
      <c r="Z652" s="14" t="s">
        <v>3835</v>
      </c>
      <c r="AA652" s="14" t="s">
        <v>5207</v>
      </c>
      <c r="AB652" s="14" t="s">
        <v>3884</v>
      </c>
      <c r="AD652" s="12" t="s">
        <v>53</v>
      </c>
    </row>
    <row r="653" spans="1:30" ht="55.2" x14ac:dyDescent="0.3">
      <c r="A653" s="1" t="s">
        <v>5125</v>
      </c>
      <c r="B653" s="4" t="s">
        <v>5126</v>
      </c>
      <c r="C653" s="4" t="s">
        <v>5127</v>
      </c>
      <c r="D653" s="1" t="s">
        <v>5128</v>
      </c>
      <c r="E653" s="1" t="s">
        <v>5129</v>
      </c>
      <c r="F653" s="2" t="s">
        <v>5130</v>
      </c>
      <c r="G653" s="1"/>
      <c r="H653" s="1" t="s">
        <v>5131</v>
      </c>
      <c r="I653" s="1" t="s">
        <v>5132</v>
      </c>
      <c r="J653" s="1" t="s">
        <v>5133</v>
      </c>
      <c r="K653" s="1" t="s">
        <v>39</v>
      </c>
      <c r="L653" s="1" t="s">
        <v>5134</v>
      </c>
      <c r="M653" s="1" t="s">
        <v>42</v>
      </c>
      <c r="N653" s="1"/>
      <c r="O653" s="1" t="s">
        <v>31</v>
      </c>
      <c r="P653" s="1"/>
      <c r="Q653" s="1"/>
      <c r="R653" s="1"/>
      <c r="S653" s="1" t="s">
        <v>5135</v>
      </c>
      <c r="T653" s="15">
        <v>2023</v>
      </c>
      <c r="U653" s="26" t="s">
        <v>45</v>
      </c>
      <c r="V653" s="13" t="s">
        <v>29</v>
      </c>
      <c r="Y653" s="16" t="s">
        <v>10081</v>
      </c>
      <c r="Z653" s="14" t="s">
        <v>2148</v>
      </c>
      <c r="AA653" s="14" t="s">
        <v>5206</v>
      </c>
      <c r="AB653" s="14" t="s">
        <v>3890</v>
      </c>
      <c r="AD653" s="12" t="s">
        <v>53</v>
      </c>
    </row>
    <row r="654" spans="1:30" hidden="1" x14ac:dyDescent="0.3">
      <c r="A654" s="1"/>
      <c r="B654" s="1" t="s">
        <v>5271</v>
      </c>
      <c r="C654" s="1" t="s">
        <v>346</v>
      </c>
      <c r="D654" s="1" t="s">
        <v>5272</v>
      </c>
      <c r="E654" s="1" t="s">
        <v>5273</v>
      </c>
      <c r="F654" s="2" t="s">
        <v>5274</v>
      </c>
      <c r="G654" s="1" t="s">
        <v>5275</v>
      </c>
      <c r="H654" s="1"/>
      <c r="I654" s="1"/>
      <c r="J654" s="1" t="s">
        <v>72</v>
      </c>
      <c r="K654" s="1" t="s">
        <v>39</v>
      </c>
      <c r="L654" s="1" t="s">
        <v>5276</v>
      </c>
      <c r="M654" s="1" t="s">
        <v>141</v>
      </c>
      <c r="N654" s="1"/>
      <c r="O654" s="1" t="s">
        <v>31</v>
      </c>
      <c r="P654" s="1"/>
      <c r="Q654" s="1"/>
      <c r="R654" s="1"/>
      <c r="S654" s="1" t="s">
        <v>5277</v>
      </c>
      <c r="T654" s="15">
        <v>2023</v>
      </c>
      <c r="U654" s="26" t="s">
        <v>45</v>
      </c>
      <c r="V654" s="13" t="s">
        <v>29</v>
      </c>
      <c r="X654" s="12">
        <v>5</v>
      </c>
      <c r="Z654" s="14" t="s">
        <v>3870</v>
      </c>
      <c r="AA654" s="14" t="s">
        <v>5281</v>
      </c>
      <c r="AB654" s="14" t="s">
        <v>3884</v>
      </c>
      <c r="AD654" s="12" t="s">
        <v>764</v>
      </c>
    </row>
    <row r="655" spans="1:30" hidden="1" x14ac:dyDescent="0.3">
      <c r="A655" s="1"/>
      <c r="B655" s="1" t="s">
        <v>546</v>
      </c>
      <c r="C655" s="1" t="s">
        <v>390</v>
      </c>
      <c r="D655" s="1" t="s">
        <v>5267</v>
      </c>
      <c r="E655" s="1"/>
      <c r="F655" s="2" t="s">
        <v>5268</v>
      </c>
      <c r="G655" s="1"/>
      <c r="H655" s="1"/>
      <c r="I655" s="1"/>
      <c r="J655" s="1" t="s">
        <v>3939</v>
      </c>
      <c r="K655" s="1" t="s">
        <v>39</v>
      </c>
      <c r="L655" s="1" t="s">
        <v>5269</v>
      </c>
      <c r="M655" s="1" t="s">
        <v>141</v>
      </c>
      <c r="N655" s="1"/>
      <c r="O655" s="1" t="s">
        <v>31</v>
      </c>
      <c r="P655" s="1"/>
      <c r="Q655" s="1"/>
      <c r="R655" s="1"/>
      <c r="S655" s="1" t="s">
        <v>5270</v>
      </c>
      <c r="T655" s="15">
        <v>2023</v>
      </c>
      <c r="U655" s="26" t="s">
        <v>45</v>
      </c>
      <c r="V655" s="13" t="s">
        <v>29</v>
      </c>
      <c r="X655" s="12">
        <v>5</v>
      </c>
      <c r="Z655" s="14" t="s">
        <v>3870</v>
      </c>
      <c r="AA655" s="14" t="s">
        <v>5280</v>
      </c>
      <c r="AB655" s="14" t="s">
        <v>3886</v>
      </c>
      <c r="AD655" s="12" t="s">
        <v>764</v>
      </c>
    </row>
    <row r="656" spans="1:30" hidden="1" x14ac:dyDescent="0.3">
      <c r="A656" s="1"/>
      <c r="B656" s="1" t="s">
        <v>5259</v>
      </c>
      <c r="C656" s="1" t="s">
        <v>1989</v>
      </c>
      <c r="D656" s="1" t="s">
        <v>5260</v>
      </c>
      <c r="E656" s="1" t="s">
        <v>5261</v>
      </c>
      <c r="F656" s="2" t="s">
        <v>5262</v>
      </c>
      <c r="G656" s="1"/>
      <c r="H656" s="1" t="s">
        <v>5263</v>
      </c>
      <c r="I656" s="1" t="s">
        <v>5264</v>
      </c>
      <c r="J656" s="1" t="s">
        <v>5265</v>
      </c>
      <c r="K656" s="1" t="s">
        <v>39</v>
      </c>
      <c r="L656" s="1" t="s">
        <v>566</v>
      </c>
      <c r="M656" s="1" t="s">
        <v>42</v>
      </c>
      <c r="N656" s="1"/>
      <c r="O656" s="1" t="s">
        <v>31</v>
      </c>
      <c r="P656" s="1"/>
      <c r="Q656" s="1"/>
      <c r="R656" s="1"/>
      <c r="S656" s="1" t="s">
        <v>5266</v>
      </c>
      <c r="T656" s="15">
        <v>2023</v>
      </c>
      <c r="U656" s="26" t="s">
        <v>45</v>
      </c>
      <c r="V656" s="13" t="s">
        <v>29</v>
      </c>
      <c r="X656" s="12">
        <v>5</v>
      </c>
      <c r="Z656" s="14" t="s">
        <v>3828</v>
      </c>
      <c r="AA656" s="1" t="s">
        <v>566</v>
      </c>
      <c r="AB656" s="14" t="s">
        <v>3887</v>
      </c>
      <c r="AD656" s="12" t="s">
        <v>764</v>
      </c>
    </row>
    <row r="657" spans="1:30" ht="27.6" hidden="1" x14ac:dyDescent="0.3">
      <c r="A657" s="1" t="s">
        <v>5250</v>
      </c>
      <c r="B657" s="1" t="s">
        <v>5251</v>
      </c>
      <c r="C657" s="1" t="s">
        <v>5252</v>
      </c>
      <c r="D657" s="1" t="s">
        <v>5253</v>
      </c>
      <c r="E657" s="1" t="s">
        <v>5254</v>
      </c>
      <c r="F657" s="2" t="s">
        <v>5255</v>
      </c>
      <c r="G657" s="1"/>
      <c r="H657" s="1" t="s">
        <v>5256</v>
      </c>
      <c r="I657" s="1" t="s">
        <v>5257</v>
      </c>
      <c r="J657" s="1" t="s">
        <v>687</v>
      </c>
      <c r="K657" s="1" t="s">
        <v>39</v>
      </c>
      <c r="L657" s="1" t="s">
        <v>731</v>
      </c>
      <c r="M657" s="1" t="s">
        <v>42</v>
      </c>
      <c r="N657" s="1"/>
      <c r="O657" s="1" t="s">
        <v>31</v>
      </c>
      <c r="P657" s="1"/>
      <c r="Q657" s="1"/>
      <c r="R657" s="1"/>
      <c r="S657" s="1" t="s">
        <v>5258</v>
      </c>
      <c r="T657" s="15">
        <v>2023</v>
      </c>
      <c r="U657" s="26" t="s">
        <v>45</v>
      </c>
      <c r="V657" s="13" t="s">
        <v>29</v>
      </c>
      <c r="X657" s="12">
        <v>5</v>
      </c>
      <c r="Y657" s="16">
        <v>45012</v>
      </c>
      <c r="Z657" s="14" t="s">
        <v>3835</v>
      </c>
      <c r="AA657" s="14" t="s">
        <v>5279</v>
      </c>
      <c r="AB657" s="14" t="s">
        <v>3884</v>
      </c>
      <c r="AD657" s="12" t="s">
        <v>764</v>
      </c>
    </row>
    <row r="658" spans="1:30" ht="55.2" hidden="1" x14ac:dyDescent="0.3">
      <c r="A658" s="1" t="s">
        <v>5240</v>
      </c>
      <c r="B658" s="1" t="s">
        <v>5241</v>
      </c>
      <c r="C658" s="1" t="s">
        <v>68</v>
      </c>
      <c r="D658" s="1" t="s">
        <v>5242</v>
      </c>
      <c r="E658" s="1" t="s">
        <v>5243</v>
      </c>
      <c r="F658" s="2" t="s">
        <v>5244</v>
      </c>
      <c r="G658" s="1" t="s">
        <v>5245</v>
      </c>
      <c r="H658" s="1" t="s">
        <v>5246</v>
      </c>
      <c r="I658" s="1" t="s">
        <v>5247</v>
      </c>
      <c r="J658" s="1" t="s">
        <v>2603</v>
      </c>
      <c r="K658" s="1" t="s">
        <v>39</v>
      </c>
      <c r="L658" s="1" t="s">
        <v>5248</v>
      </c>
      <c r="M658" s="1" t="s">
        <v>42</v>
      </c>
      <c r="N658" s="1"/>
      <c r="O658" s="1" t="s">
        <v>31</v>
      </c>
      <c r="P658" s="1"/>
      <c r="Q658" s="1"/>
      <c r="R658" s="1"/>
      <c r="S658" s="1" t="s">
        <v>5249</v>
      </c>
      <c r="T658" s="15">
        <v>2023</v>
      </c>
      <c r="U658" s="26" t="s">
        <v>45</v>
      </c>
      <c r="V658" s="13" t="s">
        <v>29</v>
      </c>
      <c r="X658" s="12">
        <v>5</v>
      </c>
      <c r="Y658" s="16">
        <v>45012</v>
      </c>
      <c r="Z658" s="14" t="s">
        <v>3828</v>
      </c>
      <c r="AA658" s="14" t="s">
        <v>3462</v>
      </c>
      <c r="AB658" s="14" t="s">
        <v>3888</v>
      </c>
      <c r="AD658" s="12" t="s">
        <v>764</v>
      </c>
    </row>
    <row r="659" spans="1:30" hidden="1" x14ac:dyDescent="0.3">
      <c r="A659" s="1" t="s">
        <v>22</v>
      </c>
      <c r="B659" s="1" t="s">
        <v>5230</v>
      </c>
      <c r="C659" s="1" t="s">
        <v>1732</v>
      </c>
      <c r="D659" s="1" t="s">
        <v>5231</v>
      </c>
      <c r="E659" s="1" t="s">
        <v>5232</v>
      </c>
      <c r="F659" s="2" t="s">
        <v>5233</v>
      </c>
      <c r="G659" s="1" t="s">
        <v>5234</v>
      </c>
      <c r="H659" s="1" t="s">
        <v>5235</v>
      </c>
      <c r="I659" s="1" t="s">
        <v>5236</v>
      </c>
      <c r="J659" s="1" t="s">
        <v>5237</v>
      </c>
      <c r="K659" s="1" t="s">
        <v>39</v>
      </c>
      <c r="L659" s="1" t="s">
        <v>5238</v>
      </c>
      <c r="M659" s="1" t="s">
        <v>141</v>
      </c>
      <c r="N659" s="1"/>
      <c r="O659" s="1" t="s">
        <v>31</v>
      </c>
      <c r="P659" s="1"/>
      <c r="Q659" s="1"/>
      <c r="R659" s="1"/>
      <c r="S659" s="1" t="s">
        <v>5239</v>
      </c>
      <c r="T659" s="15">
        <v>2023</v>
      </c>
      <c r="U659" s="26" t="s">
        <v>45</v>
      </c>
      <c r="V659" s="13" t="s">
        <v>29</v>
      </c>
      <c r="X659" s="12">
        <v>5</v>
      </c>
      <c r="Z659" s="14" t="s">
        <v>3835</v>
      </c>
      <c r="AA659" s="12" t="s">
        <v>5278</v>
      </c>
      <c r="AB659" s="14" t="s">
        <v>3884</v>
      </c>
      <c r="AD659" s="12" t="s">
        <v>764</v>
      </c>
    </row>
    <row r="660" spans="1:30" hidden="1" x14ac:dyDescent="0.3">
      <c r="A660" s="1" t="s">
        <v>22</v>
      </c>
      <c r="B660" s="1" t="s">
        <v>5222</v>
      </c>
      <c r="C660" s="1" t="s">
        <v>447</v>
      </c>
      <c r="D660" s="1" t="s">
        <v>5223</v>
      </c>
      <c r="E660" s="1" t="s">
        <v>5224</v>
      </c>
      <c r="F660" s="2" t="s">
        <v>5225</v>
      </c>
      <c r="G660" s="1" t="s">
        <v>5226</v>
      </c>
      <c r="H660" s="1" t="s">
        <v>5227</v>
      </c>
      <c r="I660" s="1" t="s">
        <v>5228</v>
      </c>
      <c r="J660" s="1" t="s">
        <v>72</v>
      </c>
      <c r="K660" s="1" t="s">
        <v>39</v>
      </c>
      <c r="L660" s="1" t="s">
        <v>4499</v>
      </c>
      <c r="M660" s="1" t="s">
        <v>141</v>
      </c>
      <c r="N660" s="1"/>
      <c r="O660" s="1" t="s">
        <v>31</v>
      </c>
      <c r="P660" s="1"/>
      <c r="Q660" s="1"/>
      <c r="R660" s="1"/>
      <c r="S660" s="1" t="s">
        <v>5229</v>
      </c>
      <c r="T660" s="15">
        <v>2023</v>
      </c>
      <c r="U660" s="26" t="s">
        <v>45</v>
      </c>
      <c r="V660" s="13" t="s">
        <v>29</v>
      </c>
      <c r="X660" s="12">
        <v>5</v>
      </c>
      <c r="Z660" s="14" t="s">
        <v>3828</v>
      </c>
      <c r="AA660" s="14" t="s">
        <v>3462</v>
      </c>
      <c r="AB660" s="14" t="s">
        <v>3888</v>
      </c>
      <c r="AD660" s="12" t="s">
        <v>764</v>
      </c>
    </row>
    <row r="661" spans="1:30" hidden="1" x14ac:dyDescent="0.3">
      <c r="A661" s="1" t="s">
        <v>2635</v>
      </c>
      <c r="B661" s="4" t="s">
        <v>5216</v>
      </c>
      <c r="C661" s="4" t="s">
        <v>5217</v>
      </c>
      <c r="D661" s="1" t="s">
        <v>5218</v>
      </c>
      <c r="E661" s="1"/>
      <c r="F661" s="2" t="s">
        <v>5219</v>
      </c>
      <c r="G661" s="1"/>
      <c r="H661" s="1"/>
      <c r="I661" s="1"/>
      <c r="J661" s="1" t="s">
        <v>72</v>
      </c>
      <c r="K661" s="1" t="s">
        <v>39</v>
      </c>
      <c r="L661" s="1" t="s">
        <v>5220</v>
      </c>
      <c r="M661" s="1" t="s">
        <v>141</v>
      </c>
      <c r="N661" s="1"/>
      <c r="O661" s="1" t="s">
        <v>31</v>
      </c>
      <c r="P661" s="1"/>
      <c r="Q661" s="1"/>
      <c r="R661" s="1"/>
      <c r="S661" s="1" t="s">
        <v>5221</v>
      </c>
      <c r="T661" s="15">
        <v>2023</v>
      </c>
      <c r="U661" s="26" t="s">
        <v>45</v>
      </c>
      <c r="V661" s="13" t="s">
        <v>29</v>
      </c>
      <c r="X661" s="12">
        <v>5</v>
      </c>
      <c r="Z661" s="14" t="s">
        <v>3870</v>
      </c>
      <c r="AA661" s="14" t="s">
        <v>4059</v>
      </c>
      <c r="AB661" s="14" t="s">
        <v>3886</v>
      </c>
      <c r="AD661" s="12" t="s">
        <v>764</v>
      </c>
    </row>
    <row r="662" spans="1:30" ht="27.6" x14ac:dyDescent="0.3">
      <c r="A662" s="40" t="s">
        <v>1379</v>
      </c>
      <c r="B662" s="40" t="s">
        <v>5344</v>
      </c>
      <c r="C662" s="40" t="s">
        <v>523</v>
      </c>
      <c r="D662" s="40" t="s">
        <v>5345</v>
      </c>
      <c r="E662" s="40" t="s">
        <v>5346</v>
      </c>
      <c r="F662" s="40" t="s">
        <v>5347</v>
      </c>
      <c r="G662" s="40" t="s">
        <v>5348</v>
      </c>
      <c r="H662" s="40" t="s">
        <v>5349</v>
      </c>
      <c r="I662" s="40" t="s">
        <v>5350</v>
      </c>
      <c r="J662" s="40" t="s">
        <v>4351</v>
      </c>
      <c r="K662" s="40" t="s">
        <v>39</v>
      </c>
      <c r="L662" s="40" t="s">
        <v>5351</v>
      </c>
      <c r="M662" s="40" t="s">
        <v>42</v>
      </c>
      <c r="N662" s="40"/>
      <c r="O662" s="40" t="s">
        <v>31</v>
      </c>
      <c r="P662" s="40"/>
      <c r="Q662" s="40"/>
      <c r="R662" s="40"/>
      <c r="S662" s="40" t="s">
        <v>5352</v>
      </c>
      <c r="T662" s="15">
        <v>2023</v>
      </c>
      <c r="U662" s="26" t="s">
        <v>45</v>
      </c>
      <c r="V662" s="13" t="s">
        <v>29</v>
      </c>
      <c r="Y662" s="41" t="s">
        <v>10082</v>
      </c>
      <c r="Z662" s="14" t="s">
        <v>3828</v>
      </c>
      <c r="AA662" s="14" t="s">
        <v>5380</v>
      </c>
      <c r="AB662" s="14" t="s">
        <v>3888</v>
      </c>
      <c r="AD662" s="12" t="s">
        <v>764</v>
      </c>
    </row>
    <row r="663" spans="1:30" ht="27" hidden="1" x14ac:dyDescent="0.3">
      <c r="A663" s="40" t="s">
        <v>5125</v>
      </c>
      <c r="B663" s="40" t="s">
        <v>5335</v>
      </c>
      <c r="C663" s="40" t="s">
        <v>5471</v>
      </c>
      <c r="D663" s="40" t="s">
        <v>5336</v>
      </c>
      <c r="E663" s="40" t="s">
        <v>5337</v>
      </c>
      <c r="F663" s="40" t="s">
        <v>5338</v>
      </c>
      <c r="G663" s="40" t="s">
        <v>5339</v>
      </c>
      <c r="H663" s="40" t="s">
        <v>5340</v>
      </c>
      <c r="I663" s="40"/>
      <c r="J663" s="40" t="s">
        <v>1060</v>
      </c>
      <c r="K663" s="40" t="s">
        <v>39</v>
      </c>
      <c r="L663" s="40" t="s">
        <v>5341</v>
      </c>
      <c r="M663" s="40" t="s">
        <v>42</v>
      </c>
      <c r="N663" s="40" t="s">
        <v>5342</v>
      </c>
      <c r="O663" s="40" t="s">
        <v>31</v>
      </c>
      <c r="P663" s="40"/>
      <c r="Q663" s="40"/>
      <c r="R663" s="40"/>
      <c r="S663" s="40" t="s">
        <v>5343</v>
      </c>
      <c r="T663" s="15">
        <v>2023</v>
      </c>
      <c r="U663" s="26" t="s">
        <v>45</v>
      </c>
      <c r="V663" s="13" t="s">
        <v>29</v>
      </c>
      <c r="X663" s="12">
        <v>5</v>
      </c>
      <c r="Z663" s="14" t="s">
        <v>3870</v>
      </c>
      <c r="AA663" s="14" t="s">
        <v>5379</v>
      </c>
      <c r="AB663" s="14" t="s">
        <v>3886</v>
      </c>
      <c r="AD663" s="12" t="s">
        <v>764</v>
      </c>
    </row>
    <row r="664" spans="1:30" ht="27" hidden="1" x14ac:dyDescent="0.3">
      <c r="A664" s="40" t="s">
        <v>254</v>
      </c>
      <c r="B664" s="40" t="s">
        <v>946</v>
      </c>
      <c r="C664" s="40" t="s">
        <v>5325</v>
      </c>
      <c r="D664" s="40" t="s">
        <v>5326</v>
      </c>
      <c r="E664" s="40" t="s">
        <v>5327</v>
      </c>
      <c r="F664" s="40" t="s">
        <v>5328</v>
      </c>
      <c r="G664" s="40" t="s">
        <v>5329</v>
      </c>
      <c r="H664" s="40" t="s">
        <v>5330</v>
      </c>
      <c r="I664" s="40" t="s">
        <v>5331</v>
      </c>
      <c r="J664" s="40" t="s">
        <v>5332</v>
      </c>
      <c r="K664" s="40" t="s">
        <v>39</v>
      </c>
      <c r="L664" s="40" t="s">
        <v>5333</v>
      </c>
      <c r="M664" s="40" t="s">
        <v>141</v>
      </c>
      <c r="N664" s="40"/>
      <c r="O664" s="40" t="s">
        <v>31</v>
      </c>
      <c r="P664" s="40"/>
      <c r="Q664" s="40"/>
      <c r="R664" s="40"/>
      <c r="S664" s="40" t="s">
        <v>5334</v>
      </c>
      <c r="T664" s="15">
        <v>2023</v>
      </c>
      <c r="U664" s="26" t="s">
        <v>45</v>
      </c>
      <c r="V664" s="13" t="s">
        <v>29</v>
      </c>
      <c r="X664" s="12">
        <v>5</v>
      </c>
      <c r="Z664" s="14" t="s">
        <v>3835</v>
      </c>
      <c r="AA664" s="14" t="s">
        <v>5378</v>
      </c>
      <c r="AB664" s="14" t="s">
        <v>3884</v>
      </c>
      <c r="AD664" s="12" t="s">
        <v>764</v>
      </c>
    </row>
    <row r="665" spans="1:30" ht="27.6" x14ac:dyDescent="0.3">
      <c r="A665" s="40" t="s">
        <v>5315</v>
      </c>
      <c r="B665" s="40" t="s">
        <v>5316</v>
      </c>
      <c r="C665" s="40" t="s">
        <v>5317</v>
      </c>
      <c r="D665" s="40" t="s">
        <v>5318</v>
      </c>
      <c r="E665" s="40" t="s">
        <v>5319</v>
      </c>
      <c r="F665" s="40" t="s">
        <v>5320</v>
      </c>
      <c r="G665" s="40" t="s">
        <v>5321</v>
      </c>
      <c r="H665" s="40"/>
      <c r="I665" s="40"/>
      <c r="J665" s="40" t="s">
        <v>5322</v>
      </c>
      <c r="K665" s="40" t="s">
        <v>39</v>
      </c>
      <c r="L665" s="40" t="s">
        <v>5323</v>
      </c>
      <c r="M665" s="40" t="s">
        <v>42</v>
      </c>
      <c r="N665" s="40"/>
      <c r="O665" s="40" t="s">
        <v>31</v>
      </c>
      <c r="P665" s="40"/>
      <c r="Q665" s="40"/>
      <c r="R665" s="40"/>
      <c r="S665" s="40" t="s">
        <v>5324</v>
      </c>
      <c r="T665" s="15">
        <v>2023</v>
      </c>
      <c r="U665" s="26" t="s">
        <v>45</v>
      </c>
      <c r="V665" s="13" t="s">
        <v>29</v>
      </c>
      <c r="Y665" s="41" t="s">
        <v>10082</v>
      </c>
      <c r="Z665" s="14" t="s">
        <v>2148</v>
      </c>
      <c r="AA665" s="14" t="s">
        <v>5354</v>
      </c>
      <c r="AB665" s="14" t="s">
        <v>3891</v>
      </c>
      <c r="AD665" s="12" t="s">
        <v>764</v>
      </c>
    </row>
    <row r="666" spans="1:30" ht="27" hidden="1" x14ac:dyDescent="0.3">
      <c r="A666" s="40" t="s">
        <v>2707</v>
      </c>
      <c r="B666" s="40" t="s">
        <v>5307</v>
      </c>
      <c r="C666" s="40" t="s">
        <v>5308</v>
      </c>
      <c r="D666" s="40" t="s">
        <v>5309</v>
      </c>
      <c r="E666" s="40" t="s">
        <v>5310</v>
      </c>
      <c r="F666" s="40" t="s">
        <v>5311</v>
      </c>
      <c r="G666" s="40"/>
      <c r="H666" s="40"/>
      <c r="I666" s="40"/>
      <c r="J666" s="40" t="s">
        <v>5312</v>
      </c>
      <c r="K666" s="40" t="s">
        <v>39</v>
      </c>
      <c r="L666" s="40" t="s">
        <v>5313</v>
      </c>
      <c r="M666" s="40" t="s">
        <v>141</v>
      </c>
      <c r="N666" s="40"/>
      <c r="O666" s="40" t="s">
        <v>31</v>
      </c>
      <c r="P666" s="40"/>
      <c r="Q666" s="40"/>
      <c r="R666" s="40"/>
      <c r="S666" s="40" t="s">
        <v>5314</v>
      </c>
      <c r="T666" s="15">
        <v>2023</v>
      </c>
      <c r="U666" s="26" t="s">
        <v>45</v>
      </c>
      <c r="V666" s="13" t="s">
        <v>29</v>
      </c>
      <c r="X666" s="12">
        <v>5</v>
      </c>
      <c r="Z666" s="14" t="s">
        <v>3870</v>
      </c>
      <c r="AA666" s="14" t="s">
        <v>4059</v>
      </c>
      <c r="AB666" s="14" t="s">
        <v>3886</v>
      </c>
      <c r="AD666" s="12" t="s">
        <v>764</v>
      </c>
    </row>
    <row r="667" spans="1:30" hidden="1" x14ac:dyDescent="0.3">
      <c r="A667" s="40"/>
      <c r="B667" s="40" t="s">
        <v>5297</v>
      </c>
      <c r="C667" s="40" t="s">
        <v>5298</v>
      </c>
      <c r="D667" s="40" t="s">
        <v>5299</v>
      </c>
      <c r="E667" s="40" t="s">
        <v>5300</v>
      </c>
      <c r="F667" s="40" t="s">
        <v>5301</v>
      </c>
      <c r="G667" s="40" t="s">
        <v>5302</v>
      </c>
      <c r="H667" s="40" t="s">
        <v>5303</v>
      </c>
      <c r="I667" s="40" t="s">
        <v>5304</v>
      </c>
      <c r="J667" s="40" t="s">
        <v>1290</v>
      </c>
      <c r="K667" s="40" t="s">
        <v>39</v>
      </c>
      <c r="L667" s="40" t="s">
        <v>5305</v>
      </c>
      <c r="M667" s="40" t="s">
        <v>141</v>
      </c>
      <c r="N667" s="40"/>
      <c r="O667" s="40" t="s">
        <v>31</v>
      </c>
      <c r="P667" s="40"/>
      <c r="Q667" s="40"/>
      <c r="R667" s="40"/>
      <c r="S667" s="40" t="s">
        <v>5306</v>
      </c>
      <c r="T667" s="15">
        <v>2023</v>
      </c>
      <c r="U667" s="26" t="s">
        <v>45</v>
      </c>
      <c r="V667" s="13" t="s">
        <v>29</v>
      </c>
      <c r="X667" s="12">
        <v>10</v>
      </c>
      <c r="Z667" s="14" t="s">
        <v>3835</v>
      </c>
      <c r="AA667" s="14" t="s">
        <v>5353</v>
      </c>
      <c r="AB667" s="14" t="s">
        <v>3884</v>
      </c>
      <c r="AD667" s="12" t="s">
        <v>764</v>
      </c>
    </row>
    <row r="668" spans="1:30" ht="27" hidden="1" x14ac:dyDescent="0.3">
      <c r="A668" s="40" t="s">
        <v>5286</v>
      </c>
      <c r="B668" s="42" t="s">
        <v>5287</v>
      </c>
      <c r="C668" s="42" t="s">
        <v>5288</v>
      </c>
      <c r="D668" s="40" t="s">
        <v>5289</v>
      </c>
      <c r="E668" s="40" t="s">
        <v>5290</v>
      </c>
      <c r="F668" s="40" t="s">
        <v>5291</v>
      </c>
      <c r="G668" s="40" t="s">
        <v>5292</v>
      </c>
      <c r="H668" s="40" t="s">
        <v>5293</v>
      </c>
      <c r="I668" s="40" t="s">
        <v>5294</v>
      </c>
      <c r="J668" s="40" t="s">
        <v>5295</v>
      </c>
      <c r="K668" s="40" t="s">
        <v>39</v>
      </c>
      <c r="L668" s="40" t="s">
        <v>4295</v>
      </c>
      <c r="M668" s="40" t="s">
        <v>42</v>
      </c>
      <c r="N668" s="40"/>
      <c r="O668" s="40" t="s">
        <v>31</v>
      </c>
      <c r="P668" s="40"/>
      <c r="Q668" s="40"/>
      <c r="R668" s="40"/>
      <c r="S668" s="40" t="s">
        <v>5296</v>
      </c>
      <c r="T668" s="15">
        <v>2023</v>
      </c>
      <c r="U668" s="26" t="s">
        <v>45</v>
      </c>
      <c r="V668" s="13" t="s">
        <v>29</v>
      </c>
      <c r="X668" s="12">
        <v>100</v>
      </c>
      <c r="Z668" s="14" t="s">
        <v>3828</v>
      </c>
      <c r="AA668" s="14" t="s">
        <v>4118</v>
      </c>
      <c r="AB668" s="14" t="s">
        <v>3885</v>
      </c>
      <c r="AD668" s="12" t="s">
        <v>764</v>
      </c>
    </row>
    <row r="669" spans="1:30" hidden="1" x14ac:dyDescent="0.3">
      <c r="A669" s="1"/>
      <c r="B669" s="4" t="s">
        <v>3706</v>
      </c>
      <c r="C669" s="4" t="s">
        <v>60</v>
      </c>
      <c r="D669" s="1" t="s">
        <v>5373</v>
      </c>
      <c r="E669" s="1" t="s">
        <v>5374</v>
      </c>
      <c r="F669" s="1" t="s">
        <v>5375</v>
      </c>
      <c r="G669" s="1" t="s">
        <v>5376</v>
      </c>
      <c r="H669" s="1"/>
      <c r="I669" s="1"/>
      <c r="J669" s="1" t="s">
        <v>3939</v>
      </c>
      <c r="K669" s="1" t="s">
        <v>39</v>
      </c>
      <c r="L669" s="1" t="s">
        <v>1454</v>
      </c>
      <c r="M669" s="1" t="s">
        <v>141</v>
      </c>
      <c r="N669" s="1"/>
      <c r="O669" s="1" t="s">
        <v>31</v>
      </c>
      <c r="P669" s="1"/>
      <c r="Q669" s="1"/>
      <c r="R669" s="1"/>
      <c r="S669" s="1" t="s">
        <v>5377</v>
      </c>
      <c r="T669" s="15">
        <v>2023</v>
      </c>
      <c r="U669" s="26" t="s">
        <v>45</v>
      </c>
      <c r="V669" s="13" t="s">
        <v>29</v>
      </c>
      <c r="X669" s="12">
        <v>5</v>
      </c>
      <c r="Z669" s="14" t="s">
        <v>3835</v>
      </c>
      <c r="AA669" s="43" t="s">
        <v>5382</v>
      </c>
      <c r="AB669" s="14" t="s">
        <v>3884</v>
      </c>
      <c r="AD669" s="12" t="s">
        <v>764</v>
      </c>
    </row>
    <row r="670" spans="1:30" hidden="1" x14ac:dyDescent="0.3">
      <c r="A670" s="1" t="s">
        <v>5361</v>
      </c>
      <c r="B670" s="1" t="s">
        <v>5362</v>
      </c>
      <c r="C670" s="1" t="s">
        <v>1345</v>
      </c>
      <c r="D670" s="1" t="s">
        <v>5363</v>
      </c>
      <c r="E670" s="1" t="s">
        <v>5364</v>
      </c>
      <c r="F670" s="1" t="s">
        <v>5365</v>
      </c>
      <c r="G670" s="1" t="s">
        <v>5366</v>
      </c>
      <c r="H670" s="1" t="s">
        <v>5367</v>
      </c>
      <c r="I670" s="1" t="s">
        <v>5368</v>
      </c>
      <c r="J670" s="1" t="s">
        <v>5369</v>
      </c>
      <c r="K670" s="1" t="s">
        <v>39</v>
      </c>
      <c r="L670" s="1" t="s">
        <v>965</v>
      </c>
      <c r="M670" s="1" t="s">
        <v>141</v>
      </c>
      <c r="N670" s="1" t="s">
        <v>5370</v>
      </c>
      <c r="O670" s="1" t="s">
        <v>31</v>
      </c>
      <c r="P670" s="1"/>
      <c r="Q670" s="1"/>
      <c r="R670" s="1" t="s">
        <v>5371</v>
      </c>
      <c r="S670" s="1" t="s">
        <v>5372</v>
      </c>
      <c r="T670" s="15">
        <v>2023</v>
      </c>
      <c r="U670" s="26" t="s">
        <v>45</v>
      </c>
      <c r="V670" s="13" t="s">
        <v>29</v>
      </c>
      <c r="X670" s="12">
        <v>5</v>
      </c>
      <c r="Z670" s="14" t="s">
        <v>3828</v>
      </c>
      <c r="AA670" s="14" t="s">
        <v>5381</v>
      </c>
      <c r="AB670" s="14" t="s">
        <v>3888</v>
      </c>
      <c r="AD670" s="12" t="s">
        <v>764</v>
      </c>
    </row>
    <row r="671" spans="1:30" hidden="1" x14ac:dyDescent="0.3">
      <c r="A671" s="1"/>
      <c r="B671" s="4" t="s">
        <v>5355</v>
      </c>
      <c r="C671" s="4" t="s">
        <v>2097</v>
      </c>
      <c r="D671" s="1" t="s">
        <v>5356</v>
      </c>
      <c r="E671" s="1"/>
      <c r="F671" s="1" t="s">
        <v>5357</v>
      </c>
      <c r="G671" s="1" t="s">
        <v>5358</v>
      </c>
      <c r="H671" s="1"/>
      <c r="I671" s="1"/>
      <c r="J671" s="1" t="s">
        <v>72</v>
      </c>
      <c r="K671" s="1" t="s">
        <v>39</v>
      </c>
      <c r="L671" s="1" t="s">
        <v>4326</v>
      </c>
      <c r="M671" s="1" t="s">
        <v>42</v>
      </c>
      <c r="N671" s="1"/>
      <c r="O671" s="1" t="s">
        <v>31</v>
      </c>
      <c r="P671" s="1"/>
      <c r="Q671" s="1"/>
      <c r="R671" s="1" t="s">
        <v>5359</v>
      </c>
      <c r="S671" s="1" t="s">
        <v>5360</v>
      </c>
      <c r="T671" s="15">
        <v>2023</v>
      </c>
      <c r="U671" s="26" t="s">
        <v>45</v>
      </c>
      <c r="V671" s="13" t="s">
        <v>29</v>
      </c>
      <c r="X671" s="12">
        <v>5</v>
      </c>
      <c r="Y671" s="41">
        <v>45110</v>
      </c>
      <c r="Z671" s="14" t="s">
        <v>3870</v>
      </c>
      <c r="AA671" s="14" t="s">
        <v>1342</v>
      </c>
      <c r="AB671" s="14" t="s">
        <v>3886</v>
      </c>
      <c r="AD671" s="12" t="s">
        <v>764</v>
      </c>
    </row>
    <row r="672" spans="1:30" hidden="1" x14ac:dyDescent="0.3">
      <c r="A672" s="1" t="s">
        <v>22</v>
      </c>
      <c r="B672" s="1" t="s">
        <v>5431</v>
      </c>
      <c r="C672" s="1" t="s">
        <v>157</v>
      </c>
      <c r="D672" s="1" t="s">
        <v>5432</v>
      </c>
      <c r="E672" s="1" t="s">
        <v>5433</v>
      </c>
      <c r="F672" s="2" t="s">
        <v>5444</v>
      </c>
      <c r="G672" s="1"/>
      <c r="H672" s="1"/>
      <c r="I672" s="1"/>
      <c r="J672" s="1" t="s">
        <v>4543</v>
      </c>
      <c r="K672" s="1" t="s">
        <v>39</v>
      </c>
      <c r="L672" s="1" t="s">
        <v>5434</v>
      </c>
      <c r="M672" s="1" t="s">
        <v>42</v>
      </c>
      <c r="N672" s="1"/>
      <c r="O672" s="1" t="s">
        <v>31</v>
      </c>
      <c r="P672" s="1"/>
      <c r="Q672" s="1"/>
      <c r="R672" s="1" t="s">
        <v>5359</v>
      </c>
      <c r="S672" s="1" t="s">
        <v>5435</v>
      </c>
      <c r="T672" s="15">
        <v>2023</v>
      </c>
      <c r="U672" s="26" t="s">
        <v>45</v>
      </c>
      <c r="V672" s="13" t="s">
        <v>29</v>
      </c>
      <c r="X672" s="12">
        <v>5</v>
      </c>
      <c r="Y672" s="41">
        <v>45110</v>
      </c>
      <c r="Z672" s="14" t="s">
        <v>3835</v>
      </c>
      <c r="AA672" s="43" t="s">
        <v>5442</v>
      </c>
      <c r="AB672" s="14" t="s">
        <v>3884</v>
      </c>
      <c r="AD672" s="12" t="s">
        <v>764</v>
      </c>
    </row>
    <row r="673" spans="1:30" ht="27.6" hidden="1" x14ac:dyDescent="0.3">
      <c r="A673" s="1" t="s">
        <v>5419</v>
      </c>
      <c r="B673" s="1" t="s">
        <v>5420</v>
      </c>
      <c r="C673" s="1" t="s">
        <v>5421</v>
      </c>
      <c r="D673" s="1" t="s">
        <v>5422</v>
      </c>
      <c r="E673" s="1" t="s">
        <v>5423</v>
      </c>
      <c r="F673" s="2" t="s">
        <v>5424</v>
      </c>
      <c r="G673" s="1"/>
      <c r="H673" s="1" t="s">
        <v>5425</v>
      </c>
      <c r="I673" s="1" t="s">
        <v>5426</v>
      </c>
      <c r="J673" s="1" t="s">
        <v>5427</v>
      </c>
      <c r="K673" s="1" t="s">
        <v>39</v>
      </c>
      <c r="L673" s="1" t="s">
        <v>5428</v>
      </c>
      <c r="M673" s="1" t="s">
        <v>141</v>
      </c>
      <c r="N673" s="1"/>
      <c r="O673" s="1" t="s">
        <v>31</v>
      </c>
      <c r="P673" s="1"/>
      <c r="Q673" s="1"/>
      <c r="R673" s="1" t="s">
        <v>5429</v>
      </c>
      <c r="S673" s="1" t="s">
        <v>5430</v>
      </c>
      <c r="T673" s="15">
        <v>2023</v>
      </c>
      <c r="U673" s="26" t="s">
        <v>45</v>
      </c>
      <c r="V673" s="13" t="s">
        <v>29</v>
      </c>
      <c r="X673" s="12">
        <v>5</v>
      </c>
      <c r="Z673" s="14" t="s">
        <v>3835</v>
      </c>
      <c r="AA673" s="43" t="s">
        <v>5441</v>
      </c>
      <c r="AB673" s="14" t="s">
        <v>3884</v>
      </c>
      <c r="AD673" s="12" t="s">
        <v>764</v>
      </c>
    </row>
    <row r="674" spans="1:30" ht="27.6" hidden="1" x14ac:dyDescent="0.3">
      <c r="A674" s="1" t="s">
        <v>2707</v>
      </c>
      <c r="B674" s="1" t="s">
        <v>4223</v>
      </c>
      <c r="C674" s="1" t="s">
        <v>1989</v>
      </c>
      <c r="D674" s="1" t="s">
        <v>5410</v>
      </c>
      <c r="E674" s="1" t="s">
        <v>5411</v>
      </c>
      <c r="F674" s="2" t="s">
        <v>5412</v>
      </c>
      <c r="G674" s="1" t="s">
        <v>5413</v>
      </c>
      <c r="H674" s="1" t="s">
        <v>5414</v>
      </c>
      <c r="I674" s="1" t="s">
        <v>5415</v>
      </c>
      <c r="J674" s="1" t="s">
        <v>5416</v>
      </c>
      <c r="K674" s="1" t="s">
        <v>39</v>
      </c>
      <c r="L674" s="1" t="s">
        <v>5417</v>
      </c>
      <c r="M674" s="1" t="s">
        <v>42</v>
      </c>
      <c r="N674" s="1"/>
      <c r="O674" s="1" t="s">
        <v>31</v>
      </c>
      <c r="P674" s="1"/>
      <c r="Q674" s="1"/>
      <c r="R674" s="1" t="s">
        <v>5371</v>
      </c>
      <c r="S674" s="1" t="s">
        <v>5418</v>
      </c>
      <c r="T674" s="15">
        <v>2023</v>
      </c>
      <c r="U674" s="26" t="s">
        <v>45</v>
      </c>
      <c r="V674" s="13" t="s">
        <v>29</v>
      </c>
      <c r="X674" s="12">
        <v>5</v>
      </c>
      <c r="Z674" s="14" t="s">
        <v>3870</v>
      </c>
      <c r="AA674" s="43" t="s">
        <v>5440</v>
      </c>
      <c r="AB674" s="14" t="s">
        <v>3886</v>
      </c>
      <c r="AD674" s="12" t="s">
        <v>764</v>
      </c>
    </row>
    <row r="675" spans="1:30" ht="27.6" hidden="1" x14ac:dyDescent="0.3">
      <c r="A675" s="1" t="s">
        <v>5400</v>
      </c>
      <c r="B675" s="1" t="s">
        <v>5401</v>
      </c>
      <c r="C675" s="1" t="s">
        <v>5402</v>
      </c>
      <c r="D675" s="1" t="s">
        <v>5403</v>
      </c>
      <c r="E675" s="1" t="s">
        <v>5404</v>
      </c>
      <c r="F675" s="2" t="s">
        <v>5405</v>
      </c>
      <c r="G675" s="1" t="s">
        <v>5406</v>
      </c>
      <c r="H675" s="1" t="s">
        <v>5407</v>
      </c>
      <c r="I675" s="1"/>
      <c r="J675" s="1" t="s">
        <v>72</v>
      </c>
      <c r="K675" s="1" t="s">
        <v>39</v>
      </c>
      <c r="L675" s="1" t="s">
        <v>5408</v>
      </c>
      <c r="M675" s="1" t="s">
        <v>42</v>
      </c>
      <c r="N675" s="1"/>
      <c r="O675" s="1" t="s">
        <v>31</v>
      </c>
      <c r="P675" s="1"/>
      <c r="Q675" s="1"/>
      <c r="R675" s="1" t="s">
        <v>5359</v>
      </c>
      <c r="S675" s="1" t="s">
        <v>5409</v>
      </c>
      <c r="T675" s="15">
        <v>2023</v>
      </c>
      <c r="U675" s="26" t="s">
        <v>45</v>
      </c>
      <c r="V675" s="13" t="s">
        <v>29</v>
      </c>
      <c r="X675" s="12">
        <v>5</v>
      </c>
      <c r="Z675" s="14" t="s">
        <v>3828</v>
      </c>
      <c r="AA675" s="43" t="s">
        <v>5438</v>
      </c>
      <c r="AB675" s="14" t="s">
        <v>3885</v>
      </c>
      <c r="AD675" s="12" t="s">
        <v>5439</v>
      </c>
    </row>
    <row r="676" spans="1:30" ht="27.6" hidden="1" x14ac:dyDescent="0.3">
      <c r="A676" s="1" t="s">
        <v>5392</v>
      </c>
      <c r="B676" s="1" t="s">
        <v>5393</v>
      </c>
      <c r="C676" s="1" t="s">
        <v>5394</v>
      </c>
      <c r="D676" s="1" t="s">
        <v>5437</v>
      </c>
      <c r="E676" s="1" t="s">
        <v>5395</v>
      </c>
      <c r="F676" s="1" t="s">
        <v>5396</v>
      </c>
      <c r="G676" s="1" t="s">
        <v>5397</v>
      </c>
      <c r="H676" s="1" t="s">
        <v>1606</v>
      </c>
      <c r="I676" s="1"/>
      <c r="J676" s="1" t="s">
        <v>72</v>
      </c>
      <c r="K676" s="1" t="s">
        <v>39</v>
      </c>
      <c r="L676" s="1" t="s">
        <v>5398</v>
      </c>
      <c r="M676" s="1" t="s">
        <v>42</v>
      </c>
      <c r="N676" s="1"/>
      <c r="O676" s="1" t="s">
        <v>31</v>
      </c>
      <c r="P676" s="1"/>
      <c r="Q676" s="1"/>
      <c r="R676" s="1" t="s">
        <v>5359</v>
      </c>
      <c r="S676" s="1" t="s">
        <v>5399</v>
      </c>
      <c r="T676" s="15">
        <v>2023</v>
      </c>
      <c r="U676" s="26" t="s">
        <v>45</v>
      </c>
      <c r="V676" s="13" t="s">
        <v>29</v>
      </c>
      <c r="X676" s="12">
        <v>5</v>
      </c>
      <c r="Z676" s="14" t="s">
        <v>3828</v>
      </c>
      <c r="AA676" s="43" t="s">
        <v>5438</v>
      </c>
      <c r="AB676" s="14" t="s">
        <v>3885</v>
      </c>
      <c r="AD676" s="12" t="s">
        <v>5439</v>
      </c>
    </row>
    <row r="677" spans="1:30" hidden="1" x14ac:dyDescent="0.3">
      <c r="A677" s="1"/>
      <c r="B677" s="4" t="s">
        <v>5383</v>
      </c>
      <c r="C677" s="4" t="s">
        <v>5384</v>
      </c>
      <c r="D677" s="1" t="s">
        <v>5385</v>
      </c>
      <c r="E677" s="1" t="s">
        <v>5386</v>
      </c>
      <c r="F677" s="1" t="s">
        <v>5387</v>
      </c>
      <c r="G677" s="1" t="s">
        <v>5388</v>
      </c>
      <c r="H677" s="1" t="s">
        <v>5389</v>
      </c>
      <c r="I677" s="1" t="s">
        <v>3928</v>
      </c>
      <c r="J677" s="1" t="s">
        <v>2262</v>
      </c>
      <c r="K677" s="1" t="s">
        <v>39</v>
      </c>
      <c r="L677" s="1" t="s">
        <v>5390</v>
      </c>
      <c r="M677" s="1" t="s">
        <v>141</v>
      </c>
      <c r="N677" s="1"/>
      <c r="O677" s="1" t="s">
        <v>31</v>
      </c>
      <c r="P677" s="1"/>
      <c r="Q677" s="1"/>
      <c r="R677" s="1" t="s">
        <v>5359</v>
      </c>
      <c r="S677" s="1" t="s">
        <v>5391</v>
      </c>
      <c r="T677" s="15">
        <v>2023</v>
      </c>
      <c r="U677" s="26" t="s">
        <v>45</v>
      </c>
      <c r="V677" s="13" t="s">
        <v>29</v>
      </c>
      <c r="X677" s="12">
        <v>5</v>
      </c>
      <c r="Z677" s="14" t="s">
        <v>3835</v>
      </c>
      <c r="AA677" s="43" t="s">
        <v>5278</v>
      </c>
      <c r="AB677" s="14" t="s">
        <v>3884</v>
      </c>
      <c r="AD677" s="12" t="s">
        <v>764</v>
      </c>
    </row>
    <row r="678" spans="1:30" hidden="1" x14ac:dyDescent="0.3">
      <c r="A678" s="1" t="s">
        <v>100</v>
      </c>
      <c r="B678" s="1" t="s">
        <v>5462</v>
      </c>
      <c r="C678" s="1" t="s">
        <v>370</v>
      </c>
      <c r="D678" s="1" t="s">
        <v>5463</v>
      </c>
      <c r="E678" s="1" t="s">
        <v>5464</v>
      </c>
      <c r="F678" s="2" t="s">
        <v>5465</v>
      </c>
      <c r="G678" s="1" t="s">
        <v>5466</v>
      </c>
      <c r="H678" s="1" t="s">
        <v>5467</v>
      </c>
      <c r="I678" s="1" t="s">
        <v>5468</v>
      </c>
      <c r="J678" s="1" t="s">
        <v>5469</v>
      </c>
      <c r="K678" s="1" t="s">
        <v>39</v>
      </c>
      <c r="L678" s="1" t="s">
        <v>5380</v>
      </c>
      <c r="M678" s="1" t="s">
        <v>141</v>
      </c>
      <c r="N678" s="1"/>
      <c r="O678" s="1" t="s">
        <v>31</v>
      </c>
      <c r="P678" s="1"/>
      <c r="Q678" s="1"/>
      <c r="R678" s="1" t="s">
        <v>5359</v>
      </c>
      <c r="S678" s="1" t="s">
        <v>5470</v>
      </c>
      <c r="T678" s="15">
        <v>2023</v>
      </c>
      <c r="U678" s="26" t="s">
        <v>45</v>
      </c>
      <c r="V678" s="13" t="s">
        <v>29</v>
      </c>
      <c r="X678" s="12">
        <v>5</v>
      </c>
      <c r="Z678" s="14" t="s">
        <v>3828</v>
      </c>
      <c r="AA678" s="14" t="s">
        <v>5380</v>
      </c>
      <c r="AB678" s="14" t="s">
        <v>3888</v>
      </c>
      <c r="AD678" s="12" t="s">
        <v>764</v>
      </c>
    </row>
    <row r="679" spans="1:30" hidden="1" x14ac:dyDescent="0.3">
      <c r="A679" s="1" t="s">
        <v>1482</v>
      </c>
      <c r="B679" s="1" t="s">
        <v>5455</v>
      </c>
      <c r="C679" s="1" t="s">
        <v>3454</v>
      </c>
      <c r="D679" s="1" t="s">
        <v>5456</v>
      </c>
      <c r="E679" s="1" t="s">
        <v>5457</v>
      </c>
      <c r="F679" s="2" t="s">
        <v>5458</v>
      </c>
      <c r="G679" s="1"/>
      <c r="H679" s="1" t="s">
        <v>1859</v>
      </c>
      <c r="I679" s="1" t="s">
        <v>5459</v>
      </c>
      <c r="J679" s="1" t="s">
        <v>1060</v>
      </c>
      <c r="K679" s="1" t="s">
        <v>39</v>
      </c>
      <c r="L679" s="1" t="s">
        <v>5460</v>
      </c>
      <c r="M679" s="1" t="s">
        <v>141</v>
      </c>
      <c r="N679" s="1"/>
      <c r="O679" s="1" t="s">
        <v>31</v>
      </c>
      <c r="P679" s="1"/>
      <c r="Q679" s="1"/>
      <c r="R679" s="1" t="s">
        <v>5359</v>
      </c>
      <c r="S679" s="1" t="s">
        <v>5461</v>
      </c>
      <c r="T679" s="15">
        <v>2023</v>
      </c>
      <c r="U679" s="26" t="s">
        <v>45</v>
      </c>
      <c r="V679" s="13" t="s">
        <v>29</v>
      </c>
      <c r="X679" s="12">
        <v>5</v>
      </c>
      <c r="Z679" s="14" t="s">
        <v>3835</v>
      </c>
      <c r="AA679" s="14" t="s">
        <v>4915</v>
      </c>
      <c r="AB679" s="14" t="s">
        <v>3884</v>
      </c>
      <c r="AD679" s="12" t="s">
        <v>764</v>
      </c>
    </row>
    <row r="680" spans="1:30" hidden="1" x14ac:dyDescent="0.3">
      <c r="A680" s="1" t="s">
        <v>5445</v>
      </c>
      <c r="B680" s="3" t="s">
        <v>5446</v>
      </c>
      <c r="C680" s="3" t="s">
        <v>5447</v>
      </c>
      <c r="D680" s="1" t="s">
        <v>5448</v>
      </c>
      <c r="E680" s="1" t="s">
        <v>5449</v>
      </c>
      <c r="F680" s="2" t="s">
        <v>5450</v>
      </c>
      <c r="G680" s="1"/>
      <c r="H680" s="1" t="s">
        <v>5451</v>
      </c>
      <c r="I680" s="1" t="s">
        <v>1966</v>
      </c>
      <c r="J680" s="1" t="s">
        <v>72</v>
      </c>
      <c r="K680" s="1" t="s">
        <v>39</v>
      </c>
      <c r="L680" s="1" t="s">
        <v>5452</v>
      </c>
      <c r="M680" s="1" t="s">
        <v>42</v>
      </c>
      <c r="N680" s="1" t="s">
        <v>5453</v>
      </c>
      <c r="O680" s="1" t="s">
        <v>31</v>
      </c>
      <c r="P680" s="1"/>
      <c r="Q680" s="1"/>
      <c r="R680" s="1" t="s">
        <v>5359</v>
      </c>
      <c r="S680" s="1" t="s">
        <v>5454</v>
      </c>
      <c r="T680" s="15">
        <v>2023</v>
      </c>
      <c r="U680" s="26" t="s">
        <v>45</v>
      </c>
      <c r="V680" s="13" t="s">
        <v>29</v>
      </c>
      <c r="X680" s="12">
        <v>5</v>
      </c>
      <c r="Z680" s="14" t="s">
        <v>3828</v>
      </c>
      <c r="AA680" s="43" t="s">
        <v>4871</v>
      </c>
      <c r="AB680" s="14" t="s">
        <v>3888</v>
      </c>
      <c r="AD680" s="12" t="s">
        <v>764</v>
      </c>
    </row>
    <row r="681" spans="1:30" ht="27.6" x14ac:dyDescent="0.3">
      <c r="A681" s="1" t="s">
        <v>5509</v>
      </c>
      <c r="B681" s="1" t="s">
        <v>5510</v>
      </c>
      <c r="C681" s="1" t="s">
        <v>370</v>
      </c>
      <c r="D681" s="1" t="s">
        <v>5511</v>
      </c>
      <c r="E681" s="1" t="s">
        <v>5512</v>
      </c>
      <c r="F681" s="1" t="s">
        <v>5513</v>
      </c>
      <c r="G681" s="1"/>
      <c r="H681" s="1"/>
      <c r="I681" s="1"/>
      <c r="J681" s="1" t="s">
        <v>72</v>
      </c>
      <c r="K681" s="1" t="s">
        <v>39</v>
      </c>
      <c r="L681" s="1" t="s">
        <v>5514</v>
      </c>
      <c r="M681" s="1" t="s">
        <v>141</v>
      </c>
      <c r="N681" s="1"/>
      <c r="O681" s="1" t="s">
        <v>31</v>
      </c>
      <c r="P681" s="1"/>
      <c r="Q681" s="1"/>
      <c r="R681" s="1" t="s">
        <v>5359</v>
      </c>
      <c r="S681" s="1" t="s">
        <v>5515</v>
      </c>
      <c r="T681" s="15">
        <v>2023</v>
      </c>
      <c r="U681" s="26" t="s">
        <v>45</v>
      </c>
      <c r="V681" s="13" t="s">
        <v>29</v>
      </c>
      <c r="Y681" s="41" t="s">
        <v>10082</v>
      </c>
      <c r="Z681" s="14" t="s">
        <v>2148</v>
      </c>
      <c r="AA681" s="14" t="s">
        <v>5517</v>
      </c>
      <c r="AB681" s="14" t="s">
        <v>3891</v>
      </c>
      <c r="AD681" s="12" t="s">
        <v>764</v>
      </c>
    </row>
    <row r="682" spans="1:30" ht="27.6" hidden="1" x14ac:dyDescent="0.3">
      <c r="A682" s="1" t="s">
        <v>1052</v>
      </c>
      <c r="B682" s="1" t="s">
        <v>2800</v>
      </c>
      <c r="C682" s="1" t="s">
        <v>229</v>
      </c>
      <c r="D682" s="1" t="s">
        <v>5500</v>
      </c>
      <c r="E682" s="1" t="s">
        <v>5501</v>
      </c>
      <c r="F682" s="1" t="s">
        <v>5502</v>
      </c>
      <c r="G682" s="1" t="s">
        <v>5503</v>
      </c>
      <c r="H682" s="1" t="s">
        <v>5504</v>
      </c>
      <c r="I682" s="1" t="s">
        <v>5505</v>
      </c>
      <c r="J682" s="1" t="s">
        <v>5506</v>
      </c>
      <c r="K682" s="1" t="s">
        <v>39</v>
      </c>
      <c r="L682" s="1" t="s">
        <v>5507</v>
      </c>
      <c r="M682" s="1" t="s">
        <v>141</v>
      </c>
      <c r="N682" s="1"/>
      <c r="O682" s="1" t="s">
        <v>31</v>
      </c>
      <c r="P682" s="1"/>
      <c r="Q682" s="1"/>
      <c r="R682" s="1" t="s">
        <v>5359</v>
      </c>
      <c r="S682" s="1" t="s">
        <v>5508</v>
      </c>
      <c r="T682" s="15">
        <v>2023</v>
      </c>
      <c r="U682" s="26" t="s">
        <v>45</v>
      </c>
      <c r="V682" s="13" t="s">
        <v>29</v>
      </c>
      <c r="X682" s="12">
        <v>5</v>
      </c>
      <c r="Z682" s="14" t="s">
        <v>3828</v>
      </c>
      <c r="AA682" s="14" t="s">
        <v>4870</v>
      </c>
      <c r="AB682" s="14" t="s">
        <v>3888</v>
      </c>
      <c r="AD682" s="12" t="s">
        <v>764</v>
      </c>
    </row>
    <row r="683" spans="1:30" hidden="1" x14ac:dyDescent="0.3">
      <c r="A683" s="1" t="s">
        <v>5125</v>
      </c>
      <c r="B683" s="1" t="s">
        <v>5490</v>
      </c>
      <c r="C683" s="1" t="s">
        <v>5491</v>
      </c>
      <c r="D683" s="1" t="s">
        <v>5492</v>
      </c>
      <c r="E683" s="1" t="s">
        <v>5493</v>
      </c>
      <c r="F683" s="1" t="s">
        <v>5494</v>
      </c>
      <c r="G683" s="1" t="s">
        <v>5495</v>
      </c>
      <c r="H683" s="1" t="s">
        <v>5496</v>
      </c>
      <c r="I683" s="1" t="s">
        <v>5497</v>
      </c>
      <c r="J683" s="1" t="s">
        <v>4823</v>
      </c>
      <c r="K683" s="1" t="s">
        <v>39</v>
      </c>
      <c r="L683" s="1" t="s">
        <v>5498</v>
      </c>
      <c r="M683" s="1" t="s">
        <v>42</v>
      </c>
      <c r="N683" s="1"/>
      <c r="O683" s="1" t="s">
        <v>31</v>
      </c>
      <c r="P683" s="1"/>
      <c r="Q683" s="1"/>
      <c r="R683" s="1" t="s">
        <v>5480</v>
      </c>
      <c r="S683" s="1" t="s">
        <v>5499</v>
      </c>
      <c r="T683" s="15">
        <v>2023</v>
      </c>
      <c r="U683" s="26" t="s">
        <v>45</v>
      </c>
      <c r="V683" s="13" t="s">
        <v>29</v>
      </c>
      <c r="X683" s="12">
        <v>10</v>
      </c>
      <c r="Z683" s="14" t="s">
        <v>2148</v>
      </c>
      <c r="AA683" s="14" t="s">
        <v>5516</v>
      </c>
      <c r="AB683" s="14" t="s">
        <v>3890</v>
      </c>
      <c r="AD683" s="12" t="s">
        <v>764</v>
      </c>
    </row>
    <row r="684" spans="1:30" hidden="1" x14ac:dyDescent="0.3">
      <c r="A684" s="1" t="s">
        <v>1052</v>
      </c>
      <c r="B684" s="1" t="s">
        <v>5482</v>
      </c>
      <c r="C684" s="1" t="s">
        <v>124</v>
      </c>
      <c r="D684" s="1" t="s">
        <v>5483</v>
      </c>
      <c r="E684" s="1" t="s">
        <v>5484</v>
      </c>
      <c r="F684" s="1" t="s">
        <v>5485</v>
      </c>
      <c r="G684" s="1"/>
      <c r="H684" s="1" t="s">
        <v>5486</v>
      </c>
      <c r="I684" s="1" t="s">
        <v>5487</v>
      </c>
      <c r="J684" s="1" t="s">
        <v>72</v>
      </c>
      <c r="K684" s="1" t="s">
        <v>39</v>
      </c>
      <c r="L684" s="1" t="s">
        <v>5488</v>
      </c>
      <c r="M684" s="1" t="s">
        <v>141</v>
      </c>
      <c r="N684" s="1"/>
      <c r="O684" s="1" t="s">
        <v>31</v>
      </c>
      <c r="P684" s="1"/>
      <c r="Q684" s="1"/>
      <c r="R684" s="1" t="s">
        <v>5371</v>
      </c>
      <c r="S684" s="1" t="s">
        <v>5489</v>
      </c>
      <c r="T684" s="15">
        <v>2023</v>
      </c>
      <c r="U684" s="26" t="s">
        <v>45</v>
      </c>
      <c r="V684" s="13" t="s">
        <v>29</v>
      </c>
      <c r="X684" s="12">
        <v>5</v>
      </c>
      <c r="Z684" s="14" t="s">
        <v>3828</v>
      </c>
      <c r="AA684" s="14" t="s">
        <v>4871</v>
      </c>
      <c r="AB684" s="14" t="s">
        <v>3888</v>
      </c>
      <c r="AD684" s="12" t="s">
        <v>764</v>
      </c>
    </row>
    <row r="685" spans="1:30" ht="27.6" hidden="1" x14ac:dyDescent="0.3">
      <c r="A685" s="1" t="s">
        <v>22</v>
      </c>
      <c r="B685" s="4" t="s">
        <v>5472</v>
      </c>
      <c r="C685" s="4" t="s">
        <v>1882</v>
      </c>
      <c r="D685" s="1" t="s">
        <v>5473</v>
      </c>
      <c r="E685" s="1" t="s">
        <v>5474</v>
      </c>
      <c r="F685" s="1" t="s">
        <v>5475</v>
      </c>
      <c r="G685" s="1" t="s">
        <v>5476</v>
      </c>
      <c r="H685" s="1" t="s">
        <v>5477</v>
      </c>
      <c r="I685" s="1" t="s">
        <v>5478</v>
      </c>
      <c r="J685" s="1" t="s">
        <v>72</v>
      </c>
      <c r="K685" s="1" t="s">
        <v>39</v>
      </c>
      <c r="L685" s="1" t="s">
        <v>5479</v>
      </c>
      <c r="M685" s="1" t="s">
        <v>141</v>
      </c>
      <c r="N685" s="1"/>
      <c r="O685" s="1" t="s">
        <v>31</v>
      </c>
      <c r="P685" s="1"/>
      <c r="Q685" s="1"/>
      <c r="R685" s="1" t="s">
        <v>5480</v>
      </c>
      <c r="S685" s="1" t="s">
        <v>5481</v>
      </c>
      <c r="T685" s="15">
        <v>2023</v>
      </c>
      <c r="U685" s="26" t="s">
        <v>45</v>
      </c>
      <c r="V685" s="13" t="s">
        <v>29</v>
      </c>
      <c r="X685" s="12">
        <v>5</v>
      </c>
      <c r="Z685" s="14" t="s">
        <v>3870</v>
      </c>
      <c r="AA685" s="14" t="s">
        <v>1342</v>
      </c>
      <c r="AB685" s="14" t="s">
        <v>3886</v>
      </c>
      <c r="AD685" s="12" t="s">
        <v>764</v>
      </c>
    </row>
    <row r="686" spans="1:30" ht="27.6" x14ac:dyDescent="0.3">
      <c r="A686" s="1" t="s">
        <v>22</v>
      </c>
      <c r="B686" s="4" t="s">
        <v>692</v>
      </c>
      <c r="C686" s="4" t="s">
        <v>466</v>
      </c>
      <c r="D686" s="1" t="s">
        <v>5526</v>
      </c>
      <c r="E686" s="1" t="s">
        <v>5527</v>
      </c>
      <c r="F686" s="1" t="s">
        <v>5528</v>
      </c>
      <c r="G686" s="1" t="s">
        <v>5529</v>
      </c>
      <c r="H686" s="1" t="s">
        <v>5530</v>
      </c>
      <c r="I686" s="1" t="s">
        <v>5531</v>
      </c>
      <c r="J686" s="1" t="s">
        <v>3912</v>
      </c>
      <c r="K686" s="1" t="s">
        <v>39</v>
      </c>
      <c r="L686" s="1" t="s">
        <v>5532</v>
      </c>
      <c r="M686" s="1" t="s">
        <v>42</v>
      </c>
      <c r="N686" s="1"/>
      <c r="O686" s="1" t="s">
        <v>31</v>
      </c>
      <c r="P686" s="1"/>
      <c r="Q686" s="1"/>
      <c r="R686" s="1" t="s">
        <v>5359</v>
      </c>
      <c r="S686" s="1" t="s">
        <v>5533</v>
      </c>
      <c r="T686" s="15">
        <v>2023</v>
      </c>
      <c r="U686" s="26" t="s">
        <v>45</v>
      </c>
      <c r="V686" s="13" t="s">
        <v>29</v>
      </c>
      <c r="Y686" s="41" t="s">
        <v>10082</v>
      </c>
      <c r="Z686" s="14" t="s">
        <v>3870</v>
      </c>
      <c r="AA686" s="14" t="s">
        <v>5535</v>
      </c>
      <c r="AB686" s="14" t="s">
        <v>3886</v>
      </c>
      <c r="AD686" s="12" t="s">
        <v>764</v>
      </c>
    </row>
    <row r="687" spans="1:30" hidden="1" x14ac:dyDescent="0.3">
      <c r="A687" s="1"/>
      <c r="B687" s="4" t="s">
        <v>5518</v>
      </c>
      <c r="C687" s="4" t="s">
        <v>370</v>
      </c>
      <c r="D687" s="1" t="s">
        <v>5519</v>
      </c>
      <c r="E687" s="1" t="s">
        <v>5520</v>
      </c>
      <c r="F687" s="1" t="s">
        <v>5521</v>
      </c>
      <c r="G687" s="1"/>
      <c r="H687" s="1"/>
      <c r="I687" s="1"/>
      <c r="J687" s="1" t="s">
        <v>72</v>
      </c>
      <c r="K687" s="1" t="s">
        <v>39</v>
      </c>
      <c r="L687" s="1" t="s">
        <v>5522</v>
      </c>
      <c r="M687" s="1" t="s">
        <v>42</v>
      </c>
      <c r="N687" s="1"/>
      <c r="O687" s="1" t="s">
        <v>31</v>
      </c>
      <c r="P687" s="1"/>
      <c r="Q687" s="1"/>
      <c r="R687" s="1" t="s">
        <v>5359</v>
      </c>
      <c r="S687" s="1" t="s">
        <v>5523</v>
      </c>
      <c r="T687" s="15">
        <v>2023</v>
      </c>
      <c r="U687" s="26" t="s">
        <v>45</v>
      </c>
      <c r="V687" s="13" t="s">
        <v>29</v>
      </c>
      <c r="X687" s="12">
        <v>5</v>
      </c>
      <c r="Z687" s="14" t="s">
        <v>3828</v>
      </c>
      <c r="AA687" s="14" t="s">
        <v>5534</v>
      </c>
      <c r="AB687" s="14" t="s">
        <v>3887</v>
      </c>
      <c r="AD687" s="12" t="s">
        <v>764</v>
      </c>
    </row>
    <row r="688" spans="1:30" hidden="1" x14ac:dyDescent="0.3">
      <c r="A688" s="1"/>
      <c r="B688" s="6" t="s">
        <v>5758</v>
      </c>
      <c r="C688" s="6" t="s">
        <v>466</v>
      </c>
      <c r="D688" s="1" t="s">
        <v>5759</v>
      </c>
      <c r="E688" s="1" t="s">
        <v>5760</v>
      </c>
      <c r="F688" s="1" t="s">
        <v>5761</v>
      </c>
      <c r="G688" s="1" t="s">
        <v>5762</v>
      </c>
      <c r="H688" s="1"/>
      <c r="I688" s="1"/>
      <c r="J688" s="1" t="s">
        <v>72</v>
      </c>
      <c r="K688" s="1" t="s">
        <v>39</v>
      </c>
      <c r="L688" s="1" t="s">
        <v>5763</v>
      </c>
      <c r="M688" s="1" t="s">
        <v>141</v>
      </c>
      <c r="N688" s="1"/>
      <c r="O688" s="1" t="s">
        <v>31</v>
      </c>
      <c r="P688" s="1"/>
      <c r="Q688" s="1"/>
      <c r="R688" s="1" t="s">
        <v>5359</v>
      </c>
      <c r="S688" s="1" t="s">
        <v>5764</v>
      </c>
      <c r="T688" s="15">
        <v>2023</v>
      </c>
      <c r="U688" s="26" t="s">
        <v>45</v>
      </c>
      <c r="V688" s="13" t="s">
        <v>29</v>
      </c>
      <c r="X688" s="12">
        <v>5</v>
      </c>
      <c r="Z688" s="14" t="s">
        <v>3835</v>
      </c>
      <c r="AA688" s="12" t="s">
        <v>5769</v>
      </c>
      <c r="AB688" s="14" t="s">
        <v>3884</v>
      </c>
      <c r="AD688" s="12" t="s">
        <v>764</v>
      </c>
    </row>
    <row r="689" spans="1:30" ht="27.6" x14ac:dyDescent="0.3">
      <c r="A689" s="1" t="s">
        <v>2635</v>
      </c>
      <c r="B689" s="6" t="s">
        <v>5749</v>
      </c>
      <c r="C689" s="6" t="s">
        <v>5750</v>
      </c>
      <c r="D689" s="1" t="s">
        <v>5751</v>
      </c>
      <c r="E689" s="1"/>
      <c r="F689" s="1" t="s">
        <v>5752</v>
      </c>
      <c r="G689" s="1" t="s">
        <v>5753</v>
      </c>
      <c r="H689" s="1" t="s">
        <v>5754</v>
      </c>
      <c r="I689" s="1" t="s">
        <v>5755</v>
      </c>
      <c r="J689" s="1" t="s">
        <v>3939</v>
      </c>
      <c r="K689" s="1" t="s">
        <v>39</v>
      </c>
      <c r="L689" s="1" t="s">
        <v>5756</v>
      </c>
      <c r="M689" s="1" t="s">
        <v>42</v>
      </c>
      <c r="N689" s="1"/>
      <c r="O689" s="1" t="s">
        <v>31</v>
      </c>
      <c r="P689" s="1"/>
      <c r="Q689" s="1"/>
      <c r="R689" s="1" t="s">
        <v>5480</v>
      </c>
      <c r="S689" s="1" t="s">
        <v>5757</v>
      </c>
      <c r="T689" s="15">
        <v>2023</v>
      </c>
      <c r="U689" s="26" t="s">
        <v>45</v>
      </c>
      <c r="V689" s="13" t="s">
        <v>29</v>
      </c>
      <c r="Y689" s="41" t="s">
        <v>10082</v>
      </c>
      <c r="Z689" s="14" t="s">
        <v>3835</v>
      </c>
      <c r="AA689" s="12" t="s">
        <v>5353</v>
      </c>
      <c r="AB689" s="14" t="s">
        <v>3884</v>
      </c>
      <c r="AD689" s="12" t="s">
        <v>764</v>
      </c>
    </row>
    <row r="690" spans="1:30" ht="27.6" hidden="1" x14ac:dyDescent="0.3">
      <c r="A690" s="1" t="s">
        <v>5736</v>
      </c>
      <c r="B690" s="6" t="s">
        <v>5737</v>
      </c>
      <c r="C690" s="6" t="s">
        <v>806</v>
      </c>
      <c r="D690" s="1" t="s">
        <v>5738</v>
      </c>
      <c r="E690" s="1" t="s">
        <v>5739</v>
      </c>
      <c r="F690" s="1" t="s">
        <v>5740</v>
      </c>
      <c r="G690" s="1"/>
      <c r="H690" s="1" t="s">
        <v>5741</v>
      </c>
      <c r="I690" s="1" t="s">
        <v>5742</v>
      </c>
      <c r="J690" s="1" t="s">
        <v>4252</v>
      </c>
      <c r="K690" s="1" t="s">
        <v>39</v>
      </c>
      <c r="L690" s="1" t="s">
        <v>5743</v>
      </c>
      <c r="M690" s="1" t="s">
        <v>42</v>
      </c>
      <c r="N690" s="1"/>
      <c r="O690" s="1" t="s">
        <v>31</v>
      </c>
      <c r="P690" s="1"/>
      <c r="Q690" s="1"/>
      <c r="R690" s="1" t="s">
        <v>5359</v>
      </c>
      <c r="S690" s="1" t="s">
        <v>5744</v>
      </c>
      <c r="T690" s="15">
        <v>2023</v>
      </c>
      <c r="U690" s="26" t="s">
        <v>45</v>
      </c>
      <c r="V690" s="13" t="s">
        <v>29</v>
      </c>
      <c r="X690" s="12">
        <v>5</v>
      </c>
      <c r="Z690" s="14" t="s">
        <v>3870</v>
      </c>
      <c r="AA690" s="12" t="s">
        <v>5775</v>
      </c>
      <c r="AB690" s="14" t="s">
        <v>3886</v>
      </c>
      <c r="AD690" s="12" t="s">
        <v>764</v>
      </c>
    </row>
    <row r="691" spans="1:30" hidden="1" x14ac:dyDescent="0.3">
      <c r="A691" s="1" t="s">
        <v>1379</v>
      </c>
      <c r="B691" s="6" t="s">
        <v>4346</v>
      </c>
      <c r="C691" s="6" t="s">
        <v>229</v>
      </c>
      <c r="D691" s="1" t="s">
        <v>5745</v>
      </c>
      <c r="E691" s="1" t="s">
        <v>5746</v>
      </c>
      <c r="F691" s="1" t="s">
        <v>5747</v>
      </c>
      <c r="G691" s="1" t="s">
        <v>5748</v>
      </c>
      <c r="H691" s="1"/>
      <c r="I691" s="1"/>
      <c r="J691" s="1" t="s">
        <v>4351</v>
      </c>
      <c r="K691" s="1" t="s">
        <v>39</v>
      </c>
      <c r="L691" s="1" t="s">
        <v>4869</v>
      </c>
      <c r="M691" s="1" t="s">
        <v>42</v>
      </c>
      <c r="N691" s="1"/>
      <c r="O691" s="1" t="s">
        <v>31</v>
      </c>
      <c r="P691" s="1"/>
      <c r="Q691" s="1"/>
      <c r="R691" s="1" t="s">
        <v>5359</v>
      </c>
      <c r="S691" s="1" t="s">
        <v>5744</v>
      </c>
      <c r="T691" s="15">
        <v>2023</v>
      </c>
      <c r="U691" s="26" t="s">
        <v>45</v>
      </c>
      <c r="V691" s="13" t="s">
        <v>29</v>
      </c>
      <c r="X691" s="12">
        <v>5</v>
      </c>
      <c r="Y691" s="41">
        <v>45110</v>
      </c>
      <c r="Z691" s="14" t="s">
        <v>3828</v>
      </c>
      <c r="AA691" s="12" t="s">
        <v>3019</v>
      </c>
      <c r="AB691" s="14" t="s">
        <v>3888</v>
      </c>
      <c r="AD691" s="12" t="s">
        <v>764</v>
      </c>
    </row>
    <row r="692" spans="1:30" hidden="1" x14ac:dyDescent="0.3">
      <c r="A692" s="1"/>
      <c r="B692" s="6" t="s">
        <v>5726</v>
      </c>
      <c r="C692" s="6" t="s">
        <v>2055</v>
      </c>
      <c r="D692" s="1" t="s">
        <v>5727</v>
      </c>
      <c r="E692" s="1" t="s">
        <v>5728</v>
      </c>
      <c r="F692" s="1" t="s">
        <v>5729</v>
      </c>
      <c r="G692" s="1" t="s">
        <v>5730</v>
      </c>
      <c r="H692" s="1" t="s">
        <v>5731</v>
      </c>
      <c r="I692" s="1" t="s">
        <v>5732</v>
      </c>
      <c r="J692" s="1" t="s">
        <v>5733</v>
      </c>
      <c r="K692" s="1" t="s">
        <v>5723</v>
      </c>
      <c r="L692" s="1" t="s">
        <v>5734</v>
      </c>
      <c r="M692" s="1" t="s">
        <v>141</v>
      </c>
      <c r="N692" s="1"/>
      <c r="O692" s="1" t="s">
        <v>31</v>
      </c>
      <c r="P692" s="1"/>
      <c r="Q692" s="1"/>
      <c r="R692" s="1" t="s">
        <v>5371</v>
      </c>
      <c r="S692" s="1" t="s">
        <v>5735</v>
      </c>
      <c r="T692" s="15">
        <v>2023</v>
      </c>
      <c r="U692" s="26" t="s">
        <v>45</v>
      </c>
      <c r="V692" s="13" t="s">
        <v>29</v>
      </c>
      <c r="X692" s="12">
        <v>5</v>
      </c>
      <c r="Z692" s="14" t="s">
        <v>3835</v>
      </c>
      <c r="AA692" s="12" t="s">
        <v>5771</v>
      </c>
      <c r="AB692" s="14" t="s">
        <v>3884</v>
      </c>
      <c r="AD692" s="12" t="s">
        <v>764</v>
      </c>
    </row>
    <row r="693" spans="1:30" hidden="1" x14ac:dyDescent="0.3">
      <c r="A693" s="1"/>
      <c r="B693" s="6" t="s">
        <v>5714</v>
      </c>
      <c r="C693" s="6" t="s">
        <v>5715</v>
      </c>
      <c r="D693" s="1" t="s">
        <v>5716</v>
      </c>
      <c r="E693" s="1" t="s">
        <v>5717</v>
      </c>
      <c r="F693" s="1" t="s">
        <v>5718</v>
      </c>
      <c r="G693" s="1" t="s">
        <v>5719</v>
      </c>
      <c r="H693" s="1" t="s">
        <v>5720</v>
      </c>
      <c r="I693" s="1" t="s">
        <v>5721</v>
      </c>
      <c r="J693" s="1" t="s">
        <v>5722</v>
      </c>
      <c r="K693" s="1" t="s">
        <v>5723</v>
      </c>
      <c r="L693" s="1" t="s">
        <v>5724</v>
      </c>
      <c r="M693" s="1" t="s">
        <v>42</v>
      </c>
      <c r="N693" s="1"/>
      <c r="O693" s="1" t="s">
        <v>31</v>
      </c>
      <c r="P693" s="1"/>
      <c r="Q693" s="1"/>
      <c r="R693" s="1" t="s">
        <v>5371</v>
      </c>
      <c r="S693" s="1" t="s">
        <v>5725</v>
      </c>
      <c r="T693" s="15">
        <v>2023</v>
      </c>
      <c r="U693" s="26" t="s">
        <v>45</v>
      </c>
      <c r="V693" s="13" t="s">
        <v>29</v>
      </c>
      <c r="X693" s="12">
        <v>5</v>
      </c>
      <c r="Z693" s="14" t="s">
        <v>3828</v>
      </c>
      <c r="AA693" s="12" t="s">
        <v>5776</v>
      </c>
      <c r="AB693" s="14" t="s">
        <v>3887</v>
      </c>
      <c r="AD693" s="12" t="s">
        <v>764</v>
      </c>
    </row>
    <row r="694" spans="1:30" ht="41.4" x14ac:dyDescent="0.3">
      <c r="A694" s="1" t="s">
        <v>5704</v>
      </c>
      <c r="B694" s="6" t="s">
        <v>5705</v>
      </c>
      <c r="C694" s="6" t="s">
        <v>1742</v>
      </c>
      <c r="D694" s="1" t="s">
        <v>5706</v>
      </c>
      <c r="E694" s="1" t="s">
        <v>5707</v>
      </c>
      <c r="F694" s="1" t="s">
        <v>5708</v>
      </c>
      <c r="G694" s="1" t="s">
        <v>5709</v>
      </c>
      <c r="H694" s="1" t="s">
        <v>5710</v>
      </c>
      <c r="I694" s="1" t="s">
        <v>5711</v>
      </c>
      <c r="J694" s="1" t="s">
        <v>3065</v>
      </c>
      <c r="K694" s="1" t="s">
        <v>39</v>
      </c>
      <c r="L694" s="1" t="s">
        <v>5712</v>
      </c>
      <c r="M694" s="1" t="s">
        <v>42</v>
      </c>
      <c r="N694" s="1"/>
      <c r="O694" s="1" t="s">
        <v>31</v>
      </c>
      <c r="P694" s="1"/>
      <c r="Q694" s="1"/>
      <c r="R694" s="1" t="s">
        <v>5359</v>
      </c>
      <c r="S694" s="1" t="s">
        <v>5713</v>
      </c>
      <c r="T694" s="15">
        <v>2023</v>
      </c>
      <c r="U694" s="26" t="s">
        <v>45</v>
      </c>
      <c r="V694" s="13" t="s">
        <v>29</v>
      </c>
      <c r="Y694" s="41" t="s">
        <v>10082</v>
      </c>
      <c r="Z694" s="14" t="s">
        <v>3870</v>
      </c>
      <c r="AA694" s="12" t="s">
        <v>5775</v>
      </c>
      <c r="AB694" s="14" t="s">
        <v>3886</v>
      </c>
      <c r="AD694" s="12" t="s">
        <v>764</v>
      </c>
    </row>
    <row r="695" spans="1:30" hidden="1" x14ac:dyDescent="0.3">
      <c r="A695" s="1" t="s">
        <v>5692</v>
      </c>
      <c r="B695" s="6" t="s">
        <v>5693</v>
      </c>
      <c r="C695" s="6" t="s">
        <v>5694</v>
      </c>
      <c r="D695" s="1" t="s">
        <v>5695</v>
      </c>
      <c r="E695" s="1" t="s">
        <v>5696</v>
      </c>
      <c r="F695" s="1" t="s">
        <v>5697</v>
      </c>
      <c r="G695" s="1" t="s">
        <v>5698</v>
      </c>
      <c r="H695" s="1" t="s">
        <v>5699</v>
      </c>
      <c r="I695" s="1" t="s">
        <v>5700</v>
      </c>
      <c r="J695" s="1" t="s">
        <v>1060</v>
      </c>
      <c r="K695" s="1" t="s">
        <v>39</v>
      </c>
      <c r="L695" s="1" t="s">
        <v>5701</v>
      </c>
      <c r="M695" s="1" t="s">
        <v>141</v>
      </c>
      <c r="N695" s="1" t="s">
        <v>5702</v>
      </c>
      <c r="O695" s="1" t="s">
        <v>31</v>
      </c>
      <c r="P695" s="1"/>
      <c r="Q695" s="1"/>
      <c r="R695" s="1" t="s">
        <v>5359</v>
      </c>
      <c r="S695" s="1" t="s">
        <v>5703</v>
      </c>
      <c r="T695" s="15">
        <v>2023</v>
      </c>
      <c r="U695" s="26" t="s">
        <v>45</v>
      </c>
      <c r="V695" s="13" t="s">
        <v>29</v>
      </c>
      <c r="X695" s="12">
        <v>5</v>
      </c>
      <c r="Z695" s="14" t="s">
        <v>3828</v>
      </c>
      <c r="AA695" s="12" t="s">
        <v>3019</v>
      </c>
      <c r="AB695" s="14" t="s">
        <v>3888</v>
      </c>
      <c r="AD695" s="12" t="s">
        <v>5774</v>
      </c>
    </row>
    <row r="696" spans="1:30" ht="27.6" x14ac:dyDescent="0.3">
      <c r="A696" s="1" t="s">
        <v>5125</v>
      </c>
      <c r="B696" s="6" t="s">
        <v>5683</v>
      </c>
      <c r="C696" s="6" t="s">
        <v>5684</v>
      </c>
      <c r="D696" s="1" t="s">
        <v>5685</v>
      </c>
      <c r="E696" s="1" t="s">
        <v>5686</v>
      </c>
      <c r="F696" s="1" t="s">
        <v>5687</v>
      </c>
      <c r="G696" s="1"/>
      <c r="H696" s="1" t="s">
        <v>5688</v>
      </c>
      <c r="I696" s="1" t="s">
        <v>5689</v>
      </c>
      <c r="J696" s="1" t="s">
        <v>382</v>
      </c>
      <c r="K696" s="1" t="s">
        <v>39</v>
      </c>
      <c r="L696" s="1" t="s">
        <v>5690</v>
      </c>
      <c r="M696" s="1" t="s">
        <v>141</v>
      </c>
      <c r="N696" s="1"/>
      <c r="O696" s="1" t="s">
        <v>31</v>
      </c>
      <c r="P696" s="1"/>
      <c r="Q696" s="1"/>
      <c r="R696" s="1" t="s">
        <v>5429</v>
      </c>
      <c r="S696" s="1" t="s">
        <v>5691</v>
      </c>
      <c r="T696" s="15">
        <v>2023</v>
      </c>
      <c r="U696" s="26" t="s">
        <v>45</v>
      </c>
      <c r="V696" s="13" t="s">
        <v>29</v>
      </c>
      <c r="Y696" s="41" t="s">
        <v>10082</v>
      </c>
      <c r="Z696" s="14" t="s">
        <v>3835</v>
      </c>
      <c r="AA696" s="12" t="s">
        <v>5278</v>
      </c>
      <c r="AB696" s="14" t="s">
        <v>3884</v>
      </c>
      <c r="AD696" s="12" t="s">
        <v>764</v>
      </c>
    </row>
    <row r="697" spans="1:30" hidden="1" x14ac:dyDescent="0.3">
      <c r="A697" s="1"/>
      <c r="B697" s="6" t="s">
        <v>3757</v>
      </c>
      <c r="C697" s="6" t="s">
        <v>1882</v>
      </c>
      <c r="D697" s="1" t="s">
        <v>5678</v>
      </c>
      <c r="E697" s="1" t="s">
        <v>5679</v>
      </c>
      <c r="F697" s="1" t="s">
        <v>5680</v>
      </c>
      <c r="G697" s="1" t="s">
        <v>5681</v>
      </c>
      <c r="H697" s="1"/>
      <c r="I697" s="1"/>
      <c r="J697" s="1" t="s">
        <v>72</v>
      </c>
      <c r="K697" s="1" t="s">
        <v>39</v>
      </c>
      <c r="L697" s="1" t="s">
        <v>4011</v>
      </c>
      <c r="M697" s="1" t="s">
        <v>42</v>
      </c>
      <c r="N697" s="1"/>
      <c r="O697" s="1" t="s">
        <v>31</v>
      </c>
      <c r="P697" s="1"/>
      <c r="Q697" s="1"/>
      <c r="R697" s="1" t="s">
        <v>5655</v>
      </c>
      <c r="S697" s="1" t="s">
        <v>5682</v>
      </c>
      <c r="T697" s="15">
        <v>2023</v>
      </c>
      <c r="U697" s="26" t="s">
        <v>45</v>
      </c>
      <c r="V697" s="13" t="s">
        <v>29</v>
      </c>
      <c r="X697" s="12">
        <v>5</v>
      </c>
      <c r="Y697" s="41">
        <v>45110</v>
      </c>
      <c r="Z697" s="14" t="s">
        <v>3828</v>
      </c>
      <c r="AA697" s="12" t="s">
        <v>5773</v>
      </c>
      <c r="AB697" s="14" t="s">
        <v>3888</v>
      </c>
      <c r="AD697" s="12" t="s">
        <v>764</v>
      </c>
    </row>
    <row r="698" spans="1:30" hidden="1" x14ac:dyDescent="0.3">
      <c r="A698" s="1" t="s">
        <v>4040</v>
      </c>
      <c r="B698" s="6" t="s">
        <v>5671</v>
      </c>
      <c r="C698" s="6" t="s">
        <v>346</v>
      </c>
      <c r="D698" s="1" t="s">
        <v>5672</v>
      </c>
      <c r="E698" s="1" t="s">
        <v>5673</v>
      </c>
      <c r="F698" s="1" t="s">
        <v>5674</v>
      </c>
      <c r="G698" s="1"/>
      <c r="H698" s="1" t="s">
        <v>4001</v>
      </c>
      <c r="I698" s="1" t="s">
        <v>5675</v>
      </c>
      <c r="J698" s="1" t="s">
        <v>4740</v>
      </c>
      <c r="K698" s="1" t="s">
        <v>39</v>
      </c>
      <c r="L698" s="1" t="s">
        <v>5676</v>
      </c>
      <c r="M698" s="1" t="s">
        <v>42</v>
      </c>
      <c r="N698" s="1"/>
      <c r="O698" s="1" t="s">
        <v>31</v>
      </c>
      <c r="P698" s="1"/>
      <c r="Q698" s="1"/>
      <c r="R698" s="1" t="s">
        <v>5429</v>
      </c>
      <c r="S698" s="1" t="s">
        <v>5677</v>
      </c>
      <c r="T698" s="15">
        <v>2023</v>
      </c>
      <c r="U698" s="26" t="s">
        <v>45</v>
      </c>
      <c r="V698" s="13" t="s">
        <v>29</v>
      </c>
      <c r="X698" s="12" t="s">
        <v>9955</v>
      </c>
      <c r="Y698" s="41">
        <v>45110</v>
      </c>
      <c r="Z698" s="14" t="s">
        <v>3828</v>
      </c>
      <c r="AA698" s="12" t="s">
        <v>5772</v>
      </c>
      <c r="AB698" s="14" t="s">
        <v>3888</v>
      </c>
      <c r="AD698" s="12" t="s">
        <v>764</v>
      </c>
    </row>
    <row r="699" spans="1:30" hidden="1" x14ac:dyDescent="0.3">
      <c r="A699" s="1"/>
      <c r="B699" s="6" t="s">
        <v>5666</v>
      </c>
      <c r="C699" s="6" t="s">
        <v>423</v>
      </c>
      <c r="D699" s="1" t="s">
        <v>5667</v>
      </c>
      <c r="E699" s="1"/>
      <c r="F699" s="1" t="s">
        <v>5668</v>
      </c>
      <c r="G699" s="1"/>
      <c r="H699" s="1"/>
      <c r="I699" s="1" t="s">
        <v>5669</v>
      </c>
      <c r="J699" s="1" t="s">
        <v>4511</v>
      </c>
      <c r="K699" s="1" t="s">
        <v>39</v>
      </c>
      <c r="L699" s="1" t="s">
        <v>1025</v>
      </c>
      <c r="M699" s="1" t="s">
        <v>141</v>
      </c>
      <c r="N699" s="1"/>
      <c r="O699" s="1" t="s">
        <v>31</v>
      </c>
      <c r="P699" s="1"/>
      <c r="Q699" s="1"/>
      <c r="R699" s="1" t="s">
        <v>5359</v>
      </c>
      <c r="S699" s="1" t="s">
        <v>5670</v>
      </c>
      <c r="T699" s="15">
        <v>2023</v>
      </c>
      <c r="U699" s="26" t="s">
        <v>45</v>
      </c>
      <c r="V699" s="13" t="s">
        <v>29</v>
      </c>
      <c r="X699" s="12">
        <v>5</v>
      </c>
      <c r="Z699" s="14" t="s">
        <v>3835</v>
      </c>
      <c r="AA699" s="12" t="s">
        <v>5771</v>
      </c>
      <c r="AB699" s="14" t="s">
        <v>3884</v>
      </c>
      <c r="AD699" s="12" t="s">
        <v>764</v>
      </c>
    </row>
    <row r="700" spans="1:30" hidden="1" x14ac:dyDescent="0.3">
      <c r="A700" s="1" t="s">
        <v>1379</v>
      </c>
      <c r="B700" s="6" t="s">
        <v>5657</v>
      </c>
      <c r="C700" s="6" t="s">
        <v>346</v>
      </c>
      <c r="D700" s="1" t="s">
        <v>5658</v>
      </c>
      <c r="E700" s="1" t="s">
        <v>5659</v>
      </c>
      <c r="F700" s="1" t="s">
        <v>5660</v>
      </c>
      <c r="G700" s="1" t="s">
        <v>5661</v>
      </c>
      <c r="H700" s="1" t="s">
        <v>1389</v>
      </c>
      <c r="I700" s="1" t="s">
        <v>5662</v>
      </c>
      <c r="J700" s="1" t="s">
        <v>5663</v>
      </c>
      <c r="K700" s="1" t="s">
        <v>39</v>
      </c>
      <c r="L700" s="1" t="s">
        <v>5664</v>
      </c>
      <c r="M700" s="1" t="s">
        <v>141</v>
      </c>
      <c r="N700" s="1"/>
      <c r="O700" s="1" t="s">
        <v>31</v>
      </c>
      <c r="P700" s="1"/>
      <c r="Q700" s="1"/>
      <c r="R700" s="1" t="s">
        <v>5359</v>
      </c>
      <c r="S700" s="1" t="s">
        <v>5665</v>
      </c>
      <c r="T700" s="15">
        <v>2023</v>
      </c>
      <c r="U700" s="26" t="s">
        <v>45</v>
      </c>
      <c r="V700" s="13" t="s">
        <v>29</v>
      </c>
      <c r="X700" s="12">
        <v>5</v>
      </c>
      <c r="Z700" s="14" t="s">
        <v>3828</v>
      </c>
      <c r="AA700" s="12" t="s">
        <v>566</v>
      </c>
      <c r="AB700" s="14" t="s">
        <v>3887</v>
      </c>
      <c r="AD700" s="12" t="s">
        <v>764</v>
      </c>
    </row>
    <row r="701" spans="1:30" ht="27.6" x14ac:dyDescent="0.3">
      <c r="A701" s="1"/>
      <c r="B701" s="6" t="s">
        <v>5647</v>
      </c>
      <c r="C701" s="6" t="s">
        <v>87</v>
      </c>
      <c r="D701" s="1" t="s">
        <v>5648</v>
      </c>
      <c r="E701" s="1" t="s">
        <v>5649</v>
      </c>
      <c r="F701" s="1" t="s">
        <v>5650</v>
      </c>
      <c r="G701" s="1" t="s">
        <v>5651</v>
      </c>
      <c r="H701" s="1" t="s">
        <v>5652</v>
      </c>
      <c r="I701" s="1" t="s">
        <v>5653</v>
      </c>
      <c r="J701" s="1" t="s">
        <v>3912</v>
      </c>
      <c r="K701" s="1" t="s">
        <v>39</v>
      </c>
      <c r="L701" s="1" t="s">
        <v>5654</v>
      </c>
      <c r="M701" s="1" t="s">
        <v>42</v>
      </c>
      <c r="N701" s="1"/>
      <c r="O701" s="1" t="s">
        <v>31</v>
      </c>
      <c r="P701" s="1"/>
      <c r="Q701" s="1"/>
      <c r="R701" s="1" t="s">
        <v>5655</v>
      </c>
      <c r="S701" s="1" t="s">
        <v>5656</v>
      </c>
      <c r="T701" s="15">
        <v>2023</v>
      </c>
      <c r="U701" s="26" t="s">
        <v>45</v>
      </c>
      <c r="V701" s="13" t="s">
        <v>29</v>
      </c>
      <c r="Y701" s="41" t="s">
        <v>10082</v>
      </c>
      <c r="Z701" s="14" t="s">
        <v>3835</v>
      </c>
      <c r="AA701" s="12" t="s">
        <v>5353</v>
      </c>
      <c r="AB701" s="14" t="s">
        <v>3884</v>
      </c>
      <c r="AD701" s="12" t="s">
        <v>764</v>
      </c>
    </row>
    <row r="702" spans="1:30" hidden="1" x14ac:dyDescent="0.3">
      <c r="A702" s="1" t="s">
        <v>1379</v>
      </c>
      <c r="B702" s="6" t="s">
        <v>5640</v>
      </c>
      <c r="C702" s="6" t="s">
        <v>2065</v>
      </c>
      <c r="D702" s="1" t="s">
        <v>5641</v>
      </c>
      <c r="E702" s="1" t="s">
        <v>5642</v>
      </c>
      <c r="F702" s="1" t="s">
        <v>5643</v>
      </c>
      <c r="G702" s="1" t="s">
        <v>5644</v>
      </c>
      <c r="H702" s="1"/>
      <c r="I702" s="1"/>
      <c r="J702" s="1" t="s">
        <v>3238</v>
      </c>
      <c r="K702" s="1" t="s">
        <v>39</v>
      </c>
      <c r="L702" s="1" t="s">
        <v>5645</v>
      </c>
      <c r="M702" s="1" t="s">
        <v>42</v>
      </c>
      <c r="N702" s="1"/>
      <c r="O702" s="1" t="s">
        <v>31</v>
      </c>
      <c r="P702" s="1"/>
      <c r="Q702" s="1"/>
      <c r="R702" s="1" t="s">
        <v>5429</v>
      </c>
      <c r="S702" s="1" t="s">
        <v>5646</v>
      </c>
      <c r="T702" s="15">
        <v>2023</v>
      </c>
      <c r="U702" s="26" t="s">
        <v>45</v>
      </c>
      <c r="V702" s="13" t="s">
        <v>29</v>
      </c>
      <c r="X702" s="12">
        <v>10</v>
      </c>
      <c r="Z702" s="14" t="s">
        <v>3828</v>
      </c>
      <c r="AB702" s="14" t="s">
        <v>3888</v>
      </c>
      <c r="AD702" s="12" t="s">
        <v>764</v>
      </c>
    </row>
    <row r="703" spans="1:30" ht="96.6" hidden="1" x14ac:dyDescent="0.3">
      <c r="A703" s="1" t="s">
        <v>5627</v>
      </c>
      <c r="B703" s="6" t="s">
        <v>5628</v>
      </c>
      <c r="C703" s="6" t="s">
        <v>1882</v>
      </c>
      <c r="D703" s="1" t="s">
        <v>5629</v>
      </c>
      <c r="E703" s="1" t="s">
        <v>5630</v>
      </c>
      <c r="F703" s="1" t="s">
        <v>5631</v>
      </c>
      <c r="G703" s="1" t="s">
        <v>5632</v>
      </c>
      <c r="H703" s="1" t="s">
        <v>5633</v>
      </c>
      <c r="I703" s="1" t="s">
        <v>5634</v>
      </c>
      <c r="J703" s="1" t="s">
        <v>5635</v>
      </c>
      <c r="K703" s="1" t="s">
        <v>5636</v>
      </c>
      <c r="L703" s="1" t="s">
        <v>5637</v>
      </c>
      <c r="M703" s="1" t="s">
        <v>141</v>
      </c>
      <c r="N703" s="1" t="s">
        <v>5638</v>
      </c>
      <c r="O703" s="1" t="s">
        <v>31</v>
      </c>
      <c r="P703" s="1"/>
      <c r="Q703" s="1"/>
      <c r="R703" s="1" t="s">
        <v>5429</v>
      </c>
      <c r="S703" s="1" t="s">
        <v>5639</v>
      </c>
      <c r="T703" s="15">
        <v>2023</v>
      </c>
      <c r="U703" s="26" t="s">
        <v>45</v>
      </c>
      <c r="V703" s="13" t="s">
        <v>29</v>
      </c>
      <c r="X703" s="12">
        <v>5</v>
      </c>
      <c r="Z703" s="14" t="s">
        <v>3828</v>
      </c>
      <c r="AA703" s="14" t="s">
        <v>5770</v>
      </c>
      <c r="AB703" s="14" t="s">
        <v>3887</v>
      </c>
      <c r="AD703" s="12" t="s">
        <v>764</v>
      </c>
    </row>
    <row r="704" spans="1:30" ht="27.6" hidden="1" x14ac:dyDescent="0.3">
      <c r="A704" s="1" t="s">
        <v>2635</v>
      </c>
      <c r="B704" s="6" t="s">
        <v>5615</v>
      </c>
      <c r="C704" s="6" t="s">
        <v>2097</v>
      </c>
      <c r="D704" s="1" t="s">
        <v>5616</v>
      </c>
      <c r="E704" s="1" t="s">
        <v>5617</v>
      </c>
      <c r="F704" s="1" t="s">
        <v>5618</v>
      </c>
      <c r="G704" s="1" t="s">
        <v>5619</v>
      </c>
      <c r="H704" s="1" t="s">
        <v>5620</v>
      </c>
      <c r="I704" s="1" t="s">
        <v>5621</v>
      </c>
      <c r="J704" s="1" t="s">
        <v>5622</v>
      </c>
      <c r="K704" s="1" t="s">
        <v>5623</v>
      </c>
      <c r="L704" s="1" t="s">
        <v>5624</v>
      </c>
      <c r="M704" s="1" t="s">
        <v>141</v>
      </c>
      <c r="N704" s="1" t="s">
        <v>5625</v>
      </c>
      <c r="O704" s="1" t="s">
        <v>31</v>
      </c>
      <c r="P704" s="1"/>
      <c r="Q704" s="1"/>
      <c r="R704" s="1" t="s">
        <v>5371</v>
      </c>
      <c r="S704" s="1" t="s">
        <v>5626</v>
      </c>
      <c r="T704" s="15">
        <v>2023</v>
      </c>
      <c r="U704" s="26" t="s">
        <v>45</v>
      </c>
      <c r="V704" s="13" t="s">
        <v>29</v>
      </c>
      <c r="X704" s="12">
        <v>5</v>
      </c>
      <c r="Z704" s="14" t="s">
        <v>3828</v>
      </c>
      <c r="AA704" s="14" t="s">
        <v>4011</v>
      </c>
      <c r="AB704" s="14" t="s">
        <v>3888</v>
      </c>
      <c r="AD704" s="12" t="s">
        <v>764</v>
      </c>
    </row>
    <row r="705" spans="1:30" ht="27.6" hidden="1" x14ac:dyDescent="0.3">
      <c r="A705" s="1" t="s">
        <v>100</v>
      </c>
      <c r="B705" s="6" t="s">
        <v>5606</v>
      </c>
      <c r="C705" s="6" t="s">
        <v>124</v>
      </c>
      <c r="D705" s="1" t="s">
        <v>5607</v>
      </c>
      <c r="E705" s="1" t="s">
        <v>5608</v>
      </c>
      <c r="F705" s="1" t="s">
        <v>5609</v>
      </c>
      <c r="G705" s="1" t="s">
        <v>5610</v>
      </c>
      <c r="H705" s="1" t="s">
        <v>5611</v>
      </c>
      <c r="I705" s="1"/>
      <c r="J705" s="1" t="s">
        <v>5612</v>
      </c>
      <c r="K705" s="1" t="s">
        <v>39</v>
      </c>
      <c r="L705" s="1" t="s">
        <v>5613</v>
      </c>
      <c r="M705" s="1" t="s">
        <v>42</v>
      </c>
      <c r="N705" s="1"/>
      <c r="O705" s="1" t="s">
        <v>31</v>
      </c>
      <c r="P705" s="1"/>
      <c r="Q705" s="1"/>
      <c r="R705" s="1" t="s">
        <v>5429</v>
      </c>
      <c r="S705" s="1" t="s">
        <v>5614</v>
      </c>
      <c r="T705" s="15">
        <v>2023</v>
      </c>
      <c r="U705" s="26" t="s">
        <v>45</v>
      </c>
      <c r="V705" s="13" t="s">
        <v>29</v>
      </c>
      <c r="X705" s="12">
        <v>5</v>
      </c>
      <c r="Z705" s="14" t="s">
        <v>3828</v>
      </c>
      <c r="AA705" s="14" t="s">
        <v>3019</v>
      </c>
      <c r="AB705" s="14" t="s">
        <v>3888</v>
      </c>
      <c r="AD705" s="12" t="s">
        <v>764</v>
      </c>
    </row>
    <row r="706" spans="1:30" hidden="1" x14ac:dyDescent="0.3">
      <c r="A706" s="1" t="s">
        <v>22</v>
      </c>
      <c r="B706" s="6" t="s">
        <v>5599</v>
      </c>
      <c r="C706" s="6" t="s">
        <v>5600</v>
      </c>
      <c r="D706" s="1" t="s">
        <v>5601</v>
      </c>
      <c r="E706" s="1" t="s">
        <v>5602</v>
      </c>
      <c r="F706" s="1" t="s">
        <v>5603</v>
      </c>
      <c r="G706" s="1"/>
      <c r="H706" s="1" t="s">
        <v>1859</v>
      </c>
      <c r="I706" s="1" t="s">
        <v>5604</v>
      </c>
      <c r="J706" s="1" t="s">
        <v>339</v>
      </c>
      <c r="K706" s="1" t="s">
        <v>39</v>
      </c>
      <c r="L706" s="1" t="s">
        <v>731</v>
      </c>
      <c r="M706" s="1" t="s">
        <v>141</v>
      </c>
      <c r="N706" s="1"/>
      <c r="O706" s="1" t="s">
        <v>31</v>
      </c>
      <c r="P706" s="1"/>
      <c r="Q706" s="1"/>
      <c r="R706" s="1" t="s">
        <v>5429</v>
      </c>
      <c r="S706" s="1" t="s">
        <v>5605</v>
      </c>
      <c r="T706" s="15">
        <v>2023</v>
      </c>
      <c r="U706" s="26" t="s">
        <v>45</v>
      </c>
      <c r="V706" s="13" t="s">
        <v>29</v>
      </c>
      <c r="X706" s="12">
        <v>5</v>
      </c>
      <c r="Z706" s="14" t="s">
        <v>3835</v>
      </c>
      <c r="AA706" s="14" t="s">
        <v>4915</v>
      </c>
      <c r="AB706" s="14" t="s">
        <v>3884</v>
      </c>
      <c r="AD706" s="12" t="s">
        <v>764</v>
      </c>
    </row>
    <row r="707" spans="1:30" ht="27.6" hidden="1" x14ac:dyDescent="0.3">
      <c r="A707" s="1" t="s">
        <v>5590</v>
      </c>
      <c r="B707" s="6" t="s">
        <v>5591</v>
      </c>
      <c r="C707" s="6" t="s">
        <v>79</v>
      </c>
      <c r="D707" s="1" t="s">
        <v>5592</v>
      </c>
      <c r="E707" s="1" t="s">
        <v>5593</v>
      </c>
      <c r="F707" s="1" t="s">
        <v>5594</v>
      </c>
      <c r="G707" s="1" t="s">
        <v>5595</v>
      </c>
      <c r="H707" s="1" t="s">
        <v>5596</v>
      </c>
      <c r="I707" s="1"/>
      <c r="J707" s="1" t="s">
        <v>3065</v>
      </c>
      <c r="K707" s="1" t="s">
        <v>39</v>
      </c>
      <c r="L707" s="1" t="s">
        <v>5597</v>
      </c>
      <c r="M707" s="1" t="s">
        <v>42</v>
      </c>
      <c r="N707" s="1"/>
      <c r="O707" s="1" t="s">
        <v>31</v>
      </c>
      <c r="P707" s="1"/>
      <c r="Q707" s="1"/>
      <c r="R707" s="1" t="s">
        <v>5359</v>
      </c>
      <c r="S707" s="1" t="s">
        <v>5598</v>
      </c>
      <c r="T707" s="15">
        <v>2023</v>
      </c>
      <c r="U707" s="26" t="s">
        <v>45</v>
      </c>
      <c r="V707" s="13" t="s">
        <v>29</v>
      </c>
      <c r="X707" s="12">
        <v>5</v>
      </c>
      <c r="Z707" s="14" t="s">
        <v>3835</v>
      </c>
      <c r="AA707" s="14" t="s">
        <v>5278</v>
      </c>
      <c r="AB707" s="14" t="s">
        <v>3884</v>
      </c>
      <c r="AD707" s="12" t="s">
        <v>764</v>
      </c>
    </row>
    <row r="708" spans="1:30" hidden="1" x14ac:dyDescent="0.3">
      <c r="A708" s="1"/>
      <c r="B708" s="6" t="s">
        <v>5583</v>
      </c>
      <c r="C708" s="6" t="s">
        <v>5584</v>
      </c>
      <c r="D708" s="1" t="s">
        <v>5585</v>
      </c>
      <c r="E708" s="1"/>
      <c r="F708" s="1" t="s">
        <v>5586</v>
      </c>
      <c r="G708" s="1"/>
      <c r="H708" s="1"/>
      <c r="I708" s="1"/>
      <c r="J708" s="1" t="s">
        <v>5587</v>
      </c>
      <c r="K708" s="1" t="s">
        <v>39</v>
      </c>
      <c r="L708" s="1" t="s">
        <v>5588</v>
      </c>
      <c r="M708" s="1" t="s">
        <v>141</v>
      </c>
      <c r="N708" s="1"/>
      <c r="O708" s="1" t="s">
        <v>31</v>
      </c>
      <c r="P708" s="1"/>
      <c r="Q708" s="1"/>
      <c r="R708" s="1" t="s">
        <v>5371</v>
      </c>
      <c r="S708" s="1" t="s">
        <v>5589</v>
      </c>
      <c r="T708" s="15">
        <v>2023</v>
      </c>
      <c r="U708" s="26" t="s">
        <v>45</v>
      </c>
      <c r="V708" s="13" t="s">
        <v>29</v>
      </c>
      <c r="X708" s="12">
        <v>5</v>
      </c>
      <c r="Z708" s="14" t="s">
        <v>3835</v>
      </c>
      <c r="AA708" s="14" t="s">
        <v>5769</v>
      </c>
      <c r="AB708" s="14" t="s">
        <v>3884</v>
      </c>
      <c r="AD708" s="12" t="s">
        <v>764</v>
      </c>
    </row>
    <row r="709" spans="1:30" ht="27.6" x14ac:dyDescent="0.3">
      <c r="A709" s="1"/>
      <c r="B709" s="6" t="s">
        <v>5577</v>
      </c>
      <c r="C709" s="6" t="s">
        <v>1882</v>
      </c>
      <c r="D709" s="1" t="s">
        <v>5578</v>
      </c>
      <c r="E709" s="1" t="s">
        <v>5579</v>
      </c>
      <c r="F709" s="1" t="s">
        <v>5580</v>
      </c>
      <c r="G709" s="1"/>
      <c r="H709" s="1"/>
      <c r="I709" s="1"/>
      <c r="J709" s="1" t="s">
        <v>72</v>
      </c>
      <c r="K709" s="1" t="s">
        <v>39</v>
      </c>
      <c r="L709" s="1" t="s">
        <v>5581</v>
      </c>
      <c r="M709" s="1" t="s">
        <v>42</v>
      </c>
      <c r="N709" s="1"/>
      <c r="O709" s="1" t="s">
        <v>31</v>
      </c>
      <c r="P709" s="1"/>
      <c r="Q709" s="1"/>
      <c r="R709" s="1" t="s">
        <v>5480</v>
      </c>
      <c r="S709" s="1" t="s">
        <v>5582</v>
      </c>
      <c r="T709" s="15">
        <v>2023</v>
      </c>
      <c r="U709" s="26" t="s">
        <v>45</v>
      </c>
      <c r="V709" s="13" t="s">
        <v>29</v>
      </c>
      <c r="Y709" s="41" t="s">
        <v>10082</v>
      </c>
      <c r="Z709" s="14" t="s">
        <v>3828</v>
      </c>
      <c r="AA709" s="14" t="s">
        <v>5768</v>
      </c>
      <c r="AB709" s="14" t="s">
        <v>3885</v>
      </c>
      <c r="AD709" s="12" t="s">
        <v>764</v>
      </c>
    </row>
    <row r="710" spans="1:30" ht="27.6" x14ac:dyDescent="0.3">
      <c r="A710" s="1"/>
      <c r="B710" s="6" t="s">
        <v>5572</v>
      </c>
      <c r="C710" s="6" t="s">
        <v>3985</v>
      </c>
      <c r="D710" s="1" t="s">
        <v>5573</v>
      </c>
      <c r="E710" s="1"/>
      <c r="F710" s="1" t="s">
        <v>5574</v>
      </c>
      <c r="G710" s="1"/>
      <c r="H710" s="1"/>
      <c r="I710" s="1"/>
      <c r="J710" s="1" t="s">
        <v>72</v>
      </c>
      <c r="K710" s="1" t="s">
        <v>39</v>
      </c>
      <c r="L710" s="1" t="s">
        <v>5575</v>
      </c>
      <c r="M710" s="1" t="s">
        <v>42</v>
      </c>
      <c r="N710" s="1"/>
      <c r="O710" s="1" t="s">
        <v>31</v>
      </c>
      <c r="P710" s="1"/>
      <c r="Q710" s="1"/>
      <c r="R710" s="1" t="s">
        <v>5359</v>
      </c>
      <c r="S710" s="1" t="s">
        <v>5576</v>
      </c>
      <c r="T710" s="15">
        <v>2023</v>
      </c>
      <c r="U710" s="26" t="s">
        <v>45</v>
      </c>
      <c r="V710" s="13" t="s">
        <v>29</v>
      </c>
      <c r="Y710" s="41" t="s">
        <v>10082</v>
      </c>
      <c r="Z710" s="14" t="s">
        <v>3835</v>
      </c>
      <c r="AA710" s="14" t="s">
        <v>5353</v>
      </c>
      <c r="AB710" s="14" t="s">
        <v>3884</v>
      </c>
      <c r="AD710" s="12" t="s">
        <v>764</v>
      </c>
    </row>
    <row r="711" spans="1:30" ht="55.2" hidden="1" x14ac:dyDescent="0.3">
      <c r="A711" s="1" t="s">
        <v>5560</v>
      </c>
      <c r="B711" s="6" t="s">
        <v>5561</v>
      </c>
      <c r="C711" s="6" t="s">
        <v>229</v>
      </c>
      <c r="D711" s="1" t="s">
        <v>5562</v>
      </c>
      <c r="E711" s="1" t="s">
        <v>5563</v>
      </c>
      <c r="F711" s="1" t="s">
        <v>5564</v>
      </c>
      <c r="G711" s="1" t="s">
        <v>5565</v>
      </c>
      <c r="H711" s="1" t="s">
        <v>5566</v>
      </c>
      <c r="I711" s="1" t="s">
        <v>5567</v>
      </c>
      <c r="J711" s="1" t="s">
        <v>5568</v>
      </c>
      <c r="K711" s="1" t="s">
        <v>5569</v>
      </c>
      <c r="L711" s="1" t="s">
        <v>5570</v>
      </c>
      <c r="M711" s="1" t="s">
        <v>141</v>
      </c>
      <c r="N711" s="1"/>
      <c r="O711" s="1" t="s">
        <v>31</v>
      </c>
      <c r="P711" s="1"/>
      <c r="Q711" s="1"/>
      <c r="R711" s="1" t="s">
        <v>5371</v>
      </c>
      <c r="S711" s="1" t="s">
        <v>5571</v>
      </c>
      <c r="T711" s="15">
        <v>2023</v>
      </c>
      <c r="U711" s="26" t="s">
        <v>45</v>
      </c>
      <c r="V711" s="13" t="s">
        <v>29</v>
      </c>
      <c r="X711" s="12">
        <v>10</v>
      </c>
      <c r="Z711" s="14" t="s">
        <v>3828</v>
      </c>
      <c r="AA711" s="14" t="s">
        <v>5767</v>
      </c>
      <c r="AB711" s="14" t="s">
        <v>3888</v>
      </c>
      <c r="AD711" s="12" t="s">
        <v>764</v>
      </c>
    </row>
    <row r="712" spans="1:30" hidden="1" x14ac:dyDescent="0.3">
      <c r="A712" s="1"/>
      <c r="B712" s="6" t="s">
        <v>5552</v>
      </c>
      <c r="C712" s="6" t="s">
        <v>5553</v>
      </c>
      <c r="D712" s="1" t="s">
        <v>5554</v>
      </c>
      <c r="E712" s="1" t="s">
        <v>5555</v>
      </c>
      <c r="F712" s="1" t="s">
        <v>5556</v>
      </c>
      <c r="G712" s="1" t="s">
        <v>5557</v>
      </c>
      <c r="H712" s="1"/>
      <c r="I712" s="1"/>
      <c r="J712" s="1" t="s">
        <v>5416</v>
      </c>
      <c r="K712" s="1" t="s">
        <v>39</v>
      </c>
      <c r="L712" s="1" t="s">
        <v>5558</v>
      </c>
      <c r="M712" s="1" t="s">
        <v>141</v>
      </c>
      <c r="N712" s="1"/>
      <c r="O712" s="1" t="s">
        <v>31</v>
      </c>
      <c r="P712" s="1"/>
      <c r="Q712" s="1"/>
      <c r="R712" s="1" t="s">
        <v>5359</v>
      </c>
      <c r="S712" s="1" t="s">
        <v>5559</v>
      </c>
      <c r="T712" s="15">
        <v>2023</v>
      </c>
      <c r="U712" s="26" t="s">
        <v>5765</v>
      </c>
      <c r="V712" s="13" t="s">
        <v>29</v>
      </c>
      <c r="X712" s="12">
        <v>5</v>
      </c>
      <c r="Z712" s="14" t="s">
        <v>3835</v>
      </c>
      <c r="AA712" s="14" t="s">
        <v>5353</v>
      </c>
      <c r="AB712" s="14" t="s">
        <v>3884</v>
      </c>
      <c r="AD712" s="12" t="s">
        <v>764</v>
      </c>
    </row>
    <row r="713" spans="1:30" hidden="1" x14ac:dyDescent="0.3">
      <c r="A713" s="1" t="s">
        <v>5546</v>
      </c>
      <c r="B713" s="6" t="s">
        <v>1852</v>
      </c>
      <c r="C713" s="6" t="s">
        <v>390</v>
      </c>
      <c r="D713" s="1" t="s">
        <v>5547</v>
      </c>
      <c r="E713" s="1" t="s">
        <v>5548</v>
      </c>
      <c r="F713" s="1" t="s">
        <v>5549</v>
      </c>
      <c r="G713" s="1"/>
      <c r="H713" s="1"/>
      <c r="I713" s="1"/>
      <c r="J713" s="1" t="s">
        <v>5550</v>
      </c>
      <c r="K713" s="1" t="s">
        <v>39</v>
      </c>
      <c r="L713" s="1" t="s">
        <v>731</v>
      </c>
      <c r="M713" s="1" t="s">
        <v>141</v>
      </c>
      <c r="N713" s="1"/>
      <c r="O713" s="1" t="s">
        <v>31</v>
      </c>
      <c r="P713" s="1"/>
      <c r="Q713" s="1"/>
      <c r="R713" s="1" t="s">
        <v>5359</v>
      </c>
      <c r="S713" s="1" t="s">
        <v>5551</v>
      </c>
      <c r="T713" s="15">
        <v>2023</v>
      </c>
      <c r="U713" s="26" t="s">
        <v>5765</v>
      </c>
      <c r="V713" s="13" t="s">
        <v>29</v>
      </c>
      <c r="X713" s="12" t="s">
        <v>7276</v>
      </c>
      <c r="Z713" s="14" t="s">
        <v>3828</v>
      </c>
      <c r="AA713" s="14" t="s">
        <v>4118</v>
      </c>
      <c r="AB713" s="14" t="s">
        <v>3885</v>
      </c>
      <c r="AD713" s="12" t="s">
        <v>764</v>
      </c>
    </row>
    <row r="714" spans="1:30" ht="41.4" hidden="1" x14ac:dyDescent="0.3">
      <c r="A714" s="1" t="s">
        <v>5536</v>
      </c>
      <c r="B714" s="5" t="s">
        <v>5537</v>
      </c>
      <c r="C714" s="5" t="s">
        <v>5538</v>
      </c>
      <c r="D714" s="1" t="s">
        <v>5539</v>
      </c>
      <c r="E714" s="1" t="s">
        <v>5540</v>
      </c>
      <c r="F714" s="1" t="s">
        <v>5541</v>
      </c>
      <c r="G714" s="1"/>
      <c r="H714" s="1" t="s">
        <v>5542</v>
      </c>
      <c r="I714" s="1" t="s">
        <v>5543</v>
      </c>
      <c r="J714" s="1" t="s">
        <v>72</v>
      </c>
      <c r="K714" s="1" t="s">
        <v>39</v>
      </c>
      <c r="L714" s="1" t="s">
        <v>5544</v>
      </c>
      <c r="M714" s="1" t="s">
        <v>42</v>
      </c>
      <c r="N714" s="1"/>
      <c r="O714" s="1" t="s">
        <v>31</v>
      </c>
      <c r="P714" s="1"/>
      <c r="Q714" s="1"/>
      <c r="R714" s="1" t="s">
        <v>5359</v>
      </c>
      <c r="S714" s="1" t="s">
        <v>5545</v>
      </c>
      <c r="T714" s="15">
        <v>2023</v>
      </c>
      <c r="U714" s="26" t="s">
        <v>5765</v>
      </c>
      <c r="V714" s="13" t="s">
        <v>29</v>
      </c>
      <c r="X714" s="12">
        <v>5</v>
      </c>
      <c r="Y714" s="41" t="s">
        <v>7279</v>
      </c>
      <c r="Z714" s="14" t="s">
        <v>3835</v>
      </c>
      <c r="AA714" s="14" t="s">
        <v>5442</v>
      </c>
      <c r="AB714" s="14" t="s">
        <v>3884</v>
      </c>
      <c r="AD714" s="12" t="s">
        <v>5766</v>
      </c>
    </row>
    <row r="715" spans="1:30" ht="27.6" x14ac:dyDescent="0.3">
      <c r="A715" s="1"/>
      <c r="B715" s="6" t="s">
        <v>5843</v>
      </c>
      <c r="C715" s="6" t="s">
        <v>5844</v>
      </c>
      <c r="D715" s="1" t="s">
        <v>5845</v>
      </c>
      <c r="E715" s="1"/>
      <c r="F715" s="1" t="s">
        <v>5846</v>
      </c>
      <c r="G715" s="1" t="s">
        <v>5847</v>
      </c>
      <c r="H715" s="1" t="s">
        <v>5848</v>
      </c>
      <c r="I715" s="1" t="s">
        <v>5849</v>
      </c>
      <c r="J715" s="1" t="s">
        <v>5850</v>
      </c>
      <c r="K715" s="1" t="s">
        <v>39</v>
      </c>
      <c r="L715" s="1" t="s">
        <v>5851</v>
      </c>
      <c r="M715" s="1" t="s">
        <v>42</v>
      </c>
      <c r="N715" s="1"/>
      <c r="O715" s="1" t="s">
        <v>31</v>
      </c>
      <c r="P715" s="1"/>
      <c r="Q715" s="1"/>
      <c r="R715" s="1" t="s">
        <v>5429</v>
      </c>
      <c r="S715" s="1" t="s">
        <v>5852</v>
      </c>
      <c r="T715" s="15">
        <v>2023</v>
      </c>
      <c r="U715" s="26" t="s">
        <v>45</v>
      </c>
      <c r="V715" s="13" t="s">
        <v>29</v>
      </c>
      <c r="Y715" s="41" t="s">
        <v>10082</v>
      </c>
      <c r="Z715" s="14" t="s">
        <v>3835</v>
      </c>
      <c r="AA715" s="12" t="s">
        <v>5771</v>
      </c>
      <c r="AB715" s="14" t="s">
        <v>3884</v>
      </c>
      <c r="AD715" s="12" t="s">
        <v>764</v>
      </c>
    </row>
    <row r="716" spans="1:30" hidden="1" x14ac:dyDescent="0.3">
      <c r="A716" s="1" t="s">
        <v>5836</v>
      </c>
      <c r="B716" s="6" t="s">
        <v>1771</v>
      </c>
      <c r="C716" s="6" t="s">
        <v>3677</v>
      </c>
      <c r="D716" s="1" t="s">
        <v>5837</v>
      </c>
      <c r="E716" s="1" t="s">
        <v>5838</v>
      </c>
      <c r="F716" s="1" t="s">
        <v>5839</v>
      </c>
      <c r="G716" s="1"/>
      <c r="H716" s="1"/>
      <c r="I716" s="1"/>
      <c r="J716" s="1" t="s">
        <v>5840</v>
      </c>
      <c r="K716" s="1" t="s">
        <v>39</v>
      </c>
      <c r="L716" s="1" t="s">
        <v>5841</v>
      </c>
      <c r="M716" s="1" t="s">
        <v>141</v>
      </c>
      <c r="N716" s="1"/>
      <c r="O716" s="1" t="s">
        <v>31</v>
      </c>
      <c r="P716" s="1"/>
      <c r="Q716" s="1"/>
      <c r="R716" s="1" t="s">
        <v>5359</v>
      </c>
      <c r="S716" s="1" t="s">
        <v>5842</v>
      </c>
      <c r="T716" s="15">
        <v>2023</v>
      </c>
      <c r="U716" s="26" t="s">
        <v>45</v>
      </c>
      <c r="V716" s="13" t="s">
        <v>29</v>
      </c>
      <c r="X716" s="12">
        <v>5</v>
      </c>
      <c r="Z716" s="14" t="s">
        <v>3870</v>
      </c>
      <c r="AA716" s="12" t="s">
        <v>4059</v>
      </c>
      <c r="AB716" s="14" t="s">
        <v>3886</v>
      </c>
      <c r="AD716" s="12" t="s">
        <v>764</v>
      </c>
    </row>
    <row r="717" spans="1:30" hidden="1" x14ac:dyDescent="0.3">
      <c r="A717" s="1" t="s">
        <v>1379</v>
      </c>
      <c r="B717" s="6" t="s">
        <v>5830</v>
      </c>
      <c r="C717" s="6" t="s">
        <v>229</v>
      </c>
      <c r="D717" s="1" t="s">
        <v>5831</v>
      </c>
      <c r="E717" s="1" t="s">
        <v>5832</v>
      </c>
      <c r="F717" s="1" t="s">
        <v>5833</v>
      </c>
      <c r="G717" s="1"/>
      <c r="H717" s="1"/>
      <c r="I717" s="1"/>
      <c r="J717" s="1" t="s">
        <v>3939</v>
      </c>
      <c r="K717" s="1" t="s">
        <v>39</v>
      </c>
      <c r="L717" s="1" t="s">
        <v>5834</v>
      </c>
      <c r="M717" s="1" t="s">
        <v>141</v>
      </c>
      <c r="N717" s="1"/>
      <c r="O717" s="1" t="s">
        <v>31</v>
      </c>
      <c r="P717" s="1"/>
      <c r="Q717" s="1"/>
      <c r="R717" s="1" t="s">
        <v>5429</v>
      </c>
      <c r="S717" s="1" t="s">
        <v>5835</v>
      </c>
      <c r="T717" s="15">
        <v>2023</v>
      </c>
      <c r="U717" s="26" t="s">
        <v>45</v>
      </c>
      <c r="V717" s="13" t="s">
        <v>29</v>
      </c>
      <c r="X717" s="12">
        <v>5</v>
      </c>
      <c r="Z717" s="14" t="s">
        <v>3828</v>
      </c>
      <c r="AA717" s="12" t="s">
        <v>3019</v>
      </c>
      <c r="AB717" s="14" t="s">
        <v>3888</v>
      </c>
      <c r="AD717" s="12" t="s">
        <v>764</v>
      </c>
    </row>
    <row r="718" spans="1:30" hidden="1" x14ac:dyDescent="0.3">
      <c r="A718" s="1" t="s">
        <v>1379</v>
      </c>
      <c r="B718" s="6" t="s">
        <v>5821</v>
      </c>
      <c r="C718" s="6" t="s">
        <v>5822</v>
      </c>
      <c r="D718" s="1" t="s">
        <v>5823</v>
      </c>
      <c r="E718" s="1" t="s">
        <v>5824</v>
      </c>
      <c r="F718" s="1" t="s">
        <v>5825</v>
      </c>
      <c r="G718" s="1"/>
      <c r="H718" s="1" t="s">
        <v>5826</v>
      </c>
      <c r="I718" s="1" t="s">
        <v>5827</v>
      </c>
      <c r="J718" s="1" t="s">
        <v>504</v>
      </c>
      <c r="K718" s="1" t="s">
        <v>39</v>
      </c>
      <c r="L718" s="1" t="s">
        <v>5828</v>
      </c>
      <c r="M718" s="1" t="s">
        <v>42</v>
      </c>
      <c r="N718" s="1"/>
      <c r="O718" s="1" t="s">
        <v>31</v>
      </c>
      <c r="P718" s="1"/>
      <c r="Q718" s="1"/>
      <c r="R718" s="1" t="s">
        <v>5371</v>
      </c>
      <c r="S718" s="1" t="s">
        <v>5829</v>
      </c>
      <c r="T718" s="15">
        <v>2023</v>
      </c>
      <c r="U718" s="26" t="s">
        <v>45</v>
      </c>
      <c r="V718" s="13" t="s">
        <v>29</v>
      </c>
      <c r="X718" s="12">
        <v>5</v>
      </c>
      <c r="Z718" s="14" t="s">
        <v>3828</v>
      </c>
      <c r="AA718" s="12" t="s">
        <v>5380</v>
      </c>
      <c r="AB718" s="14" t="s">
        <v>3888</v>
      </c>
      <c r="AD718" s="12" t="s">
        <v>764</v>
      </c>
    </row>
    <row r="719" spans="1:30" hidden="1" x14ac:dyDescent="0.3">
      <c r="A719" s="1"/>
      <c r="B719" s="6" t="s">
        <v>5814</v>
      </c>
      <c r="C719" s="6" t="s">
        <v>21</v>
      </c>
      <c r="D719" s="1" t="s">
        <v>5815</v>
      </c>
      <c r="E719" s="1" t="s">
        <v>5816</v>
      </c>
      <c r="F719" s="1" t="s">
        <v>5817</v>
      </c>
      <c r="G719" s="1"/>
      <c r="H719" s="1" t="s">
        <v>5818</v>
      </c>
      <c r="I719" s="1"/>
      <c r="J719" s="1" t="s">
        <v>72</v>
      </c>
      <c r="K719" s="1" t="s">
        <v>39</v>
      </c>
      <c r="L719" s="1" t="s">
        <v>5819</v>
      </c>
      <c r="M719" s="1" t="s">
        <v>141</v>
      </c>
      <c r="N719" s="1"/>
      <c r="O719" s="1" t="s">
        <v>31</v>
      </c>
      <c r="P719" s="1"/>
      <c r="Q719" s="1"/>
      <c r="R719" s="1" t="s">
        <v>5359</v>
      </c>
      <c r="S719" s="1" t="s">
        <v>5820</v>
      </c>
      <c r="T719" s="15">
        <v>2023</v>
      </c>
      <c r="U719" s="26" t="s">
        <v>45</v>
      </c>
      <c r="V719" s="13" t="s">
        <v>29</v>
      </c>
      <c r="X719" s="12">
        <v>5</v>
      </c>
      <c r="Z719" s="14" t="s">
        <v>3835</v>
      </c>
      <c r="AA719" s="12" t="s">
        <v>5278</v>
      </c>
      <c r="AB719" s="14" t="s">
        <v>3884</v>
      </c>
      <c r="AD719" s="12" t="s">
        <v>764</v>
      </c>
    </row>
    <row r="720" spans="1:30" ht="41.4" hidden="1" x14ac:dyDescent="0.3">
      <c r="A720" s="1" t="s">
        <v>1262</v>
      </c>
      <c r="B720" s="6" t="s">
        <v>171</v>
      </c>
      <c r="C720" s="6" t="s">
        <v>229</v>
      </c>
      <c r="D720" s="1" t="s">
        <v>5805</v>
      </c>
      <c r="E720" s="1" t="s">
        <v>5806</v>
      </c>
      <c r="F720" s="1" t="s">
        <v>5807</v>
      </c>
      <c r="G720" s="1" t="s">
        <v>5808</v>
      </c>
      <c r="H720" s="1" t="s">
        <v>4001</v>
      </c>
      <c r="I720" s="1" t="s">
        <v>5809</v>
      </c>
      <c r="J720" s="1" t="s">
        <v>5810</v>
      </c>
      <c r="K720" s="1" t="s">
        <v>39</v>
      </c>
      <c r="L720" s="1" t="s">
        <v>5811</v>
      </c>
      <c r="M720" s="1" t="s">
        <v>141</v>
      </c>
      <c r="N720" s="1" t="s">
        <v>5812</v>
      </c>
      <c r="O720" s="1" t="s">
        <v>31</v>
      </c>
      <c r="P720" s="1"/>
      <c r="Q720" s="1"/>
      <c r="R720" s="1" t="s">
        <v>5371</v>
      </c>
      <c r="S720" s="1" t="s">
        <v>5813</v>
      </c>
      <c r="T720" s="15">
        <v>2023</v>
      </c>
      <c r="U720" s="26" t="s">
        <v>45</v>
      </c>
      <c r="V720" s="13" t="s">
        <v>29</v>
      </c>
      <c r="X720" s="12">
        <v>5</v>
      </c>
      <c r="Z720" s="14" t="s">
        <v>3835</v>
      </c>
      <c r="AA720" s="12" t="s">
        <v>5854</v>
      </c>
      <c r="AB720" s="14" t="s">
        <v>3884</v>
      </c>
      <c r="AD720" s="12" t="s">
        <v>764</v>
      </c>
    </row>
    <row r="721" spans="1:30" hidden="1" x14ac:dyDescent="0.3">
      <c r="A721" s="1" t="s">
        <v>22</v>
      </c>
      <c r="B721" s="6" t="s">
        <v>5800</v>
      </c>
      <c r="C721" s="6" t="s">
        <v>1882</v>
      </c>
      <c r="D721" s="1" t="s">
        <v>5801</v>
      </c>
      <c r="E721" s="1" t="s">
        <v>5802</v>
      </c>
      <c r="F721" s="1" t="s">
        <v>5803</v>
      </c>
      <c r="G721" s="1"/>
      <c r="H721" s="1" t="s">
        <v>414</v>
      </c>
      <c r="I721" s="1"/>
      <c r="J721" s="1" t="s">
        <v>72</v>
      </c>
      <c r="K721" s="1" t="s">
        <v>39</v>
      </c>
      <c r="L721" s="1" t="s">
        <v>731</v>
      </c>
      <c r="M721" s="1" t="s">
        <v>42</v>
      </c>
      <c r="N721" s="1"/>
      <c r="O721" s="1" t="s">
        <v>31</v>
      </c>
      <c r="P721" s="1"/>
      <c r="Q721" s="1"/>
      <c r="R721" s="1" t="s">
        <v>5429</v>
      </c>
      <c r="S721" s="1" t="s">
        <v>5804</v>
      </c>
      <c r="T721" s="15">
        <v>2023</v>
      </c>
      <c r="U721" s="26" t="s">
        <v>45</v>
      </c>
      <c r="V721" s="13" t="s">
        <v>29</v>
      </c>
      <c r="X721" s="12">
        <v>5</v>
      </c>
      <c r="Z721" s="14" t="s">
        <v>3835</v>
      </c>
      <c r="AA721" s="12" t="s">
        <v>4915</v>
      </c>
      <c r="AB721" s="14" t="s">
        <v>3884</v>
      </c>
      <c r="AD721" s="12" t="s">
        <v>764</v>
      </c>
    </row>
    <row r="722" spans="1:30" hidden="1" x14ac:dyDescent="0.3">
      <c r="A722" s="1" t="s">
        <v>5792</v>
      </c>
      <c r="B722" s="6" t="s">
        <v>5793</v>
      </c>
      <c r="C722" s="6" t="s">
        <v>4316</v>
      </c>
      <c r="D722" s="1" t="s">
        <v>5794</v>
      </c>
      <c r="E722" s="1" t="s">
        <v>5795</v>
      </c>
      <c r="F722" s="1" t="s">
        <v>5796</v>
      </c>
      <c r="G722" s="1" t="s">
        <v>5797</v>
      </c>
      <c r="H722" s="1" t="s">
        <v>1859</v>
      </c>
      <c r="I722" s="1" t="s">
        <v>1456</v>
      </c>
      <c r="J722" s="1" t="s">
        <v>5663</v>
      </c>
      <c r="K722" s="1" t="s">
        <v>39</v>
      </c>
      <c r="L722" s="1" t="s">
        <v>5798</v>
      </c>
      <c r="M722" s="1" t="s">
        <v>42</v>
      </c>
      <c r="N722" s="1"/>
      <c r="O722" s="1" t="s">
        <v>31</v>
      </c>
      <c r="P722" s="1"/>
      <c r="Q722" s="1"/>
      <c r="R722" s="1" t="s">
        <v>5429</v>
      </c>
      <c r="S722" s="1" t="s">
        <v>5799</v>
      </c>
      <c r="T722" s="15">
        <v>2023</v>
      </c>
      <c r="U722" s="26" t="s">
        <v>45</v>
      </c>
      <c r="V722" s="13" t="s">
        <v>29</v>
      </c>
      <c r="X722" s="12">
        <v>5</v>
      </c>
      <c r="Z722" s="14" t="s">
        <v>3835</v>
      </c>
      <c r="AA722" s="12" t="s">
        <v>4915</v>
      </c>
      <c r="AB722" s="14" t="s">
        <v>3884</v>
      </c>
      <c r="AD722" s="12" t="s">
        <v>764</v>
      </c>
    </row>
    <row r="723" spans="1:30" hidden="1" x14ac:dyDescent="0.3">
      <c r="A723" s="1" t="s">
        <v>2635</v>
      </c>
      <c r="B723" s="6" t="s">
        <v>5782</v>
      </c>
      <c r="C723" s="6" t="s">
        <v>5783</v>
      </c>
      <c r="D723" s="1" t="s">
        <v>5784</v>
      </c>
      <c r="E723" s="1" t="s">
        <v>5785</v>
      </c>
      <c r="F723" s="1" t="s">
        <v>5786</v>
      </c>
      <c r="G723" s="1" t="s">
        <v>5787</v>
      </c>
      <c r="H723" s="1" t="s">
        <v>5788</v>
      </c>
      <c r="I723" s="1" t="s">
        <v>5789</v>
      </c>
      <c r="J723" s="1" t="s">
        <v>1114</v>
      </c>
      <c r="K723" s="1" t="s">
        <v>39</v>
      </c>
      <c r="L723" s="1" t="s">
        <v>5790</v>
      </c>
      <c r="M723" s="1" t="s">
        <v>42</v>
      </c>
      <c r="N723" s="1"/>
      <c r="O723" s="1" t="s">
        <v>31</v>
      </c>
      <c r="P723" s="1"/>
      <c r="Q723" s="1"/>
      <c r="R723" s="1" t="s">
        <v>5429</v>
      </c>
      <c r="S723" s="1" t="s">
        <v>5791</v>
      </c>
      <c r="T723" s="15">
        <v>2023</v>
      </c>
      <c r="U723" s="26" t="s">
        <v>45</v>
      </c>
      <c r="V723" s="13" t="s">
        <v>29</v>
      </c>
      <c r="X723" s="12">
        <v>5</v>
      </c>
      <c r="Z723" s="14" t="s">
        <v>3835</v>
      </c>
      <c r="AA723" s="12" t="s">
        <v>4915</v>
      </c>
      <c r="AB723" s="14" t="s">
        <v>3884</v>
      </c>
      <c r="AD723" s="12" t="s">
        <v>764</v>
      </c>
    </row>
    <row r="724" spans="1:30" hidden="1" x14ac:dyDescent="0.3">
      <c r="A724" s="1"/>
      <c r="B724" s="5" t="s">
        <v>5777</v>
      </c>
      <c r="C724" s="5" t="s">
        <v>1649</v>
      </c>
      <c r="D724" s="1" t="s">
        <v>5778</v>
      </c>
      <c r="E724" s="1"/>
      <c r="F724" s="1" t="s">
        <v>5779</v>
      </c>
      <c r="G724" s="1"/>
      <c r="H724" s="1"/>
      <c r="I724" s="1"/>
      <c r="J724" s="1" t="s">
        <v>5780</v>
      </c>
      <c r="K724" s="1" t="s">
        <v>39</v>
      </c>
      <c r="L724" s="1" t="s">
        <v>1144</v>
      </c>
      <c r="M724" s="1" t="s">
        <v>42</v>
      </c>
      <c r="N724" s="1"/>
      <c r="O724" s="1" t="s">
        <v>31</v>
      </c>
      <c r="P724" s="1"/>
      <c r="Q724" s="1"/>
      <c r="R724" s="1" t="s">
        <v>5429</v>
      </c>
      <c r="S724" s="1" t="s">
        <v>5781</v>
      </c>
      <c r="T724" s="15">
        <v>2023</v>
      </c>
      <c r="U724" s="26" t="s">
        <v>45</v>
      </c>
      <c r="V724" s="13" t="s">
        <v>29</v>
      </c>
      <c r="X724" s="12">
        <v>5</v>
      </c>
      <c r="Z724" s="14" t="s">
        <v>3870</v>
      </c>
      <c r="AA724" s="12" t="s">
        <v>5853</v>
      </c>
      <c r="AB724" s="14" t="s">
        <v>3886</v>
      </c>
      <c r="AD724" s="12" t="s">
        <v>764</v>
      </c>
    </row>
    <row r="725" spans="1:30" hidden="1" x14ac:dyDescent="0.3">
      <c r="A725" s="1"/>
      <c r="B725" s="1" t="s">
        <v>5913</v>
      </c>
      <c r="C725" s="1" t="s">
        <v>4920</v>
      </c>
      <c r="D725" s="1" t="s">
        <v>5914</v>
      </c>
      <c r="E725" s="1" t="s">
        <v>5915</v>
      </c>
      <c r="F725" s="1" t="s">
        <v>5916</v>
      </c>
      <c r="G725" s="1"/>
      <c r="H725" s="1"/>
      <c r="I725" s="1"/>
      <c r="J725" s="1" t="s">
        <v>4351</v>
      </c>
      <c r="K725" s="1" t="s">
        <v>39</v>
      </c>
      <c r="L725" s="1" t="s">
        <v>5917</v>
      </c>
      <c r="M725" s="1" t="s">
        <v>141</v>
      </c>
      <c r="N725" s="1"/>
      <c r="O725" s="1" t="s">
        <v>31</v>
      </c>
      <c r="P725" s="1"/>
      <c r="Q725" s="1"/>
      <c r="R725" s="1" t="s">
        <v>5480</v>
      </c>
      <c r="S725" s="1" t="s">
        <v>5918</v>
      </c>
      <c r="T725" s="15">
        <v>2023</v>
      </c>
      <c r="U725" s="26" t="s">
        <v>45</v>
      </c>
      <c r="V725" s="13" t="s">
        <v>29</v>
      </c>
      <c r="X725" s="12">
        <v>5</v>
      </c>
      <c r="Z725" s="14" t="s">
        <v>3828</v>
      </c>
      <c r="AA725" s="12" t="s">
        <v>566</v>
      </c>
      <c r="AB725" s="14" t="s">
        <v>3887</v>
      </c>
      <c r="AD725" s="12" t="s">
        <v>764</v>
      </c>
    </row>
    <row r="726" spans="1:30" hidden="1" x14ac:dyDescent="0.3">
      <c r="A726" s="1" t="s">
        <v>22</v>
      </c>
      <c r="B726" s="1" t="s">
        <v>5905</v>
      </c>
      <c r="C726" s="1" t="s">
        <v>1094</v>
      </c>
      <c r="D726" s="1" t="s">
        <v>5906</v>
      </c>
      <c r="E726" s="1" t="s">
        <v>5907</v>
      </c>
      <c r="F726" s="1" t="s">
        <v>5908</v>
      </c>
      <c r="G726" s="1" t="s">
        <v>5909</v>
      </c>
      <c r="H726" s="1" t="s">
        <v>5910</v>
      </c>
      <c r="I726" s="1" t="s">
        <v>2008</v>
      </c>
      <c r="J726" s="1" t="s">
        <v>72</v>
      </c>
      <c r="K726" s="1" t="s">
        <v>39</v>
      </c>
      <c r="L726" s="1" t="s">
        <v>5911</v>
      </c>
      <c r="M726" s="1" t="s">
        <v>42</v>
      </c>
      <c r="N726" s="1"/>
      <c r="O726" s="1" t="s">
        <v>31</v>
      </c>
      <c r="P726" s="1"/>
      <c r="Q726" s="1"/>
      <c r="R726" s="1" t="s">
        <v>5359</v>
      </c>
      <c r="S726" s="1" t="s">
        <v>5912</v>
      </c>
      <c r="T726" s="15">
        <v>2023</v>
      </c>
      <c r="U726" s="26" t="s">
        <v>45</v>
      </c>
      <c r="V726" s="13" t="s">
        <v>29</v>
      </c>
      <c r="X726" s="12">
        <v>5</v>
      </c>
      <c r="Z726" s="14" t="s">
        <v>3835</v>
      </c>
      <c r="AA726" s="12" t="s">
        <v>5278</v>
      </c>
      <c r="AB726" s="14" t="s">
        <v>3884</v>
      </c>
      <c r="AD726" s="12" t="s">
        <v>764</v>
      </c>
    </row>
    <row r="727" spans="1:30" hidden="1" x14ac:dyDescent="0.3">
      <c r="A727" s="1" t="s">
        <v>2635</v>
      </c>
      <c r="B727" s="1" t="s">
        <v>5899</v>
      </c>
      <c r="C727" s="1" t="s">
        <v>2097</v>
      </c>
      <c r="D727" s="1" t="s">
        <v>5900</v>
      </c>
      <c r="E727" s="1" t="s">
        <v>5901</v>
      </c>
      <c r="F727" s="1" t="s">
        <v>5902</v>
      </c>
      <c r="G727" s="1"/>
      <c r="H727" s="1"/>
      <c r="I727" s="1"/>
      <c r="J727" s="1" t="s">
        <v>72</v>
      </c>
      <c r="K727" s="1" t="s">
        <v>39</v>
      </c>
      <c r="L727" s="1" t="s">
        <v>5903</v>
      </c>
      <c r="M727" s="1" t="s">
        <v>42</v>
      </c>
      <c r="N727" s="1"/>
      <c r="O727" s="1" t="s">
        <v>31</v>
      </c>
      <c r="P727" s="1"/>
      <c r="Q727" s="1"/>
      <c r="R727" s="1" t="s">
        <v>5480</v>
      </c>
      <c r="S727" s="1" t="s">
        <v>5904</v>
      </c>
      <c r="T727" s="15">
        <v>2023</v>
      </c>
      <c r="U727" s="26" t="s">
        <v>45</v>
      </c>
      <c r="V727" s="13" t="s">
        <v>29</v>
      </c>
      <c r="X727" s="12">
        <v>5</v>
      </c>
      <c r="Z727" s="14" t="s">
        <v>3870</v>
      </c>
      <c r="AA727" s="12" t="s">
        <v>4059</v>
      </c>
      <c r="AB727" s="14" t="s">
        <v>3886</v>
      </c>
      <c r="AD727" s="12" t="s">
        <v>764</v>
      </c>
    </row>
    <row r="728" spans="1:30" hidden="1" x14ac:dyDescent="0.3">
      <c r="A728" s="1"/>
      <c r="B728" s="1" t="s">
        <v>5894</v>
      </c>
      <c r="C728" s="1" t="s">
        <v>1562</v>
      </c>
      <c r="D728" s="1" t="s">
        <v>5895</v>
      </c>
      <c r="E728" s="1" t="s">
        <v>5896</v>
      </c>
      <c r="F728" s="1" t="s">
        <v>5897</v>
      </c>
      <c r="G728" s="1"/>
      <c r="H728" s="1"/>
      <c r="I728" s="1"/>
      <c r="J728" s="1" t="s">
        <v>4543</v>
      </c>
      <c r="K728" s="1" t="s">
        <v>39</v>
      </c>
      <c r="L728" s="1" t="s">
        <v>1304</v>
      </c>
      <c r="M728" s="1" t="s">
        <v>42</v>
      </c>
      <c r="N728" s="1"/>
      <c r="O728" s="1" t="s">
        <v>31</v>
      </c>
      <c r="P728" s="1"/>
      <c r="Q728" s="1"/>
      <c r="R728" s="1" t="s">
        <v>5359</v>
      </c>
      <c r="S728" s="1" t="s">
        <v>5898</v>
      </c>
      <c r="T728" s="15">
        <v>2023</v>
      </c>
      <c r="U728" s="26" t="s">
        <v>45</v>
      </c>
      <c r="V728" s="13" t="s">
        <v>29</v>
      </c>
      <c r="X728" s="12">
        <v>5</v>
      </c>
      <c r="Z728" s="14" t="s">
        <v>5921</v>
      </c>
      <c r="AA728" s="12" t="s">
        <v>5922</v>
      </c>
      <c r="AB728" s="14" t="s">
        <v>3888</v>
      </c>
      <c r="AD728" s="12" t="s">
        <v>764</v>
      </c>
    </row>
    <row r="729" spans="1:30" hidden="1" x14ac:dyDescent="0.3">
      <c r="A729" s="1" t="s">
        <v>22</v>
      </c>
      <c r="B729" s="1" t="s">
        <v>5887</v>
      </c>
      <c r="C729" s="1" t="s">
        <v>466</v>
      </c>
      <c r="D729" s="1" t="s">
        <v>5888</v>
      </c>
      <c r="E729" s="1" t="s">
        <v>5889</v>
      </c>
      <c r="F729" s="1" t="s">
        <v>5890</v>
      </c>
      <c r="G729" s="1"/>
      <c r="H729" s="1"/>
      <c r="I729" s="1"/>
      <c r="J729" s="1" t="s">
        <v>5891</v>
      </c>
      <c r="K729" s="1" t="s">
        <v>39</v>
      </c>
      <c r="L729" s="1" t="s">
        <v>5892</v>
      </c>
      <c r="M729" s="1" t="s">
        <v>42</v>
      </c>
      <c r="N729" s="1"/>
      <c r="O729" s="1" t="s">
        <v>31</v>
      </c>
      <c r="P729" s="1"/>
      <c r="Q729" s="1"/>
      <c r="R729" s="1" t="s">
        <v>5359</v>
      </c>
      <c r="S729" s="1" t="s">
        <v>5893</v>
      </c>
      <c r="T729" s="15">
        <v>2023</v>
      </c>
      <c r="U729" s="26" t="s">
        <v>45</v>
      </c>
      <c r="V729" s="13" t="s">
        <v>29</v>
      </c>
      <c r="X729" s="12">
        <v>5</v>
      </c>
      <c r="Z729" s="14" t="s">
        <v>3828</v>
      </c>
      <c r="AA729" s="12" t="s">
        <v>5920</v>
      </c>
      <c r="AB729" s="14" t="s">
        <v>3885</v>
      </c>
      <c r="AD729" s="12" t="s">
        <v>764</v>
      </c>
    </row>
    <row r="730" spans="1:30" hidden="1" x14ac:dyDescent="0.3">
      <c r="A730" s="1"/>
      <c r="B730" s="1" t="s">
        <v>2037</v>
      </c>
      <c r="C730" s="1" t="s">
        <v>958</v>
      </c>
      <c r="D730" s="1" t="s">
        <v>5883</v>
      </c>
      <c r="E730" s="1" t="s">
        <v>5884</v>
      </c>
      <c r="F730" s="1" t="s">
        <v>5885</v>
      </c>
      <c r="G730" s="1"/>
      <c r="H730" s="1" t="s">
        <v>756</v>
      </c>
      <c r="I730" s="1"/>
      <c r="J730" s="1" t="s">
        <v>687</v>
      </c>
      <c r="K730" s="1" t="s">
        <v>39</v>
      </c>
      <c r="L730" s="1" t="s">
        <v>5172</v>
      </c>
      <c r="M730" s="1" t="s">
        <v>141</v>
      </c>
      <c r="N730" s="1"/>
      <c r="O730" s="1" t="s">
        <v>31</v>
      </c>
      <c r="P730" s="1"/>
      <c r="Q730" s="1"/>
      <c r="R730" s="1" t="s">
        <v>5480</v>
      </c>
      <c r="S730" s="1" t="s">
        <v>5886</v>
      </c>
      <c r="T730" s="15">
        <v>2023</v>
      </c>
      <c r="U730" s="26" t="s">
        <v>45</v>
      </c>
      <c r="V730" s="13" t="s">
        <v>29</v>
      </c>
      <c r="X730" s="12">
        <v>5</v>
      </c>
      <c r="Z730" s="14" t="s">
        <v>3828</v>
      </c>
      <c r="AA730" s="12" t="s">
        <v>5919</v>
      </c>
      <c r="AB730" s="14" t="s">
        <v>3888</v>
      </c>
      <c r="AD730" s="12" t="s">
        <v>764</v>
      </c>
    </row>
    <row r="731" spans="1:30" hidden="1" x14ac:dyDescent="0.3">
      <c r="A731" s="1" t="s">
        <v>5048</v>
      </c>
      <c r="B731" s="1" t="s">
        <v>3691</v>
      </c>
      <c r="C731" s="1" t="s">
        <v>2110</v>
      </c>
      <c r="D731" s="1" t="s">
        <v>5877</v>
      </c>
      <c r="E731" s="1" t="s">
        <v>5878</v>
      </c>
      <c r="F731" s="1" t="s">
        <v>5879</v>
      </c>
      <c r="G731" s="1" t="s">
        <v>5880</v>
      </c>
      <c r="H731" s="1" t="s">
        <v>2398</v>
      </c>
      <c r="I731" s="1" t="s">
        <v>191</v>
      </c>
      <c r="J731" s="1" t="s">
        <v>5045</v>
      </c>
      <c r="K731" s="1" t="s">
        <v>39</v>
      </c>
      <c r="L731" s="1" t="s">
        <v>5881</v>
      </c>
      <c r="M731" s="1" t="s">
        <v>141</v>
      </c>
      <c r="N731" s="1"/>
      <c r="O731" s="1" t="s">
        <v>31</v>
      </c>
      <c r="P731" s="1"/>
      <c r="Q731" s="1"/>
      <c r="R731" s="1" t="s">
        <v>5359</v>
      </c>
      <c r="S731" s="1" t="s">
        <v>5882</v>
      </c>
      <c r="T731" s="15">
        <v>2023</v>
      </c>
      <c r="U731" s="26" t="s">
        <v>45</v>
      </c>
      <c r="V731" s="13" t="s">
        <v>29</v>
      </c>
      <c r="X731" s="12">
        <v>5</v>
      </c>
      <c r="Z731" s="14" t="s">
        <v>3828</v>
      </c>
      <c r="AA731" s="12" t="s">
        <v>4871</v>
      </c>
      <c r="AB731" s="14" t="s">
        <v>3888</v>
      </c>
      <c r="AD731" s="12" t="s">
        <v>764</v>
      </c>
    </row>
    <row r="732" spans="1:30" ht="27.6" hidden="1" x14ac:dyDescent="0.3">
      <c r="A732" s="1" t="s">
        <v>5868</v>
      </c>
      <c r="B732" s="1" t="s">
        <v>5869</v>
      </c>
      <c r="C732" s="1" t="s">
        <v>181</v>
      </c>
      <c r="D732" s="1" t="s">
        <v>5870</v>
      </c>
      <c r="E732" s="1" t="s">
        <v>5871</v>
      </c>
      <c r="F732" s="1" t="s">
        <v>5872</v>
      </c>
      <c r="G732" s="1" t="s">
        <v>5873</v>
      </c>
      <c r="H732" s="1" t="s">
        <v>5874</v>
      </c>
      <c r="I732" s="1"/>
      <c r="J732" s="1" t="s">
        <v>72</v>
      </c>
      <c r="K732" s="1" t="s">
        <v>39</v>
      </c>
      <c r="L732" s="1" t="s">
        <v>5875</v>
      </c>
      <c r="M732" s="1" t="s">
        <v>42</v>
      </c>
      <c r="N732" s="1"/>
      <c r="O732" s="1" t="s">
        <v>31</v>
      </c>
      <c r="P732" s="1"/>
      <c r="Q732" s="1"/>
      <c r="R732" s="1" t="s">
        <v>5480</v>
      </c>
      <c r="S732" s="1" t="s">
        <v>5876</v>
      </c>
      <c r="T732" s="15">
        <v>2023</v>
      </c>
      <c r="U732" s="26" t="s">
        <v>45</v>
      </c>
      <c r="V732" s="13" t="s">
        <v>29</v>
      </c>
      <c r="X732" s="12">
        <v>100</v>
      </c>
      <c r="Z732" s="14" t="s">
        <v>3835</v>
      </c>
      <c r="AA732" s="12" t="s">
        <v>4915</v>
      </c>
      <c r="AB732" s="14" t="s">
        <v>3884</v>
      </c>
      <c r="AD732" s="12" t="s">
        <v>764</v>
      </c>
    </row>
    <row r="733" spans="1:30" hidden="1" x14ac:dyDescent="0.3">
      <c r="A733" s="1" t="s">
        <v>1379</v>
      </c>
      <c r="B733" s="1" t="s">
        <v>5860</v>
      </c>
      <c r="C733" s="1" t="s">
        <v>3515</v>
      </c>
      <c r="D733" s="1" t="s">
        <v>5861</v>
      </c>
      <c r="E733" s="1" t="s">
        <v>5862</v>
      </c>
      <c r="F733" s="1" t="s">
        <v>5863</v>
      </c>
      <c r="G733" s="1"/>
      <c r="H733" s="1" t="s">
        <v>5864</v>
      </c>
      <c r="I733" s="1" t="s">
        <v>5865</v>
      </c>
      <c r="J733" s="1" t="s">
        <v>72</v>
      </c>
      <c r="K733" s="1" t="s">
        <v>39</v>
      </c>
      <c r="L733" s="1" t="s">
        <v>5866</v>
      </c>
      <c r="M733" s="1" t="s">
        <v>42</v>
      </c>
      <c r="N733" s="1"/>
      <c r="O733" s="1" t="s">
        <v>31</v>
      </c>
      <c r="P733" s="1"/>
      <c r="Q733" s="1"/>
      <c r="R733" s="1" t="s">
        <v>5480</v>
      </c>
      <c r="S733" s="1" t="s">
        <v>5867</v>
      </c>
      <c r="T733" s="15">
        <v>2023</v>
      </c>
      <c r="U733" s="26" t="s">
        <v>45</v>
      </c>
      <c r="V733" s="13" t="s">
        <v>29</v>
      </c>
      <c r="X733" s="12">
        <v>5</v>
      </c>
      <c r="Y733" s="41">
        <v>45110</v>
      </c>
      <c r="Z733" s="14" t="s">
        <v>3828</v>
      </c>
      <c r="AA733" s="12" t="s">
        <v>4118</v>
      </c>
      <c r="AB733" s="14" t="s">
        <v>3885</v>
      </c>
      <c r="AD733" s="12" t="s">
        <v>764</v>
      </c>
    </row>
    <row r="734" spans="1:30" hidden="1" x14ac:dyDescent="0.3">
      <c r="A734" s="1"/>
      <c r="B734" s="4" t="s">
        <v>5855</v>
      </c>
      <c r="C734" s="4" t="s">
        <v>1732</v>
      </c>
      <c r="D734" s="1" t="s">
        <v>5856</v>
      </c>
      <c r="E734" s="1"/>
      <c r="F734" s="1" t="s">
        <v>5857</v>
      </c>
      <c r="G734" s="1"/>
      <c r="H734" s="1"/>
      <c r="I734" s="1"/>
      <c r="J734" s="1" t="s">
        <v>72</v>
      </c>
      <c r="K734" s="1" t="s">
        <v>39</v>
      </c>
      <c r="L734" s="1" t="s">
        <v>5858</v>
      </c>
      <c r="M734" s="1" t="s">
        <v>42</v>
      </c>
      <c r="N734" s="1"/>
      <c r="O734" s="1" t="s">
        <v>31</v>
      </c>
      <c r="P734" s="1"/>
      <c r="Q734" s="1"/>
      <c r="R734" s="1" t="s">
        <v>5429</v>
      </c>
      <c r="S734" s="1" t="s">
        <v>5859</v>
      </c>
      <c r="T734" s="15">
        <v>2023</v>
      </c>
      <c r="U734" s="26" t="s">
        <v>45</v>
      </c>
      <c r="V734" s="13" t="s">
        <v>29</v>
      </c>
      <c r="X734" s="12">
        <v>5</v>
      </c>
      <c r="Z734" s="14" t="s">
        <v>3870</v>
      </c>
      <c r="AA734" s="12" t="s">
        <v>4059</v>
      </c>
      <c r="AB734" s="14" t="s">
        <v>3886</v>
      </c>
      <c r="AD734" s="12" t="s">
        <v>764</v>
      </c>
    </row>
    <row r="735" spans="1:30" hidden="1" x14ac:dyDescent="0.3">
      <c r="A735" s="1" t="s">
        <v>5972</v>
      </c>
      <c r="B735" s="1" t="s">
        <v>4960</v>
      </c>
      <c r="C735" s="1" t="s">
        <v>494</v>
      </c>
      <c r="D735" s="1" t="s">
        <v>5973</v>
      </c>
      <c r="E735" s="1"/>
      <c r="F735" s="1" t="s">
        <v>5974</v>
      </c>
      <c r="G735" s="1"/>
      <c r="H735" s="1"/>
      <c r="I735" s="1"/>
      <c r="J735" s="1" t="s">
        <v>72</v>
      </c>
      <c r="K735" s="1" t="s">
        <v>39</v>
      </c>
      <c r="L735" s="1" t="s">
        <v>5975</v>
      </c>
      <c r="M735" s="1" t="s">
        <v>42</v>
      </c>
      <c r="N735" s="1"/>
      <c r="O735" s="1" t="s">
        <v>31</v>
      </c>
      <c r="P735" s="1"/>
      <c r="Q735" s="1"/>
      <c r="R735" s="1" t="s">
        <v>5480</v>
      </c>
      <c r="S735" s="1" t="s">
        <v>5976</v>
      </c>
      <c r="T735" s="15">
        <v>2023</v>
      </c>
      <c r="U735" s="26" t="s">
        <v>5765</v>
      </c>
      <c r="V735" s="13" t="s">
        <v>29</v>
      </c>
      <c r="X735" s="12">
        <v>5</v>
      </c>
      <c r="Z735" s="14" t="s">
        <v>2148</v>
      </c>
      <c r="AA735" s="12" t="s">
        <v>5978</v>
      </c>
      <c r="AB735" s="14" t="s">
        <v>3890</v>
      </c>
      <c r="AD735" s="12" t="s">
        <v>764</v>
      </c>
    </row>
    <row r="736" spans="1:30" hidden="1" x14ac:dyDescent="0.3">
      <c r="A736" s="1" t="s">
        <v>22</v>
      </c>
      <c r="B736" s="1" t="s">
        <v>5965</v>
      </c>
      <c r="C736" s="1" t="s">
        <v>447</v>
      </c>
      <c r="D736" s="1" t="s">
        <v>5966</v>
      </c>
      <c r="E736" s="1" t="s">
        <v>5967</v>
      </c>
      <c r="F736" s="1" t="s">
        <v>5968</v>
      </c>
      <c r="G736" s="1" t="s">
        <v>5969</v>
      </c>
      <c r="H736" s="1" t="s">
        <v>448</v>
      </c>
      <c r="I736" s="1"/>
      <c r="J736" s="1" t="s">
        <v>72</v>
      </c>
      <c r="K736" s="1" t="s">
        <v>39</v>
      </c>
      <c r="L736" s="1" t="s">
        <v>5970</v>
      </c>
      <c r="M736" s="1" t="s">
        <v>141</v>
      </c>
      <c r="N736" s="1"/>
      <c r="O736" s="1" t="s">
        <v>31</v>
      </c>
      <c r="P736" s="1"/>
      <c r="Q736" s="1"/>
      <c r="R736" s="1" t="s">
        <v>5480</v>
      </c>
      <c r="S736" s="1" t="s">
        <v>5971</v>
      </c>
      <c r="T736" s="15">
        <v>2023</v>
      </c>
      <c r="U736" s="26" t="s">
        <v>45</v>
      </c>
      <c r="V736" s="13" t="s">
        <v>29</v>
      </c>
      <c r="X736" s="12">
        <v>5</v>
      </c>
      <c r="Z736" s="14" t="s">
        <v>3835</v>
      </c>
      <c r="AA736" s="12" t="s">
        <v>5353</v>
      </c>
      <c r="AB736" s="14" t="s">
        <v>3884</v>
      </c>
      <c r="AD736" s="12" t="s">
        <v>764</v>
      </c>
    </row>
    <row r="737" spans="1:30" hidden="1" x14ac:dyDescent="0.3">
      <c r="A737" s="1"/>
      <c r="B737" s="1" t="s">
        <v>370</v>
      </c>
      <c r="C737" s="1" t="s">
        <v>5958</v>
      </c>
      <c r="D737" s="1" t="s">
        <v>5959</v>
      </c>
      <c r="E737" s="1" t="s">
        <v>5960</v>
      </c>
      <c r="F737" s="1" t="s">
        <v>5961</v>
      </c>
      <c r="G737" s="1"/>
      <c r="H737" s="1"/>
      <c r="I737" s="1"/>
      <c r="J737" s="1" t="s">
        <v>5962</v>
      </c>
      <c r="K737" s="1" t="s">
        <v>39</v>
      </c>
      <c r="L737" s="1" t="s">
        <v>5963</v>
      </c>
      <c r="M737" s="1" t="s">
        <v>141</v>
      </c>
      <c r="N737" s="1"/>
      <c r="O737" s="1" t="s">
        <v>31</v>
      </c>
      <c r="P737" s="1"/>
      <c r="Q737" s="1"/>
      <c r="R737" s="1" t="s">
        <v>5429</v>
      </c>
      <c r="S737" s="1" t="s">
        <v>5964</v>
      </c>
      <c r="T737" s="15">
        <v>2023</v>
      </c>
      <c r="U737" s="26" t="s">
        <v>45</v>
      </c>
      <c r="V737" s="13" t="s">
        <v>29</v>
      </c>
      <c r="X737" s="12">
        <v>5</v>
      </c>
      <c r="Z737" s="14" t="s">
        <v>3835</v>
      </c>
      <c r="AA737" s="12" t="s">
        <v>5353</v>
      </c>
      <c r="AB737" s="14" t="s">
        <v>3884</v>
      </c>
      <c r="AD737" s="12" t="s">
        <v>764</v>
      </c>
    </row>
    <row r="738" spans="1:30" hidden="1" x14ac:dyDescent="0.3">
      <c r="A738" s="1"/>
      <c r="B738" s="1" t="s">
        <v>5947</v>
      </c>
      <c r="C738" s="1" t="s">
        <v>5948</v>
      </c>
      <c r="D738" s="1" t="s">
        <v>5949</v>
      </c>
      <c r="E738" s="1" t="s">
        <v>5950</v>
      </c>
      <c r="F738" s="1" t="s">
        <v>5951</v>
      </c>
      <c r="G738" s="1" t="s">
        <v>5952</v>
      </c>
      <c r="H738" s="1" t="s">
        <v>5953</v>
      </c>
      <c r="I738" s="1" t="s">
        <v>5954</v>
      </c>
      <c r="J738" s="1" t="s">
        <v>5955</v>
      </c>
      <c r="K738" s="1" t="s">
        <v>39</v>
      </c>
      <c r="L738" s="1" t="s">
        <v>5956</v>
      </c>
      <c r="M738" s="1" t="s">
        <v>141</v>
      </c>
      <c r="N738" s="1"/>
      <c r="O738" s="1" t="s">
        <v>31</v>
      </c>
      <c r="P738" s="1"/>
      <c r="Q738" s="1"/>
      <c r="R738" s="1" t="s">
        <v>5480</v>
      </c>
      <c r="S738" s="1" t="s">
        <v>5957</v>
      </c>
      <c r="T738" s="15">
        <v>2023</v>
      </c>
      <c r="U738" s="26" t="s">
        <v>45</v>
      </c>
      <c r="V738" s="13" t="s">
        <v>29</v>
      </c>
      <c r="X738" s="12">
        <v>5</v>
      </c>
      <c r="Z738" s="14" t="s">
        <v>3835</v>
      </c>
      <c r="AA738" s="12" t="s">
        <v>5977</v>
      </c>
      <c r="AB738" s="14" t="s">
        <v>3884</v>
      </c>
      <c r="AD738" s="12" t="s">
        <v>764</v>
      </c>
    </row>
    <row r="739" spans="1:30" hidden="1" x14ac:dyDescent="0.3">
      <c r="A739" s="1"/>
      <c r="B739" s="1" t="s">
        <v>5935</v>
      </c>
      <c r="C739" s="1" t="s">
        <v>189</v>
      </c>
      <c r="D739" s="1" t="s">
        <v>5936</v>
      </c>
      <c r="E739" s="1" t="s">
        <v>5937</v>
      </c>
      <c r="F739" s="1" t="s">
        <v>5938</v>
      </c>
      <c r="G739" s="1"/>
      <c r="H739" s="1"/>
      <c r="I739" s="1"/>
      <c r="J739" s="1" t="s">
        <v>2480</v>
      </c>
      <c r="K739" s="1" t="s">
        <v>39</v>
      </c>
      <c r="L739" s="1" t="s">
        <v>5939</v>
      </c>
      <c r="M739" s="1" t="s">
        <v>42</v>
      </c>
      <c r="N739" s="1"/>
      <c r="O739" s="1" t="s">
        <v>31</v>
      </c>
      <c r="P739" s="1"/>
      <c r="Q739" s="1"/>
      <c r="R739" s="1" t="s">
        <v>5359</v>
      </c>
      <c r="S739" s="1" t="s">
        <v>5940</v>
      </c>
      <c r="T739" s="15">
        <v>2023</v>
      </c>
      <c r="U739" s="26" t="s">
        <v>5765</v>
      </c>
      <c r="V739" s="13" t="s">
        <v>29</v>
      </c>
      <c r="X739" s="12">
        <v>5</v>
      </c>
      <c r="Z739" s="14" t="s">
        <v>3835</v>
      </c>
      <c r="AA739" s="12" t="s">
        <v>5353</v>
      </c>
      <c r="AB739" s="14" t="s">
        <v>3884</v>
      </c>
      <c r="AD739" s="12" t="s">
        <v>764</v>
      </c>
    </row>
    <row r="740" spans="1:30" ht="55.2" hidden="1" x14ac:dyDescent="0.3">
      <c r="A740" s="1" t="s">
        <v>5924</v>
      </c>
      <c r="B740" s="4" t="s">
        <v>5925</v>
      </c>
      <c r="C740" s="4" t="s">
        <v>423</v>
      </c>
      <c r="D740" s="1" t="s">
        <v>5926</v>
      </c>
      <c r="E740" s="1" t="s">
        <v>5927</v>
      </c>
      <c r="F740" s="1" t="s">
        <v>5928</v>
      </c>
      <c r="G740" s="1" t="s">
        <v>5929</v>
      </c>
      <c r="H740" s="1" t="s">
        <v>5930</v>
      </c>
      <c r="I740" s="1" t="s">
        <v>5931</v>
      </c>
      <c r="J740" s="1" t="s">
        <v>5932</v>
      </c>
      <c r="K740" s="1" t="s">
        <v>39</v>
      </c>
      <c r="L740" s="1" t="s">
        <v>5933</v>
      </c>
      <c r="M740" s="1" t="s">
        <v>141</v>
      </c>
      <c r="N740" s="1"/>
      <c r="O740" s="1" t="s">
        <v>31</v>
      </c>
      <c r="P740" s="1"/>
      <c r="Q740" s="1"/>
      <c r="R740" s="1" t="s">
        <v>5359</v>
      </c>
      <c r="S740" s="1" t="s">
        <v>5934</v>
      </c>
      <c r="T740" s="15">
        <v>2023</v>
      </c>
      <c r="U740" s="26" t="s">
        <v>45</v>
      </c>
      <c r="V740" s="13" t="s">
        <v>29</v>
      </c>
      <c r="X740" s="12">
        <v>5</v>
      </c>
      <c r="Z740" s="14" t="s">
        <v>3828</v>
      </c>
      <c r="AA740" s="12" t="s">
        <v>566</v>
      </c>
      <c r="AB740" s="14" t="s">
        <v>3887</v>
      </c>
      <c r="AD740" s="12" t="s">
        <v>764</v>
      </c>
    </row>
    <row r="741" spans="1:30" hidden="1" x14ac:dyDescent="0.3">
      <c r="A741" s="1" t="s">
        <v>2635</v>
      </c>
      <c r="B741" s="4" t="s">
        <v>6025</v>
      </c>
      <c r="C741" s="4" t="s">
        <v>1989</v>
      </c>
      <c r="D741" s="1" t="s">
        <v>6026</v>
      </c>
      <c r="E741" s="1" t="s">
        <v>6027</v>
      </c>
      <c r="F741" s="1" t="s">
        <v>6028</v>
      </c>
      <c r="G741" s="1"/>
      <c r="H741" s="1"/>
      <c r="I741" s="1"/>
      <c r="J741" s="1" t="s">
        <v>504</v>
      </c>
      <c r="K741" s="1" t="s">
        <v>39</v>
      </c>
      <c r="L741" s="1" t="s">
        <v>6029</v>
      </c>
      <c r="M741" s="1" t="s">
        <v>42</v>
      </c>
      <c r="N741" s="1"/>
      <c r="O741" s="1" t="s">
        <v>31</v>
      </c>
      <c r="P741" s="1"/>
      <c r="Q741" s="1"/>
      <c r="R741" s="1" t="s">
        <v>5480</v>
      </c>
      <c r="S741" s="1" t="s">
        <v>6030</v>
      </c>
      <c r="T741" s="15">
        <v>2023</v>
      </c>
      <c r="U741" s="26" t="s">
        <v>45</v>
      </c>
      <c r="V741" s="13" t="s">
        <v>29</v>
      </c>
      <c r="X741" s="12">
        <v>5</v>
      </c>
      <c r="Z741" s="14" t="s">
        <v>3835</v>
      </c>
      <c r="AA741" s="14" t="s">
        <v>5769</v>
      </c>
      <c r="AB741" s="14" t="s">
        <v>3884</v>
      </c>
      <c r="AD741" s="12" t="s">
        <v>764</v>
      </c>
    </row>
    <row r="742" spans="1:30" hidden="1" x14ac:dyDescent="0.3">
      <c r="A742" s="1"/>
      <c r="B742" s="4" t="s">
        <v>5980</v>
      </c>
      <c r="C742" s="4" t="s">
        <v>79</v>
      </c>
      <c r="D742" s="1" t="s">
        <v>5981</v>
      </c>
      <c r="E742" s="1" t="s">
        <v>5982</v>
      </c>
      <c r="F742" s="1" t="s">
        <v>5983</v>
      </c>
      <c r="G742" s="1"/>
      <c r="H742" s="1" t="s">
        <v>5984</v>
      </c>
      <c r="I742" s="1" t="s">
        <v>5985</v>
      </c>
      <c r="J742" s="1" t="s">
        <v>5986</v>
      </c>
      <c r="K742" s="1" t="s">
        <v>39</v>
      </c>
      <c r="L742" s="1" t="s">
        <v>5987</v>
      </c>
      <c r="M742" s="1" t="s">
        <v>141</v>
      </c>
      <c r="N742" s="1"/>
      <c r="O742" s="1" t="s">
        <v>31</v>
      </c>
      <c r="P742" s="1"/>
      <c r="Q742" s="1"/>
      <c r="R742" s="1" t="s">
        <v>5480</v>
      </c>
      <c r="S742" s="1" t="s">
        <v>5988</v>
      </c>
      <c r="T742" s="15">
        <v>2023</v>
      </c>
      <c r="U742" s="26" t="s">
        <v>45</v>
      </c>
      <c r="V742" s="13" t="s">
        <v>29</v>
      </c>
      <c r="X742" s="12">
        <v>5</v>
      </c>
      <c r="Z742" s="14" t="s">
        <v>3828</v>
      </c>
      <c r="AA742" s="12" t="s">
        <v>5919</v>
      </c>
      <c r="AB742" s="14" t="s">
        <v>3888</v>
      </c>
      <c r="AD742" s="12" t="s">
        <v>764</v>
      </c>
    </row>
    <row r="743" spans="1:30" hidden="1" x14ac:dyDescent="0.3">
      <c r="A743" s="1" t="s">
        <v>5989</v>
      </c>
      <c r="B743" s="1" t="s">
        <v>5990</v>
      </c>
      <c r="C743" s="1" t="s">
        <v>5991</v>
      </c>
      <c r="D743" s="1" t="s">
        <v>5992</v>
      </c>
      <c r="E743" s="1" t="s">
        <v>5993</v>
      </c>
      <c r="F743" s="1" t="s">
        <v>5994</v>
      </c>
      <c r="G743" s="1"/>
      <c r="H743" s="1" t="s">
        <v>4506</v>
      </c>
      <c r="I743" s="1"/>
      <c r="J743" s="1" t="s">
        <v>1060</v>
      </c>
      <c r="K743" s="1" t="s">
        <v>39</v>
      </c>
      <c r="L743" s="1" t="s">
        <v>5995</v>
      </c>
      <c r="M743" s="1" t="s">
        <v>141</v>
      </c>
      <c r="N743" s="1"/>
      <c r="O743" s="1" t="s">
        <v>31</v>
      </c>
      <c r="P743" s="1"/>
      <c r="Q743" s="1"/>
      <c r="R743" s="1" t="s">
        <v>5429</v>
      </c>
      <c r="S743" s="1" t="s">
        <v>5996</v>
      </c>
      <c r="T743" s="15">
        <v>2023</v>
      </c>
      <c r="U743" s="26" t="s">
        <v>5765</v>
      </c>
      <c r="V743" s="13" t="s">
        <v>29</v>
      </c>
      <c r="X743" s="12">
        <v>5</v>
      </c>
      <c r="Z743" s="14" t="s">
        <v>3835</v>
      </c>
      <c r="AA743" s="12" t="s">
        <v>4915</v>
      </c>
      <c r="AB743" s="14" t="s">
        <v>3884</v>
      </c>
      <c r="AD743" s="12" t="s">
        <v>764</v>
      </c>
    </row>
    <row r="744" spans="1:30" ht="27.6" x14ac:dyDescent="0.3">
      <c r="A744" s="1"/>
      <c r="B744" s="1" t="s">
        <v>5997</v>
      </c>
      <c r="C744" s="1" t="s">
        <v>189</v>
      </c>
      <c r="D744" s="1" t="s">
        <v>6024</v>
      </c>
      <c r="E744" s="1" t="s">
        <v>5998</v>
      </c>
      <c r="F744" s="1" t="s">
        <v>5999</v>
      </c>
      <c r="G744" s="1" t="s">
        <v>6000</v>
      </c>
      <c r="H744" s="1" t="s">
        <v>5530</v>
      </c>
      <c r="I744" s="1" t="s">
        <v>6001</v>
      </c>
      <c r="J744" s="1" t="s">
        <v>1540</v>
      </c>
      <c r="K744" s="1" t="s">
        <v>39</v>
      </c>
      <c r="L744" s="1" t="s">
        <v>4915</v>
      </c>
      <c r="M744" s="1" t="s">
        <v>42</v>
      </c>
      <c r="N744" s="1"/>
      <c r="O744" s="1" t="s">
        <v>31</v>
      </c>
      <c r="P744" s="1"/>
      <c r="Q744" s="1"/>
      <c r="R744" s="1" t="s">
        <v>5480</v>
      </c>
      <c r="S744" s="1" t="s">
        <v>6002</v>
      </c>
      <c r="T744" s="15">
        <v>2023</v>
      </c>
      <c r="U744" s="26" t="s">
        <v>5765</v>
      </c>
      <c r="V744" s="13" t="s">
        <v>29</v>
      </c>
      <c r="Y744" s="44" t="s">
        <v>10083</v>
      </c>
      <c r="Z744" s="14" t="s">
        <v>3835</v>
      </c>
      <c r="AA744" s="12" t="s">
        <v>4915</v>
      </c>
      <c r="AB744" s="14" t="s">
        <v>3884</v>
      </c>
      <c r="AD744" s="12" t="s">
        <v>764</v>
      </c>
    </row>
    <row r="745" spans="1:30" hidden="1" x14ac:dyDescent="0.3">
      <c r="A745" s="1" t="s">
        <v>1379</v>
      </c>
      <c r="B745" s="1" t="s">
        <v>6003</v>
      </c>
      <c r="C745" s="1" t="s">
        <v>1490</v>
      </c>
      <c r="D745" s="1" t="s">
        <v>6004</v>
      </c>
      <c r="E745" s="1"/>
      <c r="F745" s="1" t="s">
        <v>6005</v>
      </c>
      <c r="G745" s="1"/>
      <c r="H745" s="1" t="s">
        <v>399</v>
      </c>
      <c r="I745" s="1"/>
      <c r="J745" s="1" t="s">
        <v>72</v>
      </c>
      <c r="K745" s="1" t="s">
        <v>39</v>
      </c>
      <c r="L745" s="1" t="s">
        <v>6006</v>
      </c>
      <c r="M745" s="1" t="s">
        <v>42</v>
      </c>
      <c r="N745" s="1"/>
      <c r="O745" s="1" t="s">
        <v>31</v>
      </c>
      <c r="P745" s="1"/>
      <c r="Q745" s="1"/>
      <c r="R745" s="1" t="s">
        <v>5429</v>
      </c>
      <c r="S745" s="1" t="s">
        <v>6007</v>
      </c>
      <c r="T745" s="15">
        <v>2023</v>
      </c>
      <c r="U745" s="26" t="s">
        <v>5765</v>
      </c>
      <c r="V745" s="13" t="s">
        <v>29</v>
      </c>
      <c r="X745" s="12">
        <v>20</v>
      </c>
      <c r="Z745" s="14" t="s">
        <v>3828</v>
      </c>
      <c r="AA745" s="12" t="s">
        <v>4871</v>
      </c>
      <c r="AB745" s="14" t="s">
        <v>3888</v>
      </c>
      <c r="AD745" s="12" t="s">
        <v>764</v>
      </c>
    </row>
    <row r="746" spans="1:30" hidden="1" x14ac:dyDescent="0.3">
      <c r="A746" s="1"/>
      <c r="B746" s="1" t="s">
        <v>6008</v>
      </c>
      <c r="C746" s="1" t="s">
        <v>237</v>
      </c>
      <c r="D746" s="1" t="s">
        <v>6009</v>
      </c>
      <c r="E746" s="1" t="s">
        <v>6010</v>
      </c>
      <c r="F746" s="1" t="s">
        <v>6011</v>
      </c>
      <c r="G746" s="1" t="s">
        <v>6012</v>
      </c>
      <c r="H746" s="1"/>
      <c r="I746" s="1"/>
      <c r="J746" s="1" t="s">
        <v>6013</v>
      </c>
      <c r="K746" s="1" t="s">
        <v>39</v>
      </c>
      <c r="L746" s="1" t="s">
        <v>6014</v>
      </c>
      <c r="M746" s="1" t="s">
        <v>42</v>
      </c>
      <c r="N746" s="1"/>
      <c r="O746" s="1" t="s">
        <v>31</v>
      </c>
      <c r="P746" s="1"/>
      <c r="Q746" s="1"/>
      <c r="R746" s="1" t="s">
        <v>5359</v>
      </c>
      <c r="S746" s="1" t="s">
        <v>6015</v>
      </c>
      <c r="T746" s="15">
        <v>2023</v>
      </c>
      <c r="U746" s="26" t="s">
        <v>45</v>
      </c>
      <c r="V746" s="13" t="s">
        <v>29</v>
      </c>
      <c r="X746" s="12">
        <v>5</v>
      </c>
      <c r="Z746" s="14" t="s">
        <v>3828</v>
      </c>
      <c r="AA746" s="12" t="s">
        <v>5380</v>
      </c>
      <c r="AB746" s="14" t="s">
        <v>3888</v>
      </c>
      <c r="AD746" s="12" t="s">
        <v>764</v>
      </c>
    </row>
    <row r="747" spans="1:30" hidden="1" x14ac:dyDescent="0.3">
      <c r="A747" s="1"/>
      <c r="B747" s="1" t="s">
        <v>6016</v>
      </c>
      <c r="C747" s="1" t="s">
        <v>6017</v>
      </c>
      <c r="D747" s="1" t="s">
        <v>6018</v>
      </c>
      <c r="E747" s="1" t="s">
        <v>6019</v>
      </c>
      <c r="F747" s="1" t="s">
        <v>6020</v>
      </c>
      <c r="G747" s="1"/>
      <c r="H747" s="1"/>
      <c r="I747" s="1"/>
      <c r="J747" s="1" t="s">
        <v>6021</v>
      </c>
      <c r="K747" s="1" t="s">
        <v>39</v>
      </c>
      <c r="L747" s="1" t="s">
        <v>6022</v>
      </c>
      <c r="M747" s="1" t="s">
        <v>141</v>
      </c>
      <c r="N747" s="1"/>
      <c r="O747" s="1" t="s">
        <v>31</v>
      </c>
      <c r="P747" s="1"/>
      <c r="Q747" s="1"/>
      <c r="R747" s="1" t="s">
        <v>5359</v>
      </c>
      <c r="S747" s="1" t="s">
        <v>6023</v>
      </c>
      <c r="T747" s="15">
        <v>2023</v>
      </c>
      <c r="U747" s="26" t="s">
        <v>45</v>
      </c>
      <c r="V747" s="13" t="s">
        <v>29</v>
      </c>
      <c r="X747" s="12">
        <v>10</v>
      </c>
      <c r="Z747" s="14" t="s">
        <v>3870</v>
      </c>
      <c r="AA747" s="12" t="s">
        <v>6031</v>
      </c>
      <c r="AB747" s="14" t="s">
        <v>3886</v>
      </c>
      <c r="AD747" s="12" t="s">
        <v>764</v>
      </c>
    </row>
    <row r="748" spans="1:30" ht="41.4" hidden="1" x14ac:dyDescent="0.3">
      <c r="A748" s="1" t="s">
        <v>6032</v>
      </c>
      <c r="B748" s="4" t="s">
        <v>6033</v>
      </c>
      <c r="C748" s="4" t="s">
        <v>6034</v>
      </c>
      <c r="D748" s="1" t="s">
        <v>6035</v>
      </c>
      <c r="E748" s="1" t="s">
        <v>6036</v>
      </c>
      <c r="F748" s="1" t="s">
        <v>6037</v>
      </c>
      <c r="G748" s="1" t="s">
        <v>6038</v>
      </c>
      <c r="H748" s="1" t="s">
        <v>6039</v>
      </c>
      <c r="I748" s="1" t="s">
        <v>6040</v>
      </c>
      <c r="J748" s="1" t="s">
        <v>504</v>
      </c>
      <c r="K748" s="1" t="s">
        <v>39</v>
      </c>
      <c r="L748" s="1" t="s">
        <v>6041</v>
      </c>
      <c r="M748" s="1" t="s">
        <v>42</v>
      </c>
      <c r="N748" s="1"/>
      <c r="O748" s="1" t="s">
        <v>31</v>
      </c>
      <c r="P748" s="1"/>
      <c r="Q748" s="1"/>
      <c r="R748" s="1" t="s">
        <v>5480</v>
      </c>
      <c r="S748" s="1" t="s">
        <v>6042</v>
      </c>
      <c r="T748" s="15">
        <v>2023</v>
      </c>
      <c r="U748" s="26" t="s">
        <v>45</v>
      </c>
      <c r="V748" s="13" t="s">
        <v>29</v>
      </c>
      <c r="X748" s="12">
        <v>20</v>
      </c>
      <c r="Z748" s="14" t="s">
        <v>2148</v>
      </c>
      <c r="AA748" s="12" t="s">
        <v>4589</v>
      </c>
      <c r="AB748" s="14" t="s">
        <v>3890</v>
      </c>
      <c r="AD748" s="12" t="s">
        <v>764</v>
      </c>
    </row>
    <row r="749" spans="1:30" hidden="1" x14ac:dyDescent="0.3">
      <c r="A749" s="1"/>
      <c r="B749" s="1" t="s">
        <v>6043</v>
      </c>
      <c r="C749" s="1" t="s">
        <v>336</v>
      </c>
      <c r="D749" s="1" t="s">
        <v>6044</v>
      </c>
      <c r="E749" s="1" t="s">
        <v>6045</v>
      </c>
      <c r="F749" s="1" t="s">
        <v>6046</v>
      </c>
      <c r="G749" s="1"/>
      <c r="H749" s="1" t="s">
        <v>6047</v>
      </c>
      <c r="I749" s="1" t="s">
        <v>6048</v>
      </c>
      <c r="J749" s="1" t="s">
        <v>6049</v>
      </c>
      <c r="K749" s="1" t="s">
        <v>39</v>
      </c>
      <c r="L749" s="1" t="s">
        <v>6050</v>
      </c>
      <c r="M749" s="1" t="s">
        <v>42</v>
      </c>
      <c r="N749" s="1"/>
      <c r="O749" s="1" t="s">
        <v>31</v>
      </c>
      <c r="P749" s="1"/>
      <c r="Q749" s="1"/>
      <c r="R749" s="1" t="s">
        <v>5480</v>
      </c>
      <c r="S749" s="1" t="s">
        <v>6051</v>
      </c>
      <c r="T749" s="15">
        <v>2023</v>
      </c>
      <c r="U749" s="26" t="s">
        <v>45</v>
      </c>
      <c r="V749" s="13" t="s">
        <v>29</v>
      </c>
      <c r="X749" s="12">
        <v>5</v>
      </c>
      <c r="Z749" s="14" t="s">
        <v>3835</v>
      </c>
      <c r="AA749" s="12" t="s">
        <v>5353</v>
      </c>
      <c r="AB749" s="14" t="s">
        <v>3884</v>
      </c>
      <c r="AD749" s="12" t="s">
        <v>764</v>
      </c>
    </row>
    <row r="750" spans="1:30" hidden="1" x14ac:dyDescent="0.3">
      <c r="A750" s="1"/>
      <c r="B750" s="1" t="s">
        <v>6052</v>
      </c>
      <c r="C750" s="1" t="s">
        <v>4801</v>
      </c>
      <c r="D750" s="1" t="s">
        <v>6053</v>
      </c>
      <c r="E750" s="1" t="s">
        <v>6054</v>
      </c>
      <c r="F750" s="1" t="s">
        <v>6055</v>
      </c>
      <c r="G750" s="1" t="s">
        <v>6056</v>
      </c>
      <c r="H750" s="1"/>
      <c r="I750" s="1"/>
      <c r="J750" s="1" t="s">
        <v>6057</v>
      </c>
      <c r="K750" s="1" t="s">
        <v>39</v>
      </c>
      <c r="L750" s="1" t="s">
        <v>6058</v>
      </c>
      <c r="M750" s="1" t="s">
        <v>42</v>
      </c>
      <c r="N750" s="1"/>
      <c r="O750" s="1" t="s">
        <v>31</v>
      </c>
      <c r="P750" s="1"/>
      <c r="Q750" s="1"/>
      <c r="R750" s="1" t="s">
        <v>5359</v>
      </c>
      <c r="S750" s="1" t="s">
        <v>6059</v>
      </c>
      <c r="T750" s="15">
        <v>2023</v>
      </c>
      <c r="U750" s="45" t="s">
        <v>45</v>
      </c>
      <c r="V750" s="13" t="s">
        <v>29</v>
      </c>
      <c r="X750" s="12">
        <v>5</v>
      </c>
      <c r="Y750" s="44">
        <v>45366</v>
      </c>
      <c r="Z750" s="14" t="s">
        <v>3828</v>
      </c>
      <c r="AA750" s="12" t="s">
        <v>5380</v>
      </c>
      <c r="AB750" s="14" t="s">
        <v>3888</v>
      </c>
      <c r="AD750" s="12" t="s">
        <v>764</v>
      </c>
    </row>
    <row r="751" spans="1:30" hidden="1" x14ac:dyDescent="0.3">
      <c r="A751" s="1" t="s">
        <v>1379</v>
      </c>
      <c r="B751" s="1" t="s">
        <v>6060</v>
      </c>
      <c r="C751" s="1" t="s">
        <v>2065</v>
      </c>
      <c r="D751" s="12" t="s">
        <v>6094</v>
      </c>
      <c r="E751" s="1" t="s">
        <v>6061</v>
      </c>
      <c r="F751" s="1" t="s">
        <v>6062</v>
      </c>
      <c r="G751" s="1" t="s">
        <v>6063</v>
      </c>
      <c r="H751" s="1" t="s">
        <v>6064</v>
      </c>
      <c r="I751" s="1" t="s">
        <v>6065</v>
      </c>
      <c r="J751" s="1" t="s">
        <v>6066</v>
      </c>
      <c r="K751" s="1" t="s">
        <v>39</v>
      </c>
      <c r="L751" s="1" t="s">
        <v>6067</v>
      </c>
      <c r="M751" s="1" t="s">
        <v>141</v>
      </c>
      <c r="N751" s="1"/>
      <c r="O751" s="1" t="s">
        <v>31</v>
      </c>
      <c r="P751" s="1"/>
      <c r="Q751" s="1"/>
      <c r="R751" s="1" t="s">
        <v>5371</v>
      </c>
      <c r="S751" s="1" t="s">
        <v>6068</v>
      </c>
      <c r="T751" s="15">
        <v>2023</v>
      </c>
      <c r="U751" s="45" t="s">
        <v>45</v>
      </c>
      <c r="V751" s="13" t="s">
        <v>29</v>
      </c>
      <c r="X751" s="12">
        <v>5</v>
      </c>
      <c r="Z751" s="14" t="s">
        <v>3828</v>
      </c>
      <c r="AA751" s="12" t="s">
        <v>5380</v>
      </c>
      <c r="AB751" s="14" t="s">
        <v>3888</v>
      </c>
      <c r="AD751" s="12" t="s">
        <v>764</v>
      </c>
    </row>
    <row r="752" spans="1:30" hidden="1" x14ac:dyDescent="0.3">
      <c r="A752" s="1"/>
      <c r="B752" s="1" t="s">
        <v>6069</v>
      </c>
      <c r="C752" s="1" t="s">
        <v>6070</v>
      </c>
      <c r="D752" s="1" t="s">
        <v>6071</v>
      </c>
      <c r="E752" s="1" t="s">
        <v>6072</v>
      </c>
      <c r="F752" s="1" t="s">
        <v>6073</v>
      </c>
      <c r="G752" s="1"/>
      <c r="H752" s="1"/>
      <c r="I752" s="1"/>
      <c r="J752" s="1" t="s">
        <v>3238</v>
      </c>
      <c r="K752" s="1" t="s">
        <v>39</v>
      </c>
      <c r="L752" s="1" t="s">
        <v>6074</v>
      </c>
      <c r="M752" s="1" t="s">
        <v>141</v>
      </c>
      <c r="N752" s="1"/>
      <c r="O752" s="1" t="s">
        <v>31</v>
      </c>
      <c r="P752" s="1"/>
      <c r="Q752" s="1"/>
      <c r="R752" s="1" t="s">
        <v>5429</v>
      </c>
      <c r="S752" s="1" t="s">
        <v>6075</v>
      </c>
      <c r="T752" s="15">
        <v>2023</v>
      </c>
      <c r="U752" s="45" t="s">
        <v>45</v>
      </c>
      <c r="V752" s="13" t="s">
        <v>29</v>
      </c>
      <c r="X752" s="12">
        <v>5</v>
      </c>
      <c r="Z752" s="14" t="s">
        <v>3828</v>
      </c>
      <c r="AA752" s="12" t="s">
        <v>6095</v>
      </c>
      <c r="AB752" s="14" t="s">
        <v>3885</v>
      </c>
      <c r="AD752" s="12" t="s">
        <v>764</v>
      </c>
    </row>
    <row r="753" spans="1:30" ht="27.6" hidden="1" x14ac:dyDescent="0.3">
      <c r="A753" s="1" t="s">
        <v>100</v>
      </c>
      <c r="B753" s="1" t="s">
        <v>2318</v>
      </c>
      <c r="C753" s="1" t="s">
        <v>79</v>
      </c>
      <c r="D753" s="1" t="s">
        <v>6076</v>
      </c>
      <c r="E753" s="1" t="s">
        <v>6077</v>
      </c>
      <c r="F753" s="1" t="s">
        <v>6078</v>
      </c>
      <c r="G753" s="1" t="s">
        <v>6079</v>
      </c>
      <c r="H753" s="1" t="s">
        <v>6080</v>
      </c>
      <c r="I753" s="1" t="s">
        <v>6081</v>
      </c>
      <c r="J753" s="1" t="s">
        <v>6082</v>
      </c>
      <c r="K753" s="1" t="s">
        <v>39</v>
      </c>
      <c r="L753" s="1" t="s">
        <v>6083</v>
      </c>
      <c r="M753" s="1" t="s">
        <v>141</v>
      </c>
      <c r="N753" s="1"/>
      <c r="O753" s="1" t="s">
        <v>31</v>
      </c>
      <c r="P753" s="1"/>
      <c r="Q753" s="1"/>
      <c r="R753" s="1" t="s">
        <v>5480</v>
      </c>
      <c r="S753" s="1" t="s">
        <v>6084</v>
      </c>
      <c r="T753" s="15">
        <v>2023</v>
      </c>
      <c r="U753" s="45" t="s">
        <v>45</v>
      </c>
      <c r="V753" s="13" t="s">
        <v>29</v>
      </c>
      <c r="X753" s="12">
        <v>5</v>
      </c>
      <c r="Z753" s="14" t="s">
        <v>3828</v>
      </c>
      <c r="AA753" s="12" t="s">
        <v>6095</v>
      </c>
      <c r="AB753" s="14" t="s">
        <v>3885</v>
      </c>
      <c r="AD753" s="12" t="s">
        <v>764</v>
      </c>
    </row>
    <row r="754" spans="1:30" ht="27.6" hidden="1" x14ac:dyDescent="0.3">
      <c r="A754" s="1"/>
      <c r="B754" s="1" t="s">
        <v>2673</v>
      </c>
      <c r="C754" s="1" t="s">
        <v>6085</v>
      </c>
      <c r="D754" s="1" t="s">
        <v>6086</v>
      </c>
      <c r="E754" s="1" t="s">
        <v>6087</v>
      </c>
      <c r="F754" s="1" t="s">
        <v>6088</v>
      </c>
      <c r="G754" s="1"/>
      <c r="H754" s="1" t="s">
        <v>6089</v>
      </c>
      <c r="I754" s="1" t="s">
        <v>6090</v>
      </c>
      <c r="J754" s="1" t="s">
        <v>1060</v>
      </c>
      <c r="K754" s="1" t="s">
        <v>39</v>
      </c>
      <c r="L754" s="1" t="s">
        <v>6091</v>
      </c>
      <c r="M754" s="1" t="s">
        <v>141</v>
      </c>
      <c r="N754" s="1" t="s">
        <v>6092</v>
      </c>
      <c r="O754" s="1" t="s">
        <v>31</v>
      </c>
      <c r="P754" s="1"/>
      <c r="Q754" s="1"/>
      <c r="R754" s="1" t="s">
        <v>5371</v>
      </c>
      <c r="S754" s="1" t="s">
        <v>6093</v>
      </c>
      <c r="T754" s="15">
        <v>2021</v>
      </c>
      <c r="U754" s="45" t="s">
        <v>45</v>
      </c>
      <c r="V754" s="13" t="s">
        <v>29</v>
      </c>
      <c r="X754" s="12">
        <v>5</v>
      </c>
      <c r="Z754" s="14" t="s">
        <v>3835</v>
      </c>
      <c r="AA754" s="12" t="s">
        <v>4915</v>
      </c>
      <c r="AB754" s="14" t="s">
        <v>3884</v>
      </c>
      <c r="AD754" s="12" t="s">
        <v>764</v>
      </c>
    </row>
    <row r="755" spans="1:30" ht="27.6" x14ac:dyDescent="0.3">
      <c r="A755" s="1"/>
      <c r="B755" s="4" t="s">
        <v>6096</v>
      </c>
      <c r="C755" s="4" t="s">
        <v>237</v>
      </c>
      <c r="D755" s="1" t="s">
        <v>6097</v>
      </c>
      <c r="E755" s="1"/>
      <c r="F755" s="1" t="s">
        <v>6098</v>
      </c>
      <c r="G755" s="1"/>
      <c r="H755" s="1"/>
      <c r="I755" s="1"/>
      <c r="J755" s="1" t="s">
        <v>6099</v>
      </c>
      <c r="K755" s="1" t="s">
        <v>39</v>
      </c>
      <c r="L755" s="1" t="s">
        <v>1304</v>
      </c>
      <c r="M755" s="1" t="s">
        <v>42</v>
      </c>
      <c r="N755" s="1"/>
      <c r="O755" s="1" t="s">
        <v>31</v>
      </c>
      <c r="P755" s="1"/>
      <c r="Q755" s="1"/>
      <c r="R755" s="1" t="s">
        <v>5480</v>
      </c>
      <c r="S755" s="1" t="s">
        <v>6100</v>
      </c>
      <c r="T755" s="15">
        <v>2023</v>
      </c>
      <c r="U755" s="45" t="s">
        <v>45</v>
      </c>
      <c r="V755" s="13" t="s">
        <v>29</v>
      </c>
      <c r="Y755" s="44" t="s">
        <v>10083</v>
      </c>
      <c r="Z755" s="14" t="s">
        <v>3828</v>
      </c>
      <c r="AA755" s="12" t="s">
        <v>4118</v>
      </c>
      <c r="AB755" s="14" t="s">
        <v>3885</v>
      </c>
      <c r="AD755" s="12" t="s">
        <v>764</v>
      </c>
    </row>
    <row r="756" spans="1:30" hidden="1" x14ac:dyDescent="0.3">
      <c r="A756" s="1" t="s">
        <v>22</v>
      </c>
      <c r="B756" s="1" t="s">
        <v>6101</v>
      </c>
      <c r="C756" s="1" t="s">
        <v>3319</v>
      </c>
      <c r="D756" s="1" t="s">
        <v>6102</v>
      </c>
      <c r="E756" s="1" t="s">
        <v>6103</v>
      </c>
      <c r="F756" s="1" t="s">
        <v>6104</v>
      </c>
      <c r="G756" s="1" t="s">
        <v>6105</v>
      </c>
      <c r="H756" s="1" t="s">
        <v>6106</v>
      </c>
      <c r="I756" s="1" t="s">
        <v>6107</v>
      </c>
      <c r="J756" s="1" t="s">
        <v>6108</v>
      </c>
      <c r="K756" s="1" t="s">
        <v>39</v>
      </c>
      <c r="L756" s="1" t="s">
        <v>6109</v>
      </c>
      <c r="M756" s="1" t="s">
        <v>141</v>
      </c>
      <c r="N756" s="1"/>
      <c r="O756" s="1" t="s">
        <v>31</v>
      </c>
      <c r="P756" s="1"/>
      <c r="Q756" s="1"/>
      <c r="R756" s="1" t="s">
        <v>5359</v>
      </c>
      <c r="S756" s="1" t="s">
        <v>6110</v>
      </c>
      <c r="T756" s="15">
        <v>2023</v>
      </c>
      <c r="U756" s="45" t="s">
        <v>45</v>
      </c>
      <c r="V756" s="13" t="s">
        <v>29</v>
      </c>
      <c r="X756" s="12">
        <v>5</v>
      </c>
      <c r="Z756" s="14" t="s">
        <v>3828</v>
      </c>
      <c r="AA756" s="12" t="s">
        <v>6120</v>
      </c>
      <c r="AB756" s="14" t="s">
        <v>3887</v>
      </c>
      <c r="AD756" s="12" t="s">
        <v>764</v>
      </c>
    </row>
    <row r="757" spans="1:30" ht="27.6" hidden="1" x14ac:dyDescent="0.3">
      <c r="A757" s="1" t="s">
        <v>2707</v>
      </c>
      <c r="B757" s="1" t="s">
        <v>6111</v>
      </c>
      <c r="C757" s="1" t="s">
        <v>1989</v>
      </c>
      <c r="D757" s="1" t="s">
        <v>6112</v>
      </c>
      <c r="E757" s="1" t="s">
        <v>6113</v>
      </c>
      <c r="F757" s="1" t="s">
        <v>6114</v>
      </c>
      <c r="G757" s="1" t="s">
        <v>6115</v>
      </c>
      <c r="H757" s="1" t="s">
        <v>6116</v>
      </c>
      <c r="I757" s="1" t="s">
        <v>3546</v>
      </c>
      <c r="J757" s="1" t="s">
        <v>6117</v>
      </c>
      <c r="K757" s="1" t="s">
        <v>39</v>
      </c>
      <c r="L757" s="1" t="s">
        <v>6118</v>
      </c>
      <c r="M757" s="1" t="s">
        <v>141</v>
      </c>
      <c r="N757" s="1"/>
      <c r="O757" s="1" t="s">
        <v>31</v>
      </c>
      <c r="P757" s="1"/>
      <c r="Q757" s="1"/>
      <c r="R757" s="1" t="s">
        <v>5359</v>
      </c>
      <c r="S757" s="1" t="s">
        <v>6119</v>
      </c>
      <c r="T757" s="15">
        <v>2023</v>
      </c>
      <c r="U757" s="45" t="s">
        <v>45</v>
      </c>
      <c r="V757" s="13" t="s">
        <v>29</v>
      </c>
      <c r="X757" s="12">
        <v>5</v>
      </c>
      <c r="Z757" s="14" t="s">
        <v>2148</v>
      </c>
      <c r="AA757" s="12" t="s">
        <v>6121</v>
      </c>
      <c r="AB757" s="14" t="s">
        <v>4594</v>
      </c>
      <c r="AD757" s="12" t="s">
        <v>764</v>
      </c>
    </row>
    <row r="758" spans="1:30" ht="27.6" hidden="1" x14ac:dyDescent="0.3">
      <c r="A758" s="1" t="s">
        <v>6122</v>
      </c>
      <c r="B758" s="4" t="s">
        <v>6123</v>
      </c>
      <c r="C758" s="4" t="s">
        <v>6124</v>
      </c>
      <c r="D758" s="1" t="s">
        <v>6125</v>
      </c>
      <c r="E758" s="1" t="s">
        <v>6126</v>
      </c>
      <c r="F758" s="1" t="s">
        <v>6127</v>
      </c>
      <c r="G758" s="1"/>
      <c r="H758" s="1" t="s">
        <v>6128</v>
      </c>
      <c r="I758" s="1" t="s">
        <v>6129</v>
      </c>
      <c r="J758" s="1" t="s">
        <v>1060</v>
      </c>
      <c r="K758" s="1" t="s">
        <v>39</v>
      </c>
      <c r="L758" s="1" t="s">
        <v>6130</v>
      </c>
      <c r="M758" s="1" t="s">
        <v>141</v>
      </c>
      <c r="N758" s="1"/>
      <c r="O758" s="1" t="s">
        <v>31</v>
      </c>
      <c r="P758" s="1"/>
      <c r="Q758" s="1"/>
      <c r="R758" s="1" t="s">
        <v>5429</v>
      </c>
      <c r="S758" s="1" t="s">
        <v>6131</v>
      </c>
      <c r="T758" s="15">
        <v>2023</v>
      </c>
      <c r="U758" s="45" t="s">
        <v>45</v>
      </c>
      <c r="V758" s="13" t="s">
        <v>29</v>
      </c>
      <c r="X758" s="12">
        <v>20</v>
      </c>
      <c r="Z758" s="14" t="s">
        <v>6146</v>
      </c>
      <c r="AA758" s="12" t="s">
        <v>520</v>
      </c>
      <c r="AB758" s="14" t="s">
        <v>3890</v>
      </c>
      <c r="AD758" s="12" t="s">
        <v>764</v>
      </c>
    </row>
    <row r="759" spans="1:30" ht="27.6" hidden="1" x14ac:dyDescent="0.3">
      <c r="A759" s="1" t="s">
        <v>22</v>
      </c>
      <c r="B759" s="1" t="s">
        <v>6132</v>
      </c>
      <c r="C759" s="1" t="s">
        <v>1321</v>
      </c>
      <c r="D759" s="1" t="s">
        <v>6133</v>
      </c>
      <c r="E759" s="1" t="s">
        <v>6134</v>
      </c>
      <c r="F759" s="1" t="s">
        <v>6135</v>
      </c>
      <c r="G759" s="1"/>
      <c r="H759" s="1" t="s">
        <v>399</v>
      </c>
      <c r="I759" s="1"/>
      <c r="J759" s="1" t="s">
        <v>72</v>
      </c>
      <c r="K759" s="1" t="s">
        <v>39</v>
      </c>
      <c r="L759" s="1" t="s">
        <v>6136</v>
      </c>
      <c r="M759" s="1" t="s">
        <v>141</v>
      </c>
      <c r="N759" s="1"/>
      <c r="O759" s="1" t="s">
        <v>31</v>
      </c>
      <c r="P759" s="1"/>
      <c r="Q759" s="1"/>
      <c r="R759" s="1" t="s">
        <v>5429</v>
      </c>
      <c r="S759" s="1" t="s">
        <v>6137</v>
      </c>
      <c r="T759" s="15">
        <v>2023</v>
      </c>
      <c r="U759" s="45" t="s">
        <v>45</v>
      </c>
      <c r="V759" s="13" t="s">
        <v>29</v>
      </c>
      <c r="X759" s="12">
        <v>5</v>
      </c>
      <c r="Z759" s="14" t="s">
        <v>2148</v>
      </c>
      <c r="AA759" s="12" t="s">
        <v>520</v>
      </c>
      <c r="AB759" s="14" t="s">
        <v>3890</v>
      </c>
      <c r="AD759" s="12" t="s">
        <v>764</v>
      </c>
    </row>
    <row r="760" spans="1:30" ht="27.6" hidden="1" x14ac:dyDescent="0.3">
      <c r="A760" s="1" t="s">
        <v>1482</v>
      </c>
      <c r="B760" s="1" t="s">
        <v>6138</v>
      </c>
      <c r="C760" s="1" t="s">
        <v>2246</v>
      </c>
      <c r="D760" s="1" t="s">
        <v>6139</v>
      </c>
      <c r="E760" s="1" t="s">
        <v>6140</v>
      </c>
      <c r="F760" s="1" t="s">
        <v>6141</v>
      </c>
      <c r="G760" s="1" t="s">
        <v>6142</v>
      </c>
      <c r="H760" s="1" t="s">
        <v>6143</v>
      </c>
      <c r="I760" s="1" t="s">
        <v>6142</v>
      </c>
      <c r="J760" s="1" t="s">
        <v>72</v>
      </c>
      <c r="K760" s="1" t="s">
        <v>39</v>
      </c>
      <c r="L760" s="1" t="s">
        <v>6144</v>
      </c>
      <c r="M760" s="1" t="s">
        <v>42</v>
      </c>
      <c r="N760" s="1"/>
      <c r="O760" s="1" t="s">
        <v>31</v>
      </c>
      <c r="P760" s="1"/>
      <c r="Q760" s="1"/>
      <c r="R760" s="1" t="s">
        <v>5480</v>
      </c>
      <c r="S760" s="1" t="s">
        <v>6145</v>
      </c>
      <c r="T760" s="15">
        <v>2023</v>
      </c>
      <c r="U760" s="45" t="s">
        <v>45</v>
      </c>
      <c r="V760" s="13" t="s">
        <v>29</v>
      </c>
      <c r="X760" s="12">
        <v>5</v>
      </c>
      <c r="Z760" s="14" t="s">
        <v>2148</v>
      </c>
      <c r="AA760" s="12" t="s">
        <v>520</v>
      </c>
      <c r="AB760" s="14" t="s">
        <v>3890</v>
      </c>
      <c r="AD760" s="12" t="s">
        <v>764</v>
      </c>
    </row>
    <row r="761" spans="1:30" ht="27.6" hidden="1" x14ac:dyDescent="0.3">
      <c r="A761" s="1" t="s">
        <v>49</v>
      </c>
      <c r="B761" s="4" t="s">
        <v>6149</v>
      </c>
      <c r="C761" s="4" t="s">
        <v>2184</v>
      </c>
      <c r="D761" s="1" t="s">
        <v>6150</v>
      </c>
      <c r="E761" s="1" t="s">
        <v>6151</v>
      </c>
      <c r="F761" s="1" t="s">
        <v>6152</v>
      </c>
      <c r="G761" s="1" t="s">
        <v>6153</v>
      </c>
      <c r="H761" s="1" t="s">
        <v>6154</v>
      </c>
      <c r="I761" s="1" t="s">
        <v>191</v>
      </c>
      <c r="J761" s="1" t="s">
        <v>72</v>
      </c>
      <c r="K761" s="1" t="s">
        <v>39</v>
      </c>
      <c r="L761" s="1" t="s">
        <v>6155</v>
      </c>
      <c r="M761" s="1" t="s">
        <v>141</v>
      </c>
      <c r="N761" s="1"/>
      <c r="O761" s="1" t="s">
        <v>31</v>
      </c>
      <c r="P761" s="1"/>
      <c r="Q761" s="1"/>
      <c r="R761" s="1" t="s">
        <v>5359</v>
      </c>
      <c r="S761" s="1" t="s">
        <v>6156</v>
      </c>
      <c r="T761" s="15">
        <v>2023</v>
      </c>
      <c r="U761" s="45" t="s">
        <v>6168</v>
      </c>
      <c r="V761" s="13" t="s">
        <v>6171</v>
      </c>
      <c r="X761" s="12">
        <v>50</v>
      </c>
      <c r="Z761" s="14" t="s">
        <v>2148</v>
      </c>
      <c r="AA761" s="12" t="s">
        <v>6169</v>
      </c>
      <c r="AB761" s="14"/>
      <c r="AD761" s="12" t="s">
        <v>764</v>
      </c>
    </row>
    <row r="762" spans="1:30" ht="27.6" hidden="1" x14ac:dyDescent="0.3">
      <c r="A762" s="1" t="s">
        <v>6157</v>
      </c>
      <c r="B762" s="1" t="s">
        <v>6158</v>
      </c>
      <c r="C762" s="1" t="s">
        <v>6159</v>
      </c>
      <c r="D762" s="1" t="s">
        <v>6160</v>
      </c>
      <c r="E762" s="1" t="s">
        <v>6161</v>
      </c>
      <c r="F762" s="1" t="s">
        <v>6162</v>
      </c>
      <c r="G762" s="1" t="s">
        <v>6163</v>
      </c>
      <c r="H762" s="1" t="s">
        <v>6164</v>
      </c>
      <c r="I762" s="1" t="s">
        <v>6165</v>
      </c>
      <c r="J762" s="1" t="s">
        <v>72</v>
      </c>
      <c r="K762" s="1" t="s">
        <v>39</v>
      </c>
      <c r="L762" s="1" t="s">
        <v>6166</v>
      </c>
      <c r="M762" s="1" t="s">
        <v>42</v>
      </c>
      <c r="N762" s="1"/>
      <c r="O762" s="1" t="s">
        <v>31</v>
      </c>
      <c r="P762" s="1"/>
      <c r="Q762" s="1"/>
      <c r="R762" s="1" t="s">
        <v>5359</v>
      </c>
      <c r="S762" s="1" t="s">
        <v>6167</v>
      </c>
      <c r="T762" s="15">
        <v>2023</v>
      </c>
      <c r="U762" s="45" t="s">
        <v>6168</v>
      </c>
      <c r="V762" s="13" t="s">
        <v>6171</v>
      </c>
      <c r="X762" s="12">
        <v>5</v>
      </c>
      <c r="Z762" s="14" t="s">
        <v>3828</v>
      </c>
      <c r="AA762" s="12" t="s">
        <v>6170</v>
      </c>
      <c r="AD762" s="12" t="s">
        <v>764</v>
      </c>
    </row>
    <row r="763" spans="1:30" ht="27.6" hidden="1" x14ac:dyDescent="0.3">
      <c r="A763" s="1"/>
      <c r="B763" s="4" t="s">
        <v>2702</v>
      </c>
      <c r="C763" s="4" t="s">
        <v>5783</v>
      </c>
      <c r="D763" s="1" t="s">
        <v>6172</v>
      </c>
      <c r="E763" s="1" t="s">
        <v>6173</v>
      </c>
      <c r="F763" s="1" t="s">
        <v>6174</v>
      </c>
      <c r="G763" s="1"/>
      <c r="H763" s="1" t="s">
        <v>6175</v>
      </c>
      <c r="I763" s="1"/>
      <c r="J763" s="1" t="s">
        <v>6108</v>
      </c>
      <c r="K763" s="1" t="s">
        <v>39</v>
      </c>
      <c r="L763" s="1" t="s">
        <v>6176</v>
      </c>
      <c r="M763" s="1" t="s">
        <v>42</v>
      </c>
      <c r="N763" s="1"/>
      <c r="O763" s="1" t="s">
        <v>31</v>
      </c>
      <c r="P763" s="1"/>
      <c r="Q763" s="1"/>
      <c r="R763" s="1" t="s">
        <v>5480</v>
      </c>
      <c r="S763" s="1" t="s">
        <v>6177</v>
      </c>
      <c r="T763" s="15">
        <v>2023</v>
      </c>
      <c r="U763" s="45" t="s">
        <v>45</v>
      </c>
      <c r="V763" s="13" t="s">
        <v>29</v>
      </c>
      <c r="X763" s="12">
        <v>5</v>
      </c>
      <c r="Z763" s="14" t="s">
        <v>3828</v>
      </c>
      <c r="AA763" s="12" t="s">
        <v>6204</v>
      </c>
      <c r="AB763" s="14" t="s">
        <v>3888</v>
      </c>
      <c r="AD763" s="12" t="s">
        <v>764</v>
      </c>
    </row>
    <row r="764" spans="1:30" ht="27.6" hidden="1" x14ac:dyDescent="0.3">
      <c r="A764" s="1" t="s">
        <v>5445</v>
      </c>
      <c r="B764" s="1" t="s">
        <v>6178</v>
      </c>
      <c r="C764" s="1" t="s">
        <v>3712</v>
      </c>
      <c r="D764" s="1" t="s">
        <v>6179</v>
      </c>
      <c r="E764" s="1" t="s">
        <v>6180</v>
      </c>
      <c r="F764" s="1" t="s">
        <v>6181</v>
      </c>
      <c r="G764" s="1" t="s">
        <v>6182</v>
      </c>
      <c r="H764" s="1" t="s">
        <v>5054</v>
      </c>
      <c r="I764" s="1" t="s">
        <v>191</v>
      </c>
      <c r="J764" s="1" t="s">
        <v>1060</v>
      </c>
      <c r="K764" s="1" t="s">
        <v>39</v>
      </c>
      <c r="L764" s="1" t="s">
        <v>6183</v>
      </c>
      <c r="M764" s="1" t="s">
        <v>42</v>
      </c>
      <c r="N764" s="1"/>
      <c r="O764" s="1" t="s">
        <v>31</v>
      </c>
      <c r="P764" s="1"/>
      <c r="Q764" s="1"/>
      <c r="R764" s="1" t="s">
        <v>5359</v>
      </c>
      <c r="S764" s="1" t="s">
        <v>6184</v>
      </c>
      <c r="T764" s="15">
        <v>2023</v>
      </c>
      <c r="U764" s="45" t="s">
        <v>6168</v>
      </c>
      <c r="V764" s="13" t="s">
        <v>6171</v>
      </c>
      <c r="X764" s="12">
        <v>50</v>
      </c>
      <c r="Z764" s="14" t="s">
        <v>3828</v>
      </c>
      <c r="AA764" s="12" t="s">
        <v>6170</v>
      </c>
      <c r="AD764" s="12" t="s">
        <v>764</v>
      </c>
    </row>
    <row r="765" spans="1:30" hidden="1" x14ac:dyDescent="0.3">
      <c r="A765" s="1" t="s">
        <v>22</v>
      </c>
      <c r="B765" s="1" t="s">
        <v>6185</v>
      </c>
      <c r="C765" s="1" t="s">
        <v>938</v>
      </c>
      <c r="D765" s="1" t="s">
        <v>6186</v>
      </c>
      <c r="E765" s="1" t="s">
        <v>6187</v>
      </c>
      <c r="F765" s="1" t="s">
        <v>6188</v>
      </c>
      <c r="G765" s="1" t="s">
        <v>6189</v>
      </c>
      <c r="H765" s="1" t="s">
        <v>6190</v>
      </c>
      <c r="I765" s="1" t="s">
        <v>6191</v>
      </c>
      <c r="J765" s="1" t="s">
        <v>6192</v>
      </c>
      <c r="K765" s="1" t="s">
        <v>39</v>
      </c>
      <c r="L765" s="1" t="s">
        <v>6193</v>
      </c>
      <c r="M765" s="1" t="s">
        <v>141</v>
      </c>
      <c r="N765" s="1"/>
      <c r="O765" s="1" t="s">
        <v>31</v>
      </c>
      <c r="P765" s="1"/>
      <c r="Q765" s="1"/>
      <c r="R765" s="1" t="s">
        <v>5429</v>
      </c>
      <c r="S765" s="1" t="s">
        <v>6194</v>
      </c>
      <c r="T765" s="15">
        <v>2023</v>
      </c>
      <c r="U765" s="45" t="s">
        <v>45</v>
      </c>
      <c r="V765" s="13" t="s">
        <v>29</v>
      </c>
      <c r="X765" s="12">
        <v>5</v>
      </c>
      <c r="Z765" s="14" t="s">
        <v>3835</v>
      </c>
      <c r="AA765" s="12" t="s">
        <v>6205</v>
      </c>
      <c r="AB765" s="14" t="s">
        <v>3884</v>
      </c>
      <c r="AD765" s="12" t="s">
        <v>764</v>
      </c>
    </row>
    <row r="766" spans="1:30" ht="27.6" hidden="1" x14ac:dyDescent="0.3">
      <c r="A766" s="1" t="s">
        <v>1379</v>
      </c>
      <c r="B766" s="1" t="s">
        <v>6195</v>
      </c>
      <c r="C766" s="1" t="s">
        <v>79</v>
      </c>
      <c r="D766" s="1" t="s">
        <v>6196</v>
      </c>
      <c r="E766" s="1" t="s">
        <v>6197</v>
      </c>
      <c r="F766" s="1" t="s">
        <v>6198</v>
      </c>
      <c r="G766" s="1" t="s">
        <v>6199</v>
      </c>
      <c r="H766" s="1" t="s">
        <v>2821</v>
      </c>
      <c r="I766" s="1" t="s">
        <v>6200</v>
      </c>
      <c r="J766" s="1" t="s">
        <v>6201</v>
      </c>
      <c r="K766" s="1" t="s">
        <v>39</v>
      </c>
      <c r="L766" s="1" t="s">
        <v>6202</v>
      </c>
      <c r="M766" s="1" t="s">
        <v>42</v>
      </c>
      <c r="N766" s="1"/>
      <c r="O766" s="1" t="s">
        <v>31</v>
      </c>
      <c r="P766" s="1"/>
      <c r="Q766" s="1"/>
      <c r="R766" s="1" t="s">
        <v>5429</v>
      </c>
      <c r="S766" s="1" t="s">
        <v>6203</v>
      </c>
      <c r="T766" s="15">
        <v>2023</v>
      </c>
      <c r="U766" s="45" t="s">
        <v>5765</v>
      </c>
      <c r="V766" s="13" t="s">
        <v>29</v>
      </c>
      <c r="X766" s="12">
        <v>5</v>
      </c>
      <c r="Z766" s="14" t="s">
        <v>3828</v>
      </c>
      <c r="AA766" s="12" t="s">
        <v>4869</v>
      </c>
      <c r="AB766" s="14" t="s">
        <v>3888</v>
      </c>
      <c r="AD766" s="12" t="s">
        <v>764</v>
      </c>
    </row>
    <row r="767" spans="1:30" ht="27.6" x14ac:dyDescent="0.3">
      <c r="A767" s="1" t="s">
        <v>1482</v>
      </c>
      <c r="B767" s="4" t="s">
        <v>6206</v>
      </c>
      <c r="C767" s="4" t="s">
        <v>501</v>
      </c>
      <c r="D767" s="1" t="s">
        <v>6207</v>
      </c>
      <c r="E767" s="1" t="s">
        <v>6208</v>
      </c>
      <c r="F767" s="1" t="s">
        <v>6209</v>
      </c>
      <c r="G767" s="1"/>
      <c r="H767" s="1" t="s">
        <v>414</v>
      </c>
      <c r="I767" s="1"/>
      <c r="J767" s="1" t="s">
        <v>72</v>
      </c>
      <c r="K767" s="1" t="s">
        <v>39</v>
      </c>
      <c r="L767" s="1" t="s">
        <v>6210</v>
      </c>
      <c r="M767" s="1" t="s">
        <v>42</v>
      </c>
      <c r="N767" s="1"/>
      <c r="O767" s="1" t="s">
        <v>31</v>
      </c>
      <c r="P767" s="1"/>
      <c r="Q767" s="1"/>
      <c r="R767" s="1" t="s">
        <v>5429</v>
      </c>
      <c r="S767" s="1" t="s">
        <v>6211</v>
      </c>
      <c r="T767" s="15">
        <v>2023</v>
      </c>
      <c r="U767" s="45" t="s">
        <v>5765</v>
      </c>
      <c r="V767" s="13" t="s">
        <v>29</v>
      </c>
      <c r="Y767" s="44" t="s">
        <v>10083</v>
      </c>
      <c r="Z767" s="14" t="s">
        <v>3835</v>
      </c>
      <c r="AA767" s="12" t="s">
        <v>4915</v>
      </c>
      <c r="AB767" s="14" t="s">
        <v>3884</v>
      </c>
      <c r="AD767" s="12" t="s">
        <v>764</v>
      </c>
    </row>
    <row r="768" spans="1:30" hidden="1" x14ac:dyDescent="0.3">
      <c r="A768" s="1"/>
      <c r="B768" s="1" t="s">
        <v>6212</v>
      </c>
      <c r="C768" s="1" t="s">
        <v>1338</v>
      </c>
      <c r="D768" s="1" t="s">
        <v>6213</v>
      </c>
      <c r="E768" s="1" t="s">
        <v>6214</v>
      </c>
      <c r="F768" s="1" t="s">
        <v>6215</v>
      </c>
      <c r="G768" s="1"/>
      <c r="H768" s="1"/>
      <c r="I768" s="1"/>
      <c r="J768" s="1" t="s">
        <v>72</v>
      </c>
      <c r="K768" s="1" t="s">
        <v>39</v>
      </c>
      <c r="L768" s="1" t="s">
        <v>6216</v>
      </c>
      <c r="M768" s="1" t="s">
        <v>141</v>
      </c>
      <c r="N768" s="1"/>
      <c r="O768" s="1" t="s">
        <v>31</v>
      </c>
      <c r="P768" s="1"/>
      <c r="Q768" s="1"/>
      <c r="R768" s="1" t="s">
        <v>5480</v>
      </c>
      <c r="S768" s="1" t="s">
        <v>6217</v>
      </c>
      <c r="T768" s="15">
        <v>2023</v>
      </c>
      <c r="U768" s="45" t="s">
        <v>5765</v>
      </c>
      <c r="V768" s="13" t="s">
        <v>29</v>
      </c>
      <c r="X768" s="12">
        <v>20</v>
      </c>
      <c r="Z768" s="14" t="s">
        <v>3835</v>
      </c>
      <c r="AA768" s="12" t="s">
        <v>5353</v>
      </c>
      <c r="AB768" s="14" t="s">
        <v>3884</v>
      </c>
      <c r="AD768" s="12" t="s">
        <v>764</v>
      </c>
    </row>
    <row r="769" spans="1:30" ht="41.4" hidden="1" x14ac:dyDescent="0.3">
      <c r="A769" s="1" t="s">
        <v>6218</v>
      </c>
      <c r="B769" s="1" t="s">
        <v>6212</v>
      </c>
      <c r="C769" s="1" t="s">
        <v>157</v>
      </c>
      <c r="D769" s="1" t="s">
        <v>6219</v>
      </c>
      <c r="E769" s="1"/>
      <c r="F769" s="1" t="s">
        <v>6220</v>
      </c>
      <c r="G769" s="1"/>
      <c r="H769" s="1" t="s">
        <v>6221</v>
      </c>
      <c r="I769" s="1" t="s">
        <v>6222</v>
      </c>
      <c r="J769" s="1" t="s">
        <v>1123</v>
      </c>
      <c r="K769" s="1" t="s">
        <v>39</v>
      </c>
      <c r="L769" s="1" t="s">
        <v>6223</v>
      </c>
      <c r="M769" s="1" t="s">
        <v>141</v>
      </c>
      <c r="N769" s="1"/>
      <c r="O769" s="1" t="s">
        <v>31</v>
      </c>
      <c r="P769" s="1"/>
      <c r="Q769" s="1"/>
      <c r="R769" s="1" t="s">
        <v>5480</v>
      </c>
      <c r="S769" s="1" t="s">
        <v>6224</v>
      </c>
      <c r="T769" s="15">
        <v>2023</v>
      </c>
      <c r="U769" s="45" t="s">
        <v>5765</v>
      </c>
      <c r="V769" s="13" t="s">
        <v>29</v>
      </c>
      <c r="X769" s="12">
        <v>5</v>
      </c>
      <c r="Z769" s="14" t="s">
        <v>3835</v>
      </c>
      <c r="AA769" s="12" t="s">
        <v>6232</v>
      </c>
      <c r="AB769" s="14" t="s">
        <v>3884</v>
      </c>
      <c r="AD769" s="12" t="s">
        <v>764</v>
      </c>
    </row>
    <row r="770" spans="1:30" hidden="1" x14ac:dyDescent="0.3">
      <c r="A770" s="1" t="s">
        <v>908</v>
      </c>
      <c r="B770" s="1" t="s">
        <v>4610</v>
      </c>
      <c r="C770" s="1" t="s">
        <v>6225</v>
      </c>
      <c r="D770" s="1" t="s">
        <v>6226</v>
      </c>
      <c r="E770" s="1" t="s">
        <v>6227</v>
      </c>
      <c r="F770" s="1" t="s">
        <v>6228</v>
      </c>
      <c r="G770" s="1" t="s">
        <v>6229</v>
      </c>
      <c r="H770" s="1" t="s">
        <v>908</v>
      </c>
      <c r="I770" s="1"/>
      <c r="J770" s="1" t="s">
        <v>3912</v>
      </c>
      <c r="K770" s="1" t="s">
        <v>39</v>
      </c>
      <c r="L770" s="1" t="s">
        <v>6230</v>
      </c>
      <c r="M770" s="1" t="s">
        <v>42</v>
      </c>
      <c r="N770" s="1"/>
      <c r="O770" s="1" t="s">
        <v>31</v>
      </c>
      <c r="P770" s="1"/>
      <c r="Q770" s="1"/>
      <c r="R770" s="1" t="s">
        <v>5371</v>
      </c>
      <c r="S770" s="1" t="s">
        <v>6231</v>
      </c>
      <c r="T770" s="15">
        <v>2023</v>
      </c>
      <c r="U770" s="45" t="s">
        <v>5765</v>
      </c>
      <c r="V770" s="13" t="s">
        <v>29</v>
      </c>
      <c r="X770" s="12">
        <v>5</v>
      </c>
      <c r="Z770" s="14" t="s">
        <v>3870</v>
      </c>
      <c r="AA770" s="12" t="s">
        <v>6233</v>
      </c>
      <c r="AB770" s="14" t="s">
        <v>3886</v>
      </c>
      <c r="AD770" s="12" t="s">
        <v>764</v>
      </c>
    </row>
    <row r="771" spans="1:30" ht="27.6" x14ac:dyDescent="0.3">
      <c r="A771" s="1" t="s">
        <v>2707</v>
      </c>
      <c r="B771" s="4" t="s">
        <v>6234</v>
      </c>
      <c r="C771" s="4" t="s">
        <v>6235</v>
      </c>
      <c r="D771" s="1" t="s">
        <v>6236</v>
      </c>
      <c r="E771" s="1" t="s">
        <v>6237</v>
      </c>
      <c r="F771" s="1" t="s">
        <v>6238</v>
      </c>
      <c r="G771" s="1" t="s">
        <v>6239</v>
      </c>
      <c r="H771" s="1" t="s">
        <v>6240</v>
      </c>
      <c r="I771" s="1" t="s">
        <v>6241</v>
      </c>
      <c r="J771" s="1" t="s">
        <v>6242</v>
      </c>
      <c r="K771" s="1" t="s">
        <v>6243</v>
      </c>
      <c r="L771" s="1" t="s">
        <v>6244</v>
      </c>
      <c r="M771" s="1" t="s">
        <v>42</v>
      </c>
      <c r="N771" s="1"/>
      <c r="O771" s="1" t="s">
        <v>31</v>
      </c>
      <c r="P771" s="1"/>
      <c r="Q771" s="1"/>
      <c r="R771" s="1" t="s">
        <v>5359</v>
      </c>
      <c r="S771" s="1" t="s">
        <v>6245</v>
      </c>
      <c r="T771" s="15">
        <v>2023</v>
      </c>
      <c r="U771" s="45" t="s">
        <v>45</v>
      </c>
      <c r="V771" s="13" t="s">
        <v>29</v>
      </c>
      <c r="Y771" s="44" t="s">
        <v>10083</v>
      </c>
      <c r="Z771" s="14" t="s">
        <v>3835</v>
      </c>
      <c r="AA771" s="12" t="s">
        <v>5353</v>
      </c>
      <c r="AB771" s="14" t="s">
        <v>3884</v>
      </c>
      <c r="AD771" s="12" t="s">
        <v>764</v>
      </c>
    </row>
    <row r="772" spans="1:30" hidden="1" x14ac:dyDescent="0.3">
      <c r="A772" s="1"/>
      <c r="B772" s="1" t="s">
        <v>6246</v>
      </c>
      <c r="C772" s="1" t="s">
        <v>6247</v>
      </c>
      <c r="D772" s="1" t="s">
        <v>6248</v>
      </c>
      <c r="E772" s="1" t="s">
        <v>6249</v>
      </c>
      <c r="F772" s="1" t="s">
        <v>6250</v>
      </c>
      <c r="G772" s="1"/>
      <c r="H772" s="1"/>
      <c r="I772" s="1"/>
      <c r="J772" s="1" t="s">
        <v>6251</v>
      </c>
      <c r="K772" s="1" t="s">
        <v>39</v>
      </c>
      <c r="L772" s="1" t="s">
        <v>5676</v>
      </c>
      <c r="M772" s="1" t="s">
        <v>42</v>
      </c>
      <c r="N772" s="1"/>
      <c r="O772" s="1" t="s">
        <v>31</v>
      </c>
      <c r="P772" s="1"/>
      <c r="Q772" s="1"/>
      <c r="R772" s="1" t="s">
        <v>5429</v>
      </c>
      <c r="S772" s="1" t="s">
        <v>6252</v>
      </c>
      <c r="T772" s="15">
        <v>2023</v>
      </c>
      <c r="U772" s="45" t="s">
        <v>45</v>
      </c>
      <c r="V772" s="13" t="s">
        <v>29</v>
      </c>
      <c r="X772" s="12">
        <v>5</v>
      </c>
      <c r="Z772" s="14" t="s">
        <v>3828</v>
      </c>
      <c r="AA772" s="12" t="s">
        <v>6310</v>
      </c>
      <c r="AB772" s="14" t="s">
        <v>3888</v>
      </c>
      <c r="AD772" s="12" t="s">
        <v>764</v>
      </c>
    </row>
    <row r="773" spans="1:30" ht="27.6" hidden="1" x14ac:dyDescent="0.3">
      <c r="A773" s="1" t="s">
        <v>2635</v>
      </c>
      <c r="B773" s="1" t="s">
        <v>6253</v>
      </c>
      <c r="C773" s="1" t="s">
        <v>6254</v>
      </c>
      <c r="D773" s="1" t="s">
        <v>6255</v>
      </c>
      <c r="E773" s="1" t="s">
        <v>6256</v>
      </c>
      <c r="F773" s="1" t="s">
        <v>6257</v>
      </c>
      <c r="G773" s="1" t="s">
        <v>6258</v>
      </c>
      <c r="H773" s="1" t="s">
        <v>6259</v>
      </c>
      <c r="I773" s="1" t="s">
        <v>6260</v>
      </c>
      <c r="J773" s="1" t="s">
        <v>72</v>
      </c>
      <c r="K773" s="1" t="s">
        <v>39</v>
      </c>
      <c r="L773" s="1" t="s">
        <v>6261</v>
      </c>
      <c r="M773" s="1" t="s">
        <v>141</v>
      </c>
      <c r="N773" s="1"/>
      <c r="O773" s="1" t="s">
        <v>31</v>
      </c>
      <c r="P773" s="1"/>
      <c r="Q773" s="1"/>
      <c r="R773" s="1" t="s">
        <v>5429</v>
      </c>
      <c r="S773" s="1" t="s">
        <v>6262</v>
      </c>
      <c r="T773" s="15">
        <v>2023</v>
      </c>
      <c r="U773" s="45" t="s">
        <v>45</v>
      </c>
      <c r="V773" s="13" t="s">
        <v>29</v>
      </c>
      <c r="X773" s="12">
        <v>5</v>
      </c>
      <c r="Z773" s="14" t="s">
        <v>3870</v>
      </c>
      <c r="AA773" s="12" t="s">
        <v>6233</v>
      </c>
      <c r="AB773" s="14" t="s">
        <v>3886</v>
      </c>
      <c r="AD773" s="12" t="s">
        <v>764</v>
      </c>
    </row>
    <row r="774" spans="1:30" ht="41.4" hidden="1" x14ac:dyDescent="0.3">
      <c r="A774" s="1" t="s">
        <v>6263</v>
      </c>
      <c r="B774" s="1" t="s">
        <v>3226</v>
      </c>
      <c r="C774" s="1" t="s">
        <v>447</v>
      </c>
      <c r="D774" s="1" t="s">
        <v>6264</v>
      </c>
      <c r="E774" s="1" t="s">
        <v>6265</v>
      </c>
      <c r="F774" s="1" t="s">
        <v>6266</v>
      </c>
      <c r="G774" s="1"/>
      <c r="H774" s="1"/>
      <c r="I774" s="1"/>
      <c r="J774" s="1" t="s">
        <v>72</v>
      </c>
      <c r="K774" s="1" t="s">
        <v>39</v>
      </c>
      <c r="L774" s="1" t="s">
        <v>6267</v>
      </c>
      <c r="M774" s="1" t="s">
        <v>42</v>
      </c>
      <c r="N774" s="1" t="s">
        <v>6268</v>
      </c>
      <c r="O774" s="1" t="s">
        <v>31</v>
      </c>
      <c r="P774" s="1"/>
      <c r="Q774" s="1"/>
      <c r="R774" s="1" t="s">
        <v>5359</v>
      </c>
      <c r="S774" s="1" t="s">
        <v>6269</v>
      </c>
      <c r="T774" s="15">
        <v>2023</v>
      </c>
      <c r="U774" s="45" t="s">
        <v>45</v>
      </c>
      <c r="V774" s="13" t="s">
        <v>29</v>
      </c>
      <c r="X774" s="12">
        <v>5</v>
      </c>
      <c r="Z774" s="14" t="s">
        <v>3828</v>
      </c>
      <c r="AA774" s="12" t="s">
        <v>6310</v>
      </c>
      <c r="AB774" s="14" t="s">
        <v>3888</v>
      </c>
      <c r="AD774" s="12" t="s">
        <v>764</v>
      </c>
    </row>
    <row r="775" spans="1:30" ht="27.6" hidden="1" x14ac:dyDescent="0.3">
      <c r="A775" s="1" t="s">
        <v>6270</v>
      </c>
      <c r="B775" s="1" t="s">
        <v>6271</v>
      </c>
      <c r="C775" s="1" t="s">
        <v>6272</v>
      </c>
      <c r="D775" s="1" t="s">
        <v>6273</v>
      </c>
      <c r="E775" s="1" t="s">
        <v>6274</v>
      </c>
      <c r="F775" s="1" t="s">
        <v>6275</v>
      </c>
      <c r="G775" s="1"/>
      <c r="H775" s="1" t="s">
        <v>6276</v>
      </c>
      <c r="I775" s="1" t="s">
        <v>6277</v>
      </c>
      <c r="J775" s="1" t="s">
        <v>4823</v>
      </c>
      <c r="K775" s="1" t="s">
        <v>39</v>
      </c>
      <c r="L775" s="1" t="s">
        <v>6278</v>
      </c>
      <c r="M775" s="1" t="s">
        <v>42</v>
      </c>
      <c r="N775" s="1"/>
      <c r="O775" s="1" t="s">
        <v>31</v>
      </c>
      <c r="P775" s="1"/>
      <c r="Q775" s="1"/>
      <c r="R775" s="1" t="s">
        <v>5480</v>
      </c>
      <c r="S775" s="1" t="s">
        <v>6279</v>
      </c>
      <c r="T775" s="15">
        <v>2023</v>
      </c>
      <c r="U775" s="45" t="s">
        <v>45</v>
      </c>
      <c r="V775" s="13" t="s">
        <v>29</v>
      </c>
      <c r="X775" s="12">
        <v>5</v>
      </c>
      <c r="Z775" s="14" t="s">
        <v>2148</v>
      </c>
      <c r="AA775" s="12" t="s">
        <v>520</v>
      </c>
      <c r="AB775" s="14" t="s">
        <v>3890</v>
      </c>
      <c r="AD775" s="12" t="s">
        <v>764</v>
      </c>
    </row>
    <row r="776" spans="1:30" hidden="1" x14ac:dyDescent="0.3">
      <c r="A776" s="1"/>
      <c r="B776" s="1" t="s">
        <v>6280</v>
      </c>
      <c r="C776" s="1" t="s">
        <v>79</v>
      </c>
      <c r="D776" s="1" t="s">
        <v>6281</v>
      </c>
      <c r="E776" s="1" t="s">
        <v>6282</v>
      </c>
      <c r="F776" s="1" t="s">
        <v>6283</v>
      </c>
      <c r="G776" s="1" t="s">
        <v>6284</v>
      </c>
      <c r="H776" s="1" t="s">
        <v>1503</v>
      </c>
      <c r="I776" s="1" t="s">
        <v>6285</v>
      </c>
      <c r="J776" s="1" t="s">
        <v>6286</v>
      </c>
      <c r="K776" s="1" t="s">
        <v>39</v>
      </c>
      <c r="L776" s="1" t="s">
        <v>6287</v>
      </c>
      <c r="M776" s="1" t="s">
        <v>141</v>
      </c>
      <c r="N776" s="1"/>
      <c r="O776" s="1" t="s">
        <v>31</v>
      </c>
      <c r="P776" s="1"/>
      <c r="Q776" s="1"/>
      <c r="R776" s="1" t="s">
        <v>5371</v>
      </c>
      <c r="S776" s="1" t="s">
        <v>6288</v>
      </c>
      <c r="T776" s="15">
        <v>2023</v>
      </c>
      <c r="U776" s="45" t="s">
        <v>45</v>
      </c>
      <c r="V776" s="13" t="s">
        <v>29</v>
      </c>
      <c r="X776" s="12">
        <v>5</v>
      </c>
      <c r="Z776" s="14" t="s">
        <v>3835</v>
      </c>
      <c r="AA776" s="12" t="s">
        <v>6311</v>
      </c>
      <c r="AB776" s="14" t="s">
        <v>3884</v>
      </c>
      <c r="AD776" s="12" t="s">
        <v>764</v>
      </c>
    </row>
    <row r="777" spans="1:30" ht="27.6" hidden="1" x14ac:dyDescent="0.3">
      <c r="A777" s="1" t="s">
        <v>6289</v>
      </c>
      <c r="B777" s="1" t="s">
        <v>6290</v>
      </c>
      <c r="C777" s="1" t="s">
        <v>1732</v>
      </c>
      <c r="D777" s="1" t="s">
        <v>6291</v>
      </c>
      <c r="E777" s="1" t="s">
        <v>6292</v>
      </c>
      <c r="F777" s="1" t="s">
        <v>6293</v>
      </c>
      <c r="G777" s="1" t="s">
        <v>6294</v>
      </c>
      <c r="H777" s="1" t="s">
        <v>6295</v>
      </c>
      <c r="I777" s="1" t="s">
        <v>6296</v>
      </c>
      <c r="J777" s="1" t="s">
        <v>3939</v>
      </c>
      <c r="K777" s="1" t="s">
        <v>39</v>
      </c>
      <c r="L777" s="1" t="s">
        <v>6297</v>
      </c>
      <c r="M777" s="1" t="s">
        <v>152</v>
      </c>
      <c r="N777" s="1" t="s">
        <v>6298</v>
      </c>
      <c r="O777" s="1" t="s">
        <v>31</v>
      </c>
      <c r="P777" s="1"/>
      <c r="Q777" s="1"/>
      <c r="R777" s="1" t="s">
        <v>5480</v>
      </c>
      <c r="S777" s="1" t="s">
        <v>6299</v>
      </c>
      <c r="T777" s="15">
        <v>2023</v>
      </c>
      <c r="U777" s="45" t="s">
        <v>3533</v>
      </c>
      <c r="V777" s="13" t="s">
        <v>6171</v>
      </c>
      <c r="X777" s="12" t="s">
        <v>7369</v>
      </c>
      <c r="Y777" s="44">
        <v>45366</v>
      </c>
      <c r="Z777" s="14" t="s">
        <v>3828</v>
      </c>
      <c r="AA777" s="12" t="s">
        <v>6393</v>
      </c>
      <c r="AB777" s="14"/>
      <c r="AD777" s="12" t="s">
        <v>764</v>
      </c>
    </row>
    <row r="778" spans="1:30" hidden="1" x14ac:dyDescent="0.3">
      <c r="A778" s="1" t="s">
        <v>2635</v>
      </c>
      <c r="B778" s="1" t="s">
        <v>3438</v>
      </c>
      <c r="C778" s="1" t="s">
        <v>6300</v>
      </c>
      <c r="D778" s="1" t="s">
        <v>6301</v>
      </c>
      <c r="E778" s="1" t="s">
        <v>6302</v>
      </c>
      <c r="F778" s="1" t="s">
        <v>6303</v>
      </c>
      <c r="G778" s="1" t="s">
        <v>6304</v>
      </c>
      <c r="H778" s="1" t="s">
        <v>6305</v>
      </c>
      <c r="I778" s="1" t="s">
        <v>6306</v>
      </c>
      <c r="J778" s="1" t="s">
        <v>72</v>
      </c>
      <c r="K778" s="1" t="s">
        <v>39</v>
      </c>
      <c r="L778" s="1" t="s">
        <v>6307</v>
      </c>
      <c r="M778" s="1" t="s">
        <v>141</v>
      </c>
      <c r="N778" s="1"/>
      <c r="O778" s="1" t="s">
        <v>31</v>
      </c>
      <c r="P778" s="1"/>
      <c r="Q778" s="1"/>
      <c r="R778" s="1" t="s">
        <v>6308</v>
      </c>
      <c r="S778" s="1" t="s">
        <v>6309</v>
      </c>
      <c r="T778" s="15">
        <v>2023</v>
      </c>
      <c r="U778" s="45" t="s">
        <v>45</v>
      </c>
      <c r="V778" s="13" t="s">
        <v>29</v>
      </c>
      <c r="X778" s="12">
        <v>5</v>
      </c>
      <c r="Z778" s="14" t="s">
        <v>6312</v>
      </c>
      <c r="AA778" s="12" t="s">
        <v>4915</v>
      </c>
      <c r="AB778" s="14" t="s">
        <v>3884</v>
      </c>
      <c r="AD778" s="12" t="s">
        <v>764</v>
      </c>
    </row>
    <row r="779" spans="1:30" hidden="1" x14ac:dyDescent="0.3">
      <c r="A779" s="1" t="s">
        <v>1262</v>
      </c>
      <c r="B779" s="4" t="s">
        <v>2508</v>
      </c>
      <c r="C779" s="4" t="s">
        <v>390</v>
      </c>
      <c r="D779" s="1" t="s">
        <v>6313</v>
      </c>
      <c r="E779" s="1" t="s">
        <v>6314</v>
      </c>
      <c r="F779" s="1" t="s">
        <v>6315</v>
      </c>
      <c r="G779" s="1" t="s">
        <v>6316</v>
      </c>
      <c r="H779" s="1" t="s">
        <v>6317</v>
      </c>
      <c r="I779" s="1" t="s">
        <v>6318</v>
      </c>
      <c r="J779" s="1" t="s">
        <v>4854</v>
      </c>
      <c r="K779" s="1" t="s">
        <v>39</v>
      </c>
      <c r="L779" s="1" t="s">
        <v>6319</v>
      </c>
      <c r="M779" s="1" t="s">
        <v>42</v>
      </c>
      <c r="N779" s="1"/>
      <c r="O779" s="1" t="s">
        <v>31</v>
      </c>
      <c r="P779" s="1"/>
      <c r="Q779" s="1"/>
      <c r="R779" s="1" t="s">
        <v>5480</v>
      </c>
      <c r="S779" s="1" t="s">
        <v>6320</v>
      </c>
      <c r="T779" s="15">
        <v>2023</v>
      </c>
      <c r="U779" s="45" t="s">
        <v>5765</v>
      </c>
      <c r="V779" s="13" t="s">
        <v>29</v>
      </c>
      <c r="X779" s="12">
        <v>5</v>
      </c>
      <c r="Z779" s="14" t="s">
        <v>2148</v>
      </c>
      <c r="AA779" s="12" t="s">
        <v>520</v>
      </c>
      <c r="AB779" s="14" t="s">
        <v>3890</v>
      </c>
      <c r="AD779" s="12" t="s">
        <v>764</v>
      </c>
    </row>
    <row r="780" spans="1:30" hidden="1" x14ac:dyDescent="0.3">
      <c r="A780" s="1" t="s">
        <v>100</v>
      </c>
      <c r="B780" s="1" t="s">
        <v>6321</v>
      </c>
      <c r="C780" s="1" t="s">
        <v>2246</v>
      </c>
      <c r="D780" s="1" t="s">
        <v>6322</v>
      </c>
      <c r="E780" s="1" t="s">
        <v>6323</v>
      </c>
      <c r="F780" s="1" t="s">
        <v>6324</v>
      </c>
      <c r="G780" s="1"/>
      <c r="H780" s="1" t="s">
        <v>756</v>
      </c>
      <c r="I780" s="1"/>
      <c r="J780" s="1" t="s">
        <v>1886</v>
      </c>
      <c r="K780" s="1" t="s">
        <v>39</v>
      </c>
      <c r="L780" s="1" t="s">
        <v>6325</v>
      </c>
      <c r="M780" s="1" t="s">
        <v>42</v>
      </c>
      <c r="N780" s="1"/>
      <c r="O780" s="1" t="s">
        <v>31</v>
      </c>
      <c r="P780" s="1"/>
      <c r="Q780" s="1"/>
      <c r="R780" s="1" t="s">
        <v>5359</v>
      </c>
      <c r="S780" s="1" t="s">
        <v>6326</v>
      </c>
      <c r="T780" s="15">
        <v>2023</v>
      </c>
      <c r="U780" s="45" t="s">
        <v>45</v>
      </c>
      <c r="V780" s="13" t="s">
        <v>29</v>
      </c>
      <c r="X780" s="12">
        <v>5</v>
      </c>
      <c r="Z780" s="14" t="s">
        <v>3828</v>
      </c>
      <c r="AA780" s="12" t="s">
        <v>6391</v>
      </c>
      <c r="AB780" s="14" t="s">
        <v>3888</v>
      </c>
      <c r="AD780" s="12" t="s">
        <v>764</v>
      </c>
    </row>
    <row r="781" spans="1:30" hidden="1" x14ac:dyDescent="0.3">
      <c r="A781" s="1"/>
      <c r="B781" s="1" t="s">
        <v>171</v>
      </c>
      <c r="C781" s="1" t="s">
        <v>4801</v>
      </c>
      <c r="D781" s="1" t="s">
        <v>6327</v>
      </c>
      <c r="E781" s="1" t="s">
        <v>6328</v>
      </c>
      <c r="F781" s="1" t="s">
        <v>6329</v>
      </c>
      <c r="G781" s="1"/>
      <c r="H781" s="1" t="s">
        <v>6330</v>
      </c>
      <c r="I781" s="1" t="s">
        <v>6331</v>
      </c>
      <c r="J781" s="1" t="s">
        <v>2312</v>
      </c>
      <c r="K781" s="1" t="s">
        <v>39</v>
      </c>
      <c r="L781" s="1" t="s">
        <v>6332</v>
      </c>
      <c r="M781" s="1" t="s">
        <v>42</v>
      </c>
      <c r="N781" s="1"/>
      <c r="O781" s="1" t="s">
        <v>31</v>
      </c>
      <c r="P781" s="1"/>
      <c r="Q781" s="1"/>
      <c r="R781" s="1" t="s">
        <v>5480</v>
      </c>
      <c r="S781" s="1" t="s">
        <v>6333</v>
      </c>
      <c r="T781" s="15">
        <v>2023</v>
      </c>
      <c r="U781" s="45" t="s">
        <v>5765</v>
      </c>
      <c r="V781" s="13" t="s">
        <v>29</v>
      </c>
      <c r="X781" s="12">
        <v>30</v>
      </c>
      <c r="Z781" s="14" t="s">
        <v>3835</v>
      </c>
      <c r="AA781" s="12" t="s">
        <v>6392</v>
      </c>
      <c r="AB781" s="14" t="s">
        <v>3884</v>
      </c>
      <c r="AD781" s="12" t="s">
        <v>764</v>
      </c>
    </row>
    <row r="782" spans="1:30" hidden="1" x14ac:dyDescent="0.3">
      <c r="A782" s="1" t="s">
        <v>1052</v>
      </c>
      <c r="B782" s="1" t="s">
        <v>6334</v>
      </c>
      <c r="C782" s="1" t="s">
        <v>938</v>
      </c>
      <c r="D782" s="1" t="s">
        <v>6335</v>
      </c>
      <c r="E782" s="1" t="s">
        <v>6336</v>
      </c>
      <c r="F782" s="1" t="s">
        <v>6337</v>
      </c>
      <c r="G782" s="1"/>
      <c r="H782" s="1" t="s">
        <v>6338</v>
      </c>
      <c r="I782" s="1" t="s">
        <v>6339</v>
      </c>
      <c r="J782" s="1" t="s">
        <v>3238</v>
      </c>
      <c r="K782" s="1" t="s">
        <v>39</v>
      </c>
      <c r="L782" s="1" t="s">
        <v>5919</v>
      </c>
      <c r="M782" s="1" t="s">
        <v>42</v>
      </c>
      <c r="N782" s="1" t="s">
        <v>6340</v>
      </c>
      <c r="O782" s="1" t="s">
        <v>31</v>
      </c>
      <c r="P782" s="1"/>
      <c r="Q782" s="1"/>
      <c r="R782" s="1" t="s">
        <v>5371</v>
      </c>
      <c r="S782" s="1" t="s">
        <v>6341</v>
      </c>
      <c r="T782" s="15">
        <v>2023</v>
      </c>
      <c r="U782" s="45" t="s">
        <v>5765</v>
      </c>
      <c r="V782" s="13" t="s">
        <v>29</v>
      </c>
      <c r="X782" s="12">
        <v>5</v>
      </c>
      <c r="Z782" s="14" t="s">
        <v>3828</v>
      </c>
      <c r="AA782" s="12" t="s">
        <v>5919</v>
      </c>
      <c r="AB782" s="14" t="s">
        <v>3888</v>
      </c>
      <c r="AD782" s="12" t="s">
        <v>764</v>
      </c>
    </row>
    <row r="783" spans="1:30" ht="27.6" hidden="1" x14ac:dyDescent="0.3">
      <c r="A783" s="1" t="s">
        <v>1379</v>
      </c>
      <c r="B783" s="1" t="s">
        <v>6342</v>
      </c>
      <c r="C783" s="1" t="s">
        <v>6343</v>
      </c>
      <c r="D783" s="1" t="s">
        <v>6344</v>
      </c>
      <c r="E783" s="1"/>
      <c r="F783" s="1" t="s">
        <v>6345</v>
      </c>
      <c r="G783" s="1"/>
      <c r="H783" s="1" t="s">
        <v>6346</v>
      </c>
      <c r="I783" s="1" t="s">
        <v>2057</v>
      </c>
      <c r="J783" s="1" t="s">
        <v>72</v>
      </c>
      <c r="K783" s="1" t="s">
        <v>39</v>
      </c>
      <c r="L783" s="1" t="s">
        <v>6347</v>
      </c>
      <c r="M783" s="1" t="s">
        <v>152</v>
      </c>
      <c r="N783" s="1"/>
      <c r="O783" s="1" t="s">
        <v>31</v>
      </c>
      <c r="P783" s="1"/>
      <c r="Q783" s="1"/>
      <c r="R783" s="1" t="s">
        <v>5480</v>
      </c>
      <c r="S783" s="1" t="s">
        <v>6348</v>
      </c>
      <c r="T783" s="15">
        <v>2023</v>
      </c>
      <c r="U783" s="45" t="s">
        <v>6168</v>
      </c>
      <c r="V783" s="13" t="s">
        <v>6171</v>
      </c>
      <c r="X783" s="12" t="s">
        <v>7369</v>
      </c>
      <c r="Y783" s="44">
        <v>45366</v>
      </c>
      <c r="Z783" s="14" t="s">
        <v>3828</v>
      </c>
      <c r="AD783" s="12" t="s">
        <v>764</v>
      </c>
    </row>
    <row r="784" spans="1:30" hidden="1" x14ac:dyDescent="0.3">
      <c r="A784" s="1"/>
      <c r="B784" s="1" t="s">
        <v>6349</v>
      </c>
      <c r="C784" s="1" t="s">
        <v>6350</v>
      </c>
      <c r="D784" s="1" t="s">
        <v>6351</v>
      </c>
      <c r="E784" s="1" t="s">
        <v>6352</v>
      </c>
      <c r="F784" s="1" t="s">
        <v>6353</v>
      </c>
      <c r="G784" s="1" t="s">
        <v>6354</v>
      </c>
      <c r="H784" s="1" t="s">
        <v>6355</v>
      </c>
      <c r="I784" s="1"/>
      <c r="J784" s="1" t="s">
        <v>638</v>
      </c>
      <c r="K784" s="1" t="s">
        <v>39</v>
      </c>
      <c r="L784" s="1" t="s">
        <v>6356</v>
      </c>
      <c r="M784" s="1" t="s">
        <v>141</v>
      </c>
      <c r="N784" s="1"/>
      <c r="O784" s="1" t="s">
        <v>31</v>
      </c>
      <c r="P784" s="1"/>
      <c r="Q784" s="1"/>
      <c r="R784" s="1" t="s">
        <v>5429</v>
      </c>
      <c r="S784" s="1" t="s">
        <v>6357</v>
      </c>
      <c r="U784" s="45" t="s">
        <v>376</v>
      </c>
      <c r="V784" s="13" t="s">
        <v>376</v>
      </c>
      <c r="X784" s="12" t="s">
        <v>376</v>
      </c>
      <c r="Z784" s="14"/>
    </row>
    <row r="785" spans="1:30" hidden="1" x14ac:dyDescent="0.3">
      <c r="A785" s="1"/>
      <c r="B785" s="1" t="s">
        <v>6358</v>
      </c>
      <c r="C785" s="1" t="s">
        <v>5325</v>
      </c>
      <c r="D785" s="1" t="s">
        <v>6359</v>
      </c>
      <c r="E785" s="1" t="s">
        <v>6360</v>
      </c>
      <c r="F785" s="1" t="s">
        <v>6361</v>
      </c>
      <c r="G785" s="1" t="s">
        <v>6362</v>
      </c>
      <c r="H785" s="1" t="s">
        <v>6363</v>
      </c>
      <c r="I785" s="1" t="s">
        <v>6364</v>
      </c>
      <c r="J785" s="1" t="s">
        <v>339</v>
      </c>
      <c r="K785" s="1" t="s">
        <v>39</v>
      </c>
      <c r="L785" s="1" t="s">
        <v>6365</v>
      </c>
      <c r="M785" s="1" t="s">
        <v>141</v>
      </c>
      <c r="N785" s="1"/>
      <c r="O785" s="1" t="s">
        <v>31</v>
      </c>
      <c r="P785" s="1"/>
      <c r="Q785" s="1"/>
      <c r="R785" s="1" t="s">
        <v>5359</v>
      </c>
      <c r="S785" s="1" t="s">
        <v>6366</v>
      </c>
      <c r="T785" s="15">
        <v>2023</v>
      </c>
      <c r="U785" s="45" t="s">
        <v>45</v>
      </c>
      <c r="V785" s="13" t="s">
        <v>29</v>
      </c>
      <c r="X785" s="12">
        <v>5</v>
      </c>
      <c r="Z785" s="14" t="s">
        <v>3835</v>
      </c>
      <c r="AA785" s="12" t="s">
        <v>6394</v>
      </c>
      <c r="AB785" s="14" t="s">
        <v>3884</v>
      </c>
      <c r="AD785" s="12" t="s">
        <v>764</v>
      </c>
    </row>
    <row r="786" spans="1:30" ht="27.6" hidden="1" x14ac:dyDescent="0.3">
      <c r="A786" s="1" t="s">
        <v>6367</v>
      </c>
      <c r="B786" s="1" t="s">
        <v>6368</v>
      </c>
      <c r="C786" s="1" t="s">
        <v>6369</v>
      </c>
      <c r="D786" s="1" t="s">
        <v>6370</v>
      </c>
      <c r="E786" s="1" t="s">
        <v>6371</v>
      </c>
      <c r="F786" s="1" t="s">
        <v>6372</v>
      </c>
      <c r="G786" s="1" t="s">
        <v>6373</v>
      </c>
      <c r="H786" s="1" t="s">
        <v>6374</v>
      </c>
      <c r="I786" s="1" t="s">
        <v>6375</v>
      </c>
      <c r="J786" s="1" t="s">
        <v>6376</v>
      </c>
      <c r="K786" s="1" t="s">
        <v>1702</v>
      </c>
      <c r="L786" s="1" t="s">
        <v>6377</v>
      </c>
      <c r="M786" s="1" t="s">
        <v>141</v>
      </c>
      <c r="N786" s="1"/>
      <c r="O786" s="1" t="s">
        <v>31</v>
      </c>
      <c r="P786" s="1"/>
      <c r="Q786" s="1"/>
      <c r="R786" s="1" t="s">
        <v>5480</v>
      </c>
      <c r="S786" s="1" t="s">
        <v>6378</v>
      </c>
      <c r="T786" s="15">
        <v>2023</v>
      </c>
      <c r="U786" s="45" t="s">
        <v>5765</v>
      </c>
      <c r="V786" s="13" t="s">
        <v>29</v>
      </c>
      <c r="X786" s="12">
        <v>5</v>
      </c>
      <c r="Z786" s="14" t="s">
        <v>3828</v>
      </c>
      <c r="AA786" s="12" t="s">
        <v>6395</v>
      </c>
      <c r="AB786" s="14" t="s">
        <v>3888</v>
      </c>
      <c r="AD786" s="12" t="s">
        <v>764</v>
      </c>
    </row>
    <row r="787" spans="1:30" hidden="1" x14ac:dyDescent="0.3">
      <c r="A787" s="1" t="s">
        <v>2821</v>
      </c>
      <c r="B787" s="1" t="s">
        <v>98</v>
      </c>
      <c r="C787" s="1" t="s">
        <v>523</v>
      </c>
      <c r="D787" s="1" t="s">
        <v>6379</v>
      </c>
      <c r="E787" s="1" t="s">
        <v>6380</v>
      </c>
      <c r="F787" s="1" t="s">
        <v>6381</v>
      </c>
      <c r="G787" s="1"/>
      <c r="H787" s="1"/>
      <c r="I787" s="1"/>
      <c r="J787" s="1" t="s">
        <v>6382</v>
      </c>
      <c r="K787" s="1" t="s">
        <v>39</v>
      </c>
      <c r="L787" s="1" t="s">
        <v>1304</v>
      </c>
      <c r="M787" s="1" t="s">
        <v>141</v>
      </c>
      <c r="N787" s="1"/>
      <c r="O787" s="1" t="s">
        <v>31</v>
      </c>
      <c r="P787" s="1"/>
      <c r="Q787" s="1"/>
      <c r="R787" s="1" t="s">
        <v>5480</v>
      </c>
      <c r="S787" s="1" t="s">
        <v>6383</v>
      </c>
      <c r="T787" s="15">
        <v>2023</v>
      </c>
      <c r="U787" s="45" t="s">
        <v>45</v>
      </c>
      <c r="V787" s="13" t="s">
        <v>29</v>
      </c>
      <c r="X787" s="12">
        <v>5</v>
      </c>
      <c r="Z787" s="14" t="s">
        <v>3828</v>
      </c>
      <c r="AA787" s="12" t="s">
        <v>5922</v>
      </c>
      <c r="AB787" s="14" t="s">
        <v>3888</v>
      </c>
      <c r="AD787" s="12" t="s">
        <v>764</v>
      </c>
    </row>
    <row r="788" spans="1:30" hidden="1" x14ac:dyDescent="0.3">
      <c r="A788" s="1"/>
      <c r="B788" s="1" t="s">
        <v>6384</v>
      </c>
      <c r="C788" s="1" t="s">
        <v>229</v>
      </c>
      <c r="D788" s="1" t="s">
        <v>6385</v>
      </c>
      <c r="E788" s="1" t="s">
        <v>6386</v>
      </c>
      <c r="F788" s="1" t="s">
        <v>6387</v>
      </c>
      <c r="G788" s="1"/>
      <c r="H788" s="1"/>
      <c r="I788" s="1"/>
      <c r="J788" s="1" t="s">
        <v>6388</v>
      </c>
      <c r="K788" s="1" t="s">
        <v>39</v>
      </c>
      <c r="L788" s="1" t="s">
        <v>6389</v>
      </c>
      <c r="M788" s="1" t="s">
        <v>42</v>
      </c>
      <c r="N788" s="1"/>
      <c r="O788" s="1" t="s">
        <v>31</v>
      </c>
      <c r="P788" s="1"/>
      <c r="Q788" s="1"/>
      <c r="R788" s="1" t="s">
        <v>5480</v>
      </c>
      <c r="S788" s="1" t="s">
        <v>6390</v>
      </c>
      <c r="T788" s="15">
        <v>2023</v>
      </c>
      <c r="U788" s="45" t="s">
        <v>5765</v>
      </c>
      <c r="V788" s="13" t="s">
        <v>29</v>
      </c>
      <c r="X788" s="12">
        <v>10</v>
      </c>
      <c r="Z788" s="14" t="s">
        <v>3835</v>
      </c>
      <c r="AA788" s="12" t="s">
        <v>4061</v>
      </c>
      <c r="AB788" s="14" t="s">
        <v>3884</v>
      </c>
      <c r="AD788" s="12" t="s">
        <v>764</v>
      </c>
    </row>
    <row r="789" spans="1:30" hidden="1" x14ac:dyDescent="0.3">
      <c r="A789" s="1" t="s">
        <v>22</v>
      </c>
      <c r="B789" s="4" t="s">
        <v>6396</v>
      </c>
      <c r="C789" s="4" t="s">
        <v>68</v>
      </c>
      <c r="D789" s="1" t="s">
        <v>6397</v>
      </c>
      <c r="E789" s="1" t="s">
        <v>6398</v>
      </c>
      <c r="F789" s="1" t="s">
        <v>6399</v>
      </c>
      <c r="G789" s="1"/>
      <c r="H789" s="1"/>
      <c r="I789" s="1"/>
      <c r="J789" s="1" t="s">
        <v>6400</v>
      </c>
      <c r="K789" s="1" t="s">
        <v>39</v>
      </c>
      <c r="L789" s="1" t="s">
        <v>1304</v>
      </c>
      <c r="M789" s="1" t="s">
        <v>42</v>
      </c>
      <c r="N789" s="1"/>
      <c r="O789" s="1" t="s">
        <v>31</v>
      </c>
      <c r="P789" s="1"/>
      <c r="Q789" s="1"/>
      <c r="R789" s="1" t="s">
        <v>5359</v>
      </c>
      <c r="S789" s="1" t="s">
        <v>6401</v>
      </c>
      <c r="T789" s="15">
        <v>2023</v>
      </c>
      <c r="U789" s="45" t="s">
        <v>45</v>
      </c>
      <c r="V789" s="13" t="s">
        <v>29</v>
      </c>
      <c r="X789" s="12">
        <v>15</v>
      </c>
      <c r="Z789" s="14" t="s">
        <v>3828</v>
      </c>
      <c r="AA789" s="12" t="s">
        <v>6441</v>
      </c>
      <c r="AB789" s="14" t="s">
        <v>3888</v>
      </c>
      <c r="AD789" s="12" t="s">
        <v>764</v>
      </c>
    </row>
    <row r="790" spans="1:30" hidden="1" x14ac:dyDescent="0.3">
      <c r="A790" s="1"/>
      <c r="B790" s="1" t="s">
        <v>6402</v>
      </c>
      <c r="C790" s="1" t="s">
        <v>2303</v>
      </c>
      <c r="D790" s="1" t="s">
        <v>6403</v>
      </c>
      <c r="E790" s="1" t="s">
        <v>6404</v>
      </c>
      <c r="F790" s="1" t="s">
        <v>6405</v>
      </c>
      <c r="G790" s="1"/>
      <c r="H790" s="1"/>
      <c r="I790" s="1"/>
      <c r="J790" s="1" t="s">
        <v>5568</v>
      </c>
      <c r="K790" s="1" t="s">
        <v>5569</v>
      </c>
      <c r="L790" s="1" t="s">
        <v>6406</v>
      </c>
      <c r="M790" s="1" t="s">
        <v>141</v>
      </c>
      <c r="N790" s="1"/>
      <c r="O790" s="1" t="s">
        <v>31</v>
      </c>
      <c r="P790" s="1"/>
      <c r="Q790" s="1"/>
      <c r="R790" s="1" t="s">
        <v>5429</v>
      </c>
      <c r="S790" s="1" t="s">
        <v>6407</v>
      </c>
      <c r="T790" s="15">
        <v>2023</v>
      </c>
      <c r="U790" s="45" t="s">
        <v>45</v>
      </c>
      <c r="V790" s="13" t="s">
        <v>29</v>
      </c>
      <c r="X790" s="12">
        <v>5</v>
      </c>
      <c r="Z790" s="14" t="s">
        <v>3835</v>
      </c>
      <c r="AA790" s="12" t="s">
        <v>4873</v>
      </c>
      <c r="AB790" s="14" t="s">
        <v>3884</v>
      </c>
      <c r="AD790" s="12" t="s">
        <v>764</v>
      </c>
    </row>
    <row r="791" spans="1:30" ht="27.6" x14ac:dyDescent="0.3">
      <c r="A791" s="1" t="s">
        <v>22</v>
      </c>
      <c r="B791" s="1" t="s">
        <v>5737</v>
      </c>
      <c r="C791" s="1" t="s">
        <v>6408</v>
      </c>
      <c r="D791" s="1" t="s">
        <v>6409</v>
      </c>
      <c r="E791" s="1" t="s">
        <v>6410</v>
      </c>
      <c r="F791" s="1" t="s">
        <v>6411</v>
      </c>
      <c r="G791" s="1"/>
      <c r="H791" s="1"/>
      <c r="I791" s="1"/>
      <c r="J791" s="1" t="s">
        <v>5663</v>
      </c>
      <c r="K791" s="1" t="s">
        <v>39</v>
      </c>
      <c r="L791" s="1" t="s">
        <v>6412</v>
      </c>
      <c r="M791" s="1" t="s">
        <v>42</v>
      </c>
      <c r="N791" s="1"/>
      <c r="O791" s="1" t="s">
        <v>31</v>
      </c>
      <c r="P791" s="1"/>
      <c r="Q791" s="1"/>
      <c r="R791" s="1" t="s">
        <v>5480</v>
      </c>
      <c r="S791" s="1" t="s">
        <v>6413</v>
      </c>
      <c r="T791" s="15">
        <v>2023</v>
      </c>
      <c r="U791" s="45" t="s">
        <v>45</v>
      </c>
      <c r="V791" s="13" t="s">
        <v>29</v>
      </c>
      <c r="Y791" s="44" t="s">
        <v>10083</v>
      </c>
      <c r="Z791" s="14" t="s">
        <v>3835</v>
      </c>
      <c r="AA791" s="12" t="s">
        <v>4061</v>
      </c>
      <c r="AB791" s="14" t="s">
        <v>3884</v>
      </c>
      <c r="AD791" s="12" t="s">
        <v>764</v>
      </c>
    </row>
    <row r="792" spans="1:30" hidden="1" x14ac:dyDescent="0.3">
      <c r="A792" s="1" t="s">
        <v>6414</v>
      </c>
      <c r="B792" s="1" t="s">
        <v>6415</v>
      </c>
      <c r="C792" s="1" t="s">
        <v>6416</v>
      </c>
      <c r="D792" s="1" t="s">
        <v>6417</v>
      </c>
      <c r="E792" s="1" t="s">
        <v>6418</v>
      </c>
      <c r="F792" s="1" t="s">
        <v>6419</v>
      </c>
      <c r="G792" s="1" t="s">
        <v>6420</v>
      </c>
      <c r="H792" s="1" t="s">
        <v>6421</v>
      </c>
      <c r="I792" s="1" t="s">
        <v>6422</v>
      </c>
      <c r="J792" s="1" t="s">
        <v>72</v>
      </c>
      <c r="K792" s="1" t="s">
        <v>39</v>
      </c>
      <c r="L792" s="1" t="s">
        <v>6423</v>
      </c>
      <c r="M792" s="1" t="s">
        <v>42</v>
      </c>
      <c r="N792" s="1"/>
      <c r="O792" s="1" t="s">
        <v>31</v>
      </c>
      <c r="P792" s="1"/>
      <c r="Q792" s="1"/>
      <c r="R792" s="1" t="s">
        <v>5480</v>
      </c>
      <c r="S792" s="1" t="s">
        <v>6424</v>
      </c>
      <c r="T792" s="15">
        <v>2023</v>
      </c>
      <c r="U792" s="45" t="s">
        <v>45</v>
      </c>
      <c r="V792" s="13" t="s">
        <v>29</v>
      </c>
      <c r="X792" s="12">
        <v>5</v>
      </c>
      <c r="Y792" s="44">
        <v>45366</v>
      </c>
      <c r="Z792" s="14" t="s">
        <v>3828</v>
      </c>
      <c r="AA792" s="12" t="s">
        <v>4870</v>
      </c>
      <c r="AB792" s="14" t="s">
        <v>3888</v>
      </c>
      <c r="AD792" s="12" t="s">
        <v>764</v>
      </c>
    </row>
    <row r="793" spans="1:30" hidden="1" x14ac:dyDescent="0.3">
      <c r="A793" s="1"/>
      <c r="B793" s="1" t="s">
        <v>6425</v>
      </c>
      <c r="C793" s="1" t="s">
        <v>6426</v>
      </c>
      <c r="D793" s="1" t="s">
        <v>6427</v>
      </c>
      <c r="E793" s="1"/>
      <c r="F793" s="1" t="s">
        <v>6428</v>
      </c>
      <c r="G793" s="1"/>
      <c r="H793" s="1"/>
      <c r="I793" s="1"/>
      <c r="J793" s="1" t="s">
        <v>6429</v>
      </c>
      <c r="K793" s="1" t="s">
        <v>39</v>
      </c>
      <c r="L793" s="1" t="s">
        <v>6430</v>
      </c>
      <c r="M793" s="1" t="s">
        <v>42</v>
      </c>
      <c r="N793" s="1"/>
      <c r="O793" s="1" t="s">
        <v>31</v>
      </c>
      <c r="P793" s="1"/>
      <c r="Q793" s="1"/>
      <c r="R793" s="1" t="s">
        <v>5371</v>
      </c>
      <c r="S793" s="1" t="s">
        <v>6431</v>
      </c>
      <c r="T793" s="15">
        <v>2023</v>
      </c>
      <c r="U793" s="45" t="s">
        <v>5765</v>
      </c>
      <c r="V793" s="13" t="s">
        <v>29</v>
      </c>
      <c r="X793" s="12">
        <v>10</v>
      </c>
      <c r="Y793" s="44">
        <v>45366</v>
      </c>
      <c r="Z793" s="14" t="s">
        <v>3835</v>
      </c>
      <c r="AA793" s="12" t="s">
        <v>4061</v>
      </c>
      <c r="AB793" s="14" t="s">
        <v>3884</v>
      </c>
      <c r="AD793" s="12" t="s">
        <v>764</v>
      </c>
    </row>
    <row r="794" spans="1:30" s="54" customFormat="1" hidden="1" x14ac:dyDescent="0.3">
      <c r="A794" s="51" t="s">
        <v>22</v>
      </c>
      <c r="B794" s="51" t="s">
        <v>6432</v>
      </c>
      <c r="C794" s="51" t="s">
        <v>79</v>
      </c>
      <c r="D794" s="51" t="s">
        <v>6433</v>
      </c>
      <c r="E794" s="51" t="s">
        <v>6434</v>
      </c>
      <c r="F794" s="51" t="s">
        <v>6435</v>
      </c>
      <c r="G794" s="51" t="s">
        <v>6436</v>
      </c>
      <c r="H794" s="51" t="s">
        <v>3197</v>
      </c>
      <c r="I794" s="51" t="s">
        <v>6437</v>
      </c>
      <c r="J794" s="51" t="s">
        <v>6438</v>
      </c>
      <c r="K794" s="51" t="s">
        <v>39</v>
      </c>
      <c r="L794" s="51" t="s">
        <v>5057</v>
      </c>
      <c r="M794" s="51" t="s">
        <v>141</v>
      </c>
      <c r="N794" s="51" t="s">
        <v>6439</v>
      </c>
      <c r="O794" s="51" t="s">
        <v>31</v>
      </c>
      <c r="P794" s="51"/>
      <c r="Q794" s="51"/>
      <c r="R794" s="51" t="s">
        <v>5480</v>
      </c>
      <c r="S794" s="51" t="s">
        <v>6440</v>
      </c>
      <c r="T794" s="52">
        <v>2023</v>
      </c>
      <c r="U794" s="53" t="s">
        <v>45</v>
      </c>
      <c r="V794" s="13" t="s">
        <v>29</v>
      </c>
      <c r="X794" s="54">
        <v>5</v>
      </c>
      <c r="Z794" s="55" t="s">
        <v>3835</v>
      </c>
      <c r="AA794" s="54" t="s">
        <v>6442</v>
      </c>
      <c r="AB794" s="55" t="s">
        <v>3884</v>
      </c>
      <c r="AD794" s="54" t="s">
        <v>764</v>
      </c>
    </row>
    <row r="795" spans="1:30" hidden="1" x14ac:dyDescent="0.3">
      <c r="A795" s="1"/>
      <c r="B795" s="4" t="s">
        <v>6443</v>
      </c>
      <c r="C795" s="4" t="s">
        <v>354</v>
      </c>
      <c r="D795" s="1" t="s">
        <v>6444</v>
      </c>
      <c r="E795" s="1" t="s">
        <v>6445</v>
      </c>
      <c r="F795" s="1" t="s">
        <v>6446</v>
      </c>
      <c r="G795" s="1" t="s">
        <v>6447</v>
      </c>
      <c r="H795" s="1" t="s">
        <v>6448</v>
      </c>
      <c r="I795" s="1" t="s">
        <v>6449</v>
      </c>
      <c r="J795" s="1" t="s">
        <v>5469</v>
      </c>
      <c r="K795" s="1" t="s">
        <v>39</v>
      </c>
      <c r="L795" s="1" t="s">
        <v>6450</v>
      </c>
      <c r="M795" s="1" t="s">
        <v>42</v>
      </c>
      <c r="N795" s="1"/>
      <c r="O795" s="1" t="s">
        <v>31</v>
      </c>
      <c r="P795" s="1"/>
      <c r="Q795" s="1"/>
      <c r="R795" s="1" t="s">
        <v>5429</v>
      </c>
      <c r="S795" s="1" t="s">
        <v>6451</v>
      </c>
      <c r="T795" s="15">
        <v>2023</v>
      </c>
      <c r="U795" s="45" t="s">
        <v>45</v>
      </c>
      <c r="V795" s="13" t="s">
        <v>29</v>
      </c>
      <c r="X795" s="12">
        <v>5</v>
      </c>
      <c r="Z795" s="14" t="s">
        <v>3828</v>
      </c>
      <c r="AA795" s="12" t="s">
        <v>4871</v>
      </c>
      <c r="AB795" s="14" t="s">
        <v>3888</v>
      </c>
      <c r="AD795" s="12" t="s">
        <v>764</v>
      </c>
    </row>
    <row r="796" spans="1:30" hidden="1" x14ac:dyDescent="0.3">
      <c r="A796" s="1"/>
      <c r="B796" s="5" t="s">
        <v>6452</v>
      </c>
      <c r="C796" s="5" t="s">
        <v>229</v>
      </c>
      <c r="D796" s="1" t="s">
        <v>6453</v>
      </c>
      <c r="E796" s="1" t="s">
        <v>6454</v>
      </c>
      <c r="F796" s="1" t="s">
        <v>6455</v>
      </c>
      <c r="G796" s="1" t="s">
        <v>6456</v>
      </c>
      <c r="H796" s="1" t="s">
        <v>6457</v>
      </c>
      <c r="I796" s="1" t="s">
        <v>6458</v>
      </c>
      <c r="J796" s="1" t="s">
        <v>3238</v>
      </c>
      <c r="K796" s="1" t="s">
        <v>39</v>
      </c>
      <c r="L796" s="1" t="s">
        <v>6459</v>
      </c>
      <c r="M796" s="1" t="s">
        <v>141</v>
      </c>
      <c r="N796" s="1"/>
      <c r="O796" s="1" t="s">
        <v>31</v>
      </c>
      <c r="P796" s="1"/>
      <c r="Q796" s="1"/>
      <c r="R796" s="1" t="s">
        <v>5371</v>
      </c>
      <c r="S796" s="1" t="s">
        <v>6460</v>
      </c>
      <c r="U796" s="45" t="s">
        <v>6474</v>
      </c>
      <c r="V796" s="13" t="s">
        <v>376</v>
      </c>
      <c r="X796" s="12">
        <v>5</v>
      </c>
      <c r="Z796" s="14"/>
    </row>
    <row r="797" spans="1:30" ht="27.6" hidden="1" x14ac:dyDescent="0.3">
      <c r="A797" s="1" t="s">
        <v>22</v>
      </c>
      <c r="B797" s="1" t="s">
        <v>6461</v>
      </c>
      <c r="C797" s="1" t="s">
        <v>68</v>
      </c>
      <c r="D797" s="1" t="s">
        <v>6462</v>
      </c>
      <c r="E797" s="1" t="s">
        <v>6463</v>
      </c>
      <c r="F797" s="1" t="s">
        <v>6464</v>
      </c>
      <c r="G797" s="1"/>
      <c r="H797" s="1" t="s">
        <v>6465</v>
      </c>
      <c r="I797" s="1" t="s">
        <v>6466</v>
      </c>
      <c r="J797" s="1" t="s">
        <v>504</v>
      </c>
      <c r="K797" s="1" t="s">
        <v>39</v>
      </c>
      <c r="L797" s="1" t="s">
        <v>6467</v>
      </c>
      <c r="M797" s="1" t="s">
        <v>141</v>
      </c>
      <c r="N797" s="1"/>
      <c r="O797" s="1" t="s">
        <v>31</v>
      </c>
      <c r="P797" s="1"/>
      <c r="Q797" s="1"/>
      <c r="R797" s="1" t="s">
        <v>5480</v>
      </c>
      <c r="S797" s="1" t="s">
        <v>6468</v>
      </c>
      <c r="T797" s="15">
        <v>2023</v>
      </c>
      <c r="U797" s="45" t="s">
        <v>45</v>
      </c>
      <c r="V797" s="13" t="s">
        <v>29</v>
      </c>
      <c r="X797" s="12">
        <v>10</v>
      </c>
      <c r="Z797" s="14" t="s">
        <v>3835</v>
      </c>
      <c r="AA797" s="12" t="s">
        <v>4915</v>
      </c>
      <c r="AB797" s="14" t="s">
        <v>3884</v>
      </c>
      <c r="AD797" s="12" t="s">
        <v>764</v>
      </c>
    </row>
    <row r="798" spans="1:30" hidden="1" x14ac:dyDescent="0.3">
      <c r="A798" s="1"/>
      <c r="B798" s="1" t="s">
        <v>1671</v>
      </c>
      <c r="C798" s="1" t="s">
        <v>604</v>
      </c>
      <c r="D798" s="1" t="s">
        <v>6469</v>
      </c>
      <c r="E798" s="1" t="s">
        <v>6470</v>
      </c>
      <c r="F798" s="1" t="s">
        <v>6471</v>
      </c>
      <c r="G798" s="1"/>
      <c r="H798" s="1"/>
      <c r="I798" s="1"/>
      <c r="J798" s="1" t="s">
        <v>1418</v>
      </c>
      <c r="K798" s="1" t="s">
        <v>39</v>
      </c>
      <c r="L798" s="1" t="s">
        <v>6472</v>
      </c>
      <c r="M798" s="1" t="s">
        <v>141</v>
      </c>
      <c r="N798" s="1"/>
      <c r="O798" s="1" t="s">
        <v>31</v>
      </c>
      <c r="P798" s="1"/>
      <c r="Q798" s="1"/>
      <c r="R798" s="1" t="s">
        <v>5480</v>
      </c>
      <c r="S798" s="1" t="s">
        <v>6473</v>
      </c>
      <c r="T798" s="15">
        <v>2023</v>
      </c>
      <c r="U798" s="45" t="s">
        <v>5765</v>
      </c>
      <c r="V798" s="13" t="s">
        <v>29</v>
      </c>
      <c r="X798" s="12">
        <v>5</v>
      </c>
      <c r="Z798" s="14" t="s">
        <v>3835</v>
      </c>
      <c r="AA798" s="12" t="s">
        <v>6311</v>
      </c>
      <c r="AB798" s="14" t="s">
        <v>3884</v>
      </c>
      <c r="AD798" s="12" t="s">
        <v>764</v>
      </c>
    </row>
    <row r="799" spans="1:30" ht="27.6" hidden="1" x14ac:dyDescent="0.3">
      <c r="A799" s="1" t="s">
        <v>6475</v>
      </c>
      <c r="B799" s="4" t="s">
        <v>6476</v>
      </c>
      <c r="C799" s="4" t="s">
        <v>6477</v>
      </c>
      <c r="D799" s="1" t="s">
        <v>6478</v>
      </c>
      <c r="E799" s="1" t="s">
        <v>6479</v>
      </c>
      <c r="F799" s="1" t="s">
        <v>6480</v>
      </c>
      <c r="G799" s="1"/>
      <c r="H799" s="1"/>
      <c r="I799" s="1"/>
      <c r="J799" s="1" t="s">
        <v>2926</v>
      </c>
      <c r="K799" s="1" t="s">
        <v>39</v>
      </c>
      <c r="L799" s="1" t="s">
        <v>6481</v>
      </c>
      <c r="M799" s="1" t="s">
        <v>141</v>
      </c>
      <c r="N799" s="1"/>
      <c r="O799" s="1" t="s">
        <v>31</v>
      </c>
      <c r="P799" s="1"/>
      <c r="Q799" s="1"/>
      <c r="R799" s="1" t="s">
        <v>5359</v>
      </c>
      <c r="S799" s="1" t="s">
        <v>6482</v>
      </c>
      <c r="T799" s="15">
        <v>2023</v>
      </c>
      <c r="U799" s="45" t="s">
        <v>5765</v>
      </c>
      <c r="V799" s="13" t="s">
        <v>29</v>
      </c>
      <c r="X799" s="12">
        <v>5</v>
      </c>
      <c r="Z799" s="14" t="s">
        <v>3828</v>
      </c>
    </row>
    <row r="800" spans="1:30" ht="27.6" x14ac:dyDescent="0.3">
      <c r="A800" s="1"/>
      <c r="B800" s="1" t="s">
        <v>6483</v>
      </c>
      <c r="C800" s="1" t="s">
        <v>6484</v>
      </c>
      <c r="D800" s="1" t="s">
        <v>6485</v>
      </c>
      <c r="E800" s="1" t="s">
        <v>6486</v>
      </c>
      <c r="F800" s="1" t="s">
        <v>6487</v>
      </c>
      <c r="G800" s="1"/>
      <c r="H800" s="1"/>
      <c r="I800" s="1"/>
      <c r="J800" s="1" t="s">
        <v>6488</v>
      </c>
      <c r="K800" s="1" t="s">
        <v>39</v>
      </c>
      <c r="L800" s="1" t="s">
        <v>6489</v>
      </c>
      <c r="M800" s="1" t="s">
        <v>152</v>
      </c>
      <c r="N800" s="1"/>
      <c r="O800" s="1" t="s">
        <v>31</v>
      </c>
      <c r="P800" s="1"/>
      <c r="Q800" s="1"/>
      <c r="R800" s="1" t="s">
        <v>5359</v>
      </c>
      <c r="S800" s="1" t="s">
        <v>6490</v>
      </c>
      <c r="T800" s="15">
        <v>2023</v>
      </c>
      <c r="U800" s="45" t="s">
        <v>45</v>
      </c>
      <c r="V800" s="13" t="s">
        <v>29</v>
      </c>
      <c r="Y800" s="44" t="s">
        <v>10083</v>
      </c>
      <c r="Z800" s="14" t="s">
        <v>3828</v>
      </c>
      <c r="AA800" s="12" t="s">
        <v>6120</v>
      </c>
      <c r="AB800" s="14" t="s">
        <v>3887</v>
      </c>
      <c r="AD800" s="12" t="s">
        <v>764</v>
      </c>
    </row>
    <row r="801" spans="1:30" ht="27.6" hidden="1" x14ac:dyDescent="0.3">
      <c r="A801" s="1" t="s">
        <v>6491</v>
      </c>
      <c r="B801" s="1" t="s">
        <v>6492</v>
      </c>
      <c r="C801" s="1" t="s">
        <v>6493</v>
      </c>
      <c r="D801" s="1" t="s">
        <v>6494</v>
      </c>
      <c r="E801" s="1" t="s">
        <v>6495</v>
      </c>
      <c r="F801" s="1" t="s">
        <v>6496</v>
      </c>
      <c r="G801" s="1" t="s">
        <v>6497</v>
      </c>
      <c r="H801" s="1" t="s">
        <v>6502</v>
      </c>
      <c r="I801" s="1" t="s">
        <v>6498</v>
      </c>
      <c r="J801" s="1" t="s">
        <v>6499</v>
      </c>
      <c r="K801" s="1" t="s">
        <v>39</v>
      </c>
      <c r="L801" s="1" t="s">
        <v>6500</v>
      </c>
      <c r="M801" s="1" t="s">
        <v>141</v>
      </c>
      <c r="N801" s="1"/>
      <c r="O801" s="1" t="s">
        <v>31</v>
      </c>
      <c r="P801" s="1"/>
      <c r="Q801" s="1"/>
      <c r="R801" s="1" t="s">
        <v>5480</v>
      </c>
      <c r="S801" s="1" t="s">
        <v>6501</v>
      </c>
      <c r="T801" s="15">
        <v>2023</v>
      </c>
      <c r="U801" s="45" t="s">
        <v>45</v>
      </c>
      <c r="V801" s="13" t="s">
        <v>29</v>
      </c>
      <c r="X801" s="12">
        <v>10</v>
      </c>
      <c r="Z801" s="14" t="s">
        <v>3828</v>
      </c>
      <c r="AA801" s="12" t="s">
        <v>6503</v>
      </c>
      <c r="AB801" s="14" t="s">
        <v>3888</v>
      </c>
      <c r="AD801" s="12" t="s">
        <v>764</v>
      </c>
    </row>
    <row r="802" spans="1:30" ht="27.6" hidden="1" x14ac:dyDescent="0.3">
      <c r="A802" s="1" t="s">
        <v>6504</v>
      </c>
      <c r="B802" s="4" t="s">
        <v>6505</v>
      </c>
      <c r="C802" s="4" t="s">
        <v>229</v>
      </c>
      <c r="D802" s="1" t="s">
        <v>6506</v>
      </c>
      <c r="E802" s="1" t="s">
        <v>6507</v>
      </c>
      <c r="F802" s="1" t="s">
        <v>6508</v>
      </c>
      <c r="G802" s="1"/>
      <c r="H802" s="1"/>
      <c r="I802" s="1"/>
      <c r="J802" s="1" t="s">
        <v>6509</v>
      </c>
      <c r="K802" s="1" t="s">
        <v>39</v>
      </c>
      <c r="L802" s="1" t="s">
        <v>4295</v>
      </c>
      <c r="M802" s="1" t="s">
        <v>141</v>
      </c>
      <c r="N802" s="1"/>
      <c r="O802" s="1" t="s">
        <v>31</v>
      </c>
      <c r="P802" s="1"/>
      <c r="Q802" s="1"/>
      <c r="R802" s="1" t="s">
        <v>5359</v>
      </c>
      <c r="S802" s="1" t="s">
        <v>6510</v>
      </c>
      <c r="T802" s="15">
        <v>2023</v>
      </c>
      <c r="U802" s="45" t="s">
        <v>45</v>
      </c>
      <c r="V802" s="13" t="s">
        <v>29</v>
      </c>
      <c r="X802" s="12">
        <v>5</v>
      </c>
      <c r="Z802" s="14" t="s">
        <v>3828</v>
      </c>
      <c r="AA802" s="12" t="s">
        <v>5922</v>
      </c>
      <c r="AB802" s="14" t="s">
        <v>3888</v>
      </c>
      <c r="AD802" s="12" t="s">
        <v>764</v>
      </c>
    </row>
    <row r="803" spans="1:30" hidden="1" x14ac:dyDescent="0.3">
      <c r="A803" s="1"/>
      <c r="B803" s="1" t="s">
        <v>6511</v>
      </c>
      <c r="C803" s="1" t="s">
        <v>189</v>
      </c>
      <c r="D803" s="1" t="s">
        <v>6512</v>
      </c>
      <c r="E803" s="1" t="s">
        <v>6513</v>
      </c>
      <c r="F803" s="1" t="s">
        <v>6514</v>
      </c>
      <c r="G803" s="1"/>
      <c r="H803" s="1" t="s">
        <v>6515</v>
      </c>
      <c r="I803" s="1" t="s">
        <v>62</v>
      </c>
      <c r="J803" s="1" t="s">
        <v>5932</v>
      </c>
      <c r="K803" s="1" t="s">
        <v>39</v>
      </c>
      <c r="L803" s="1" t="s">
        <v>965</v>
      </c>
      <c r="M803" s="1" t="s">
        <v>42</v>
      </c>
      <c r="N803" s="1"/>
      <c r="O803" s="1" t="s">
        <v>31</v>
      </c>
      <c r="P803" s="1"/>
      <c r="Q803" s="1"/>
      <c r="R803" s="1" t="s">
        <v>5359</v>
      </c>
      <c r="S803" s="1" t="s">
        <v>6516</v>
      </c>
      <c r="T803" s="15">
        <v>2023</v>
      </c>
      <c r="U803" s="45" t="s">
        <v>45</v>
      </c>
      <c r="V803" s="13" t="s">
        <v>29</v>
      </c>
      <c r="X803" s="12">
        <v>5</v>
      </c>
      <c r="Y803" s="44">
        <v>45366</v>
      </c>
      <c r="Z803" s="14" t="s">
        <v>3828</v>
      </c>
      <c r="AA803" s="12" t="s">
        <v>6534</v>
      </c>
      <c r="AB803" s="14" t="s">
        <v>3885</v>
      </c>
      <c r="AD803" s="12" t="s">
        <v>764</v>
      </c>
    </row>
    <row r="804" spans="1:30" ht="27.6" x14ac:dyDescent="0.3">
      <c r="A804" s="1" t="s">
        <v>6517</v>
      </c>
      <c r="B804" s="1" t="s">
        <v>6518</v>
      </c>
      <c r="C804" s="1" t="s">
        <v>494</v>
      </c>
      <c r="D804" s="1" t="s">
        <v>6519</v>
      </c>
      <c r="E804" s="1" t="s">
        <v>6520</v>
      </c>
      <c r="F804" s="1" t="s">
        <v>6521</v>
      </c>
      <c r="G804" s="1"/>
      <c r="H804" s="1"/>
      <c r="I804" s="1"/>
      <c r="J804" s="1" t="s">
        <v>6522</v>
      </c>
      <c r="K804" s="1" t="s">
        <v>39</v>
      </c>
      <c r="L804" s="1" t="s">
        <v>6523</v>
      </c>
      <c r="M804" s="1" t="s">
        <v>42</v>
      </c>
      <c r="N804" s="1"/>
      <c r="O804" s="1" t="s">
        <v>31</v>
      </c>
      <c r="P804" s="1"/>
      <c r="Q804" s="1"/>
      <c r="R804" s="1" t="s">
        <v>5359</v>
      </c>
      <c r="S804" s="1" t="s">
        <v>6524</v>
      </c>
      <c r="T804" s="15">
        <v>2023</v>
      </c>
      <c r="U804" s="45" t="s">
        <v>45</v>
      </c>
      <c r="V804" s="13" t="s">
        <v>29</v>
      </c>
      <c r="Y804" s="44" t="s">
        <v>10083</v>
      </c>
      <c r="Z804" s="14" t="s">
        <v>3828</v>
      </c>
      <c r="AA804" s="12" t="s">
        <v>6533</v>
      </c>
      <c r="AB804" s="14" t="s">
        <v>3888</v>
      </c>
      <c r="AD804" s="12" t="s">
        <v>764</v>
      </c>
    </row>
    <row r="805" spans="1:30" hidden="1" x14ac:dyDescent="0.3">
      <c r="A805" s="1" t="s">
        <v>2039</v>
      </c>
      <c r="B805" s="1" t="s">
        <v>1732</v>
      </c>
      <c r="C805" s="1" t="s">
        <v>2864</v>
      </c>
      <c r="D805" s="1" t="s">
        <v>6525</v>
      </c>
      <c r="E805" s="1" t="s">
        <v>6526</v>
      </c>
      <c r="F805" s="1" t="s">
        <v>6527</v>
      </c>
      <c r="G805" s="1"/>
      <c r="H805" s="1" t="s">
        <v>6528</v>
      </c>
      <c r="I805" s="1" t="s">
        <v>6529</v>
      </c>
      <c r="J805" s="1" t="s">
        <v>6530</v>
      </c>
      <c r="K805" s="1" t="s">
        <v>39</v>
      </c>
      <c r="L805" s="1" t="s">
        <v>6531</v>
      </c>
      <c r="M805" s="1" t="s">
        <v>42</v>
      </c>
      <c r="N805" s="1"/>
      <c r="O805" s="1" t="s">
        <v>31</v>
      </c>
      <c r="P805" s="1"/>
      <c r="Q805" s="1"/>
      <c r="R805" s="1" t="s">
        <v>5480</v>
      </c>
      <c r="S805" s="1" t="s">
        <v>6532</v>
      </c>
      <c r="T805" s="15">
        <v>2023</v>
      </c>
      <c r="U805" s="45" t="s">
        <v>45</v>
      </c>
      <c r="V805" s="13" t="s">
        <v>29</v>
      </c>
      <c r="X805" s="12">
        <v>10</v>
      </c>
      <c r="Z805" s="14" t="s">
        <v>3835</v>
      </c>
      <c r="AA805" s="12" t="s">
        <v>4915</v>
      </c>
      <c r="AB805" s="14" t="s">
        <v>3884</v>
      </c>
      <c r="AD805" s="12" t="s">
        <v>764</v>
      </c>
    </row>
    <row r="806" spans="1:30" ht="27.6" x14ac:dyDescent="0.3">
      <c r="A806" s="1"/>
      <c r="B806" s="4" t="s">
        <v>6785</v>
      </c>
      <c r="C806" s="4" t="s">
        <v>523</v>
      </c>
      <c r="D806" s="1" t="s">
        <v>6786</v>
      </c>
      <c r="E806" s="1"/>
      <c r="F806" s="1" t="s">
        <v>6787</v>
      </c>
      <c r="G806" s="1"/>
      <c r="H806" s="1"/>
      <c r="I806" s="1"/>
      <c r="J806" s="1" t="s">
        <v>5810</v>
      </c>
      <c r="K806" s="1" t="s">
        <v>39</v>
      </c>
      <c r="L806" s="1" t="s">
        <v>6788</v>
      </c>
      <c r="M806" s="1" t="s">
        <v>42</v>
      </c>
      <c r="N806" s="1"/>
      <c r="O806" s="1" t="s">
        <v>31</v>
      </c>
      <c r="P806" s="1"/>
      <c r="Q806" s="1"/>
      <c r="R806" s="1" t="s">
        <v>5480</v>
      </c>
      <c r="S806" s="1" t="s">
        <v>6789</v>
      </c>
      <c r="T806" s="15">
        <v>2023</v>
      </c>
      <c r="U806" s="45" t="s">
        <v>5765</v>
      </c>
      <c r="V806" s="13" t="s">
        <v>29</v>
      </c>
      <c r="Y806" s="44" t="s">
        <v>10083</v>
      </c>
      <c r="Z806" s="14" t="s">
        <v>3835</v>
      </c>
      <c r="AA806" s="12" t="s">
        <v>6311</v>
      </c>
      <c r="AB806" s="14" t="s">
        <v>3884</v>
      </c>
      <c r="AD806" s="12" t="s">
        <v>764</v>
      </c>
    </row>
    <row r="807" spans="1:30" ht="27.6" hidden="1" x14ac:dyDescent="0.3">
      <c r="A807" s="1" t="s">
        <v>1482</v>
      </c>
      <c r="B807" s="1" t="s">
        <v>2322</v>
      </c>
      <c r="C807" s="1" t="s">
        <v>6790</v>
      </c>
      <c r="D807" s="1" t="s">
        <v>6791</v>
      </c>
      <c r="E807" s="1"/>
      <c r="F807" s="1" t="s">
        <v>6792</v>
      </c>
      <c r="G807" s="1"/>
      <c r="H807" s="1"/>
      <c r="I807" s="1"/>
      <c r="J807" s="1" t="s">
        <v>72</v>
      </c>
      <c r="K807" s="1" t="s">
        <v>39</v>
      </c>
      <c r="L807" s="1" t="s">
        <v>6793</v>
      </c>
      <c r="M807" s="1" t="s">
        <v>141</v>
      </c>
      <c r="N807" s="1" t="s">
        <v>6794</v>
      </c>
      <c r="O807" s="1" t="s">
        <v>31</v>
      </c>
      <c r="P807" s="1"/>
      <c r="Q807" s="1"/>
      <c r="R807" s="1" t="s">
        <v>5480</v>
      </c>
      <c r="S807" s="1" t="s">
        <v>6795</v>
      </c>
      <c r="T807" s="15">
        <v>2023</v>
      </c>
      <c r="U807" s="45" t="s">
        <v>5765</v>
      </c>
      <c r="V807" s="13" t="s">
        <v>29</v>
      </c>
      <c r="X807" s="12">
        <v>5</v>
      </c>
      <c r="Z807" s="14" t="s">
        <v>3835</v>
      </c>
      <c r="AA807" s="12" t="s">
        <v>5970</v>
      </c>
      <c r="AB807" s="14" t="s">
        <v>3884</v>
      </c>
      <c r="AD807" s="12" t="s">
        <v>764</v>
      </c>
    </row>
    <row r="808" spans="1:30" hidden="1" x14ac:dyDescent="0.3">
      <c r="A808" s="1" t="s">
        <v>3086</v>
      </c>
      <c r="B808" s="1" t="s">
        <v>5965</v>
      </c>
      <c r="C808" s="1" t="s">
        <v>604</v>
      </c>
      <c r="D808" s="1" t="s">
        <v>6796</v>
      </c>
      <c r="E808" s="1"/>
      <c r="F808" s="1" t="s">
        <v>6797</v>
      </c>
      <c r="G808" s="1"/>
      <c r="H808" s="1"/>
      <c r="I808" s="1"/>
      <c r="J808" s="1" t="s">
        <v>72</v>
      </c>
      <c r="K808" s="1" t="s">
        <v>39</v>
      </c>
      <c r="L808" s="1" t="s">
        <v>6798</v>
      </c>
      <c r="M808" s="1" t="s">
        <v>141</v>
      </c>
      <c r="N808" s="1"/>
      <c r="O808" s="1" t="s">
        <v>31</v>
      </c>
      <c r="P808" s="1"/>
      <c r="Q808" s="1"/>
      <c r="R808" s="1" t="s">
        <v>5480</v>
      </c>
      <c r="S808" s="1" t="s">
        <v>6799</v>
      </c>
      <c r="T808" s="15">
        <v>2023</v>
      </c>
      <c r="U808" s="45" t="s">
        <v>45</v>
      </c>
      <c r="V808" s="13" t="s">
        <v>29</v>
      </c>
      <c r="X808" s="12">
        <v>5</v>
      </c>
      <c r="Z808" s="14" t="s">
        <v>2148</v>
      </c>
      <c r="AA808" s="12" t="s">
        <v>520</v>
      </c>
      <c r="AB808" s="14" t="s">
        <v>3890</v>
      </c>
      <c r="AD808" s="12" t="s">
        <v>764</v>
      </c>
    </row>
    <row r="809" spans="1:30" hidden="1" x14ac:dyDescent="0.3">
      <c r="A809" s="1" t="s">
        <v>100</v>
      </c>
      <c r="B809" s="1" t="s">
        <v>6800</v>
      </c>
      <c r="C809" s="1" t="s">
        <v>1772</v>
      </c>
      <c r="D809" s="1" t="s">
        <v>6801</v>
      </c>
      <c r="E809" s="1" t="s">
        <v>6802</v>
      </c>
      <c r="F809" s="1" t="s">
        <v>6803</v>
      </c>
      <c r="G809" s="1"/>
      <c r="H809" s="1" t="s">
        <v>4912</v>
      </c>
      <c r="I809" s="1" t="s">
        <v>6804</v>
      </c>
      <c r="J809" s="1" t="s">
        <v>6805</v>
      </c>
      <c r="K809" s="1" t="s">
        <v>2743</v>
      </c>
      <c r="L809" s="1" t="s">
        <v>6806</v>
      </c>
      <c r="M809" s="1" t="s">
        <v>42</v>
      </c>
      <c r="N809" s="1"/>
      <c r="O809" s="1" t="s">
        <v>31</v>
      </c>
      <c r="P809" s="1"/>
      <c r="Q809" s="1"/>
      <c r="R809" s="1" t="s">
        <v>5429</v>
      </c>
      <c r="S809" s="1" t="s">
        <v>6807</v>
      </c>
      <c r="T809" s="15">
        <v>2023</v>
      </c>
      <c r="U809" s="45" t="s">
        <v>5765</v>
      </c>
      <c r="V809" s="13" t="s">
        <v>29</v>
      </c>
      <c r="X809" s="12">
        <v>5</v>
      </c>
      <c r="Z809" s="14" t="s">
        <v>3828</v>
      </c>
      <c r="AA809" s="12" t="s">
        <v>6819</v>
      </c>
      <c r="AB809" s="14" t="s">
        <v>3885</v>
      </c>
      <c r="AD809" s="12" t="s">
        <v>764</v>
      </c>
    </row>
    <row r="810" spans="1:30" hidden="1" x14ac:dyDescent="0.3">
      <c r="A810" s="1"/>
      <c r="B810" s="1" t="s">
        <v>6808</v>
      </c>
      <c r="C810" s="1" t="s">
        <v>6809</v>
      </c>
      <c r="D810" s="1" t="s">
        <v>6810</v>
      </c>
      <c r="E810" s="1" t="s">
        <v>6811</v>
      </c>
      <c r="F810" s="1" t="s">
        <v>6812</v>
      </c>
      <c r="G810" s="1" t="s">
        <v>6813</v>
      </c>
      <c r="H810" s="1" t="s">
        <v>6814</v>
      </c>
      <c r="I810" s="1" t="s">
        <v>6815</v>
      </c>
      <c r="J810" s="1" t="s">
        <v>6816</v>
      </c>
      <c r="K810" s="1" t="s">
        <v>39</v>
      </c>
      <c r="L810" s="1" t="s">
        <v>6817</v>
      </c>
      <c r="M810" s="1" t="s">
        <v>42</v>
      </c>
      <c r="N810" s="1"/>
      <c r="O810" s="1" t="s">
        <v>31</v>
      </c>
      <c r="P810" s="1"/>
      <c r="Q810" s="1"/>
      <c r="R810" s="1" t="s">
        <v>5429</v>
      </c>
      <c r="S810" s="1" t="s">
        <v>6818</v>
      </c>
      <c r="T810" s="15">
        <v>2023</v>
      </c>
      <c r="U810" s="45" t="s">
        <v>5765</v>
      </c>
      <c r="V810" s="13" t="s">
        <v>29</v>
      </c>
      <c r="X810" s="12">
        <v>5</v>
      </c>
      <c r="Z810" s="14" t="s">
        <v>3835</v>
      </c>
      <c r="AA810" s="12" t="s">
        <v>6820</v>
      </c>
      <c r="AB810" s="14" t="s">
        <v>3884</v>
      </c>
      <c r="AD810" s="12" t="s">
        <v>764</v>
      </c>
    </row>
    <row r="811" spans="1:30" ht="27.6" x14ac:dyDescent="0.3">
      <c r="A811" s="1"/>
      <c r="B811" s="4" t="s">
        <v>6535</v>
      </c>
      <c r="C811" s="4" t="s">
        <v>1750</v>
      </c>
      <c r="D811" s="1" t="s">
        <v>6536</v>
      </c>
      <c r="E811" s="1" t="s">
        <v>6537</v>
      </c>
      <c r="F811" s="1" t="s">
        <v>6538</v>
      </c>
      <c r="G811" s="1" t="s">
        <v>6539</v>
      </c>
      <c r="H811" s="1" t="s">
        <v>6540</v>
      </c>
      <c r="I811" s="1" t="s">
        <v>6541</v>
      </c>
      <c r="J811" s="1" t="s">
        <v>72</v>
      </c>
      <c r="K811" s="1" t="s">
        <v>39</v>
      </c>
      <c r="L811" s="1" t="s">
        <v>6542</v>
      </c>
      <c r="M811" s="1" t="s">
        <v>141</v>
      </c>
      <c r="N811" s="1"/>
      <c r="O811" s="1" t="s">
        <v>31</v>
      </c>
      <c r="P811" s="1"/>
      <c r="Q811" s="1"/>
      <c r="R811" s="1" t="s">
        <v>5359</v>
      </c>
      <c r="S811" s="1" t="s">
        <v>6543</v>
      </c>
      <c r="T811" s="15">
        <v>2023</v>
      </c>
      <c r="U811" s="45" t="s">
        <v>5765</v>
      </c>
      <c r="V811" s="13" t="s">
        <v>29</v>
      </c>
      <c r="Y811" s="44" t="s">
        <v>10083</v>
      </c>
      <c r="Z811" s="14" t="s">
        <v>3835</v>
      </c>
      <c r="AA811" s="12" t="s">
        <v>6311</v>
      </c>
      <c r="AB811" s="14" t="s">
        <v>3884</v>
      </c>
      <c r="AD811" s="12" t="s">
        <v>764</v>
      </c>
    </row>
    <row r="812" spans="1:30" hidden="1" x14ac:dyDescent="0.3">
      <c r="A812" s="1"/>
      <c r="B812" s="1" t="s">
        <v>6544</v>
      </c>
      <c r="C812" s="1" t="s">
        <v>3985</v>
      </c>
      <c r="D812" s="1" t="s">
        <v>6545</v>
      </c>
      <c r="E812" s="1"/>
      <c r="F812" s="1" t="s">
        <v>6546</v>
      </c>
      <c r="G812" s="1"/>
      <c r="H812" s="1"/>
      <c r="I812" s="1"/>
      <c r="J812" s="1" t="s">
        <v>72</v>
      </c>
      <c r="K812" s="1" t="s">
        <v>39</v>
      </c>
      <c r="L812" s="1" t="s">
        <v>6547</v>
      </c>
      <c r="M812" s="1" t="s">
        <v>42</v>
      </c>
      <c r="N812" s="1"/>
      <c r="O812" s="1" t="s">
        <v>31</v>
      </c>
      <c r="P812" s="1"/>
      <c r="Q812" s="1"/>
      <c r="R812" s="1" t="s">
        <v>5480</v>
      </c>
      <c r="S812" s="1" t="s">
        <v>6548</v>
      </c>
      <c r="T812" s="15">
        <v>2023</v>
      </c>
      <c r="U812" s="45" t="s">
        <v>5765</v>
      </c>
      <c r="V812" s="13" t="s">
        <v>29</v>
      </c>
      <c r="X812" s="12">
        <v>10</v>
      </c>
      <c r="Z812" s="14" t="s">
        <v>3835</v>
      </c>
      <c r="AA812" s="12" t="s">
        <v>5353</v>
      </c>
      <c r="AB812" s="14" t="s">
        <v>3884</v>
      </c>
      <c r="AD812" s="12" t="s">
        <v>764</v>
      </c>
    </row>
    <row r="813" spans="1:30" hidden="1" x14ac:dyDescent="0.3">
      <c r="A813" s="1" t="s">
        <v>22</v>
      </c>
      <c r="B813" s="1" t="s">
        <v>6549</v>
      </c>
      <c r="C813" s="1" t="s">
        <v>466</v>
      </c>
      <c r="D813" s="1" t="s">
        <v>6550</v>
      </c>
      <c r="E813" s="1" t="s">
        <v>6551</v>
      </c>
      <c r="F813" s="1" t="s">
        <v>6552</v>
      </c>
      <c r="G813" s="1"/>
      <c r="H813" s="1" t="s">
        <v>6553</v>
      </c>
      <c r="I813" s="1" t="s">
        <v>6048</v>
      </c>
      <c r="J813" s="1" t="s">
        <v>339</v>
      </c>
      <c r="K813" s="1" t="s">
        <v>39</v>
      </c>
      <c r="L813" s="1" t="s">
        <v>6554</v>
      </c>
      <c r="M813" s="1" t="s">
        <v>141</v>
      </c>
      <c r="N813" s="1"/>
      <c r="O813" s="1" t="s">
        <v>31</v>
      </c>
      <c r="P813" s="1"/>
      <c r="Q813" s="1"/>
      <c r="R813" s="1" t="s">
        <v>5429</v>
      </c>
      <c r="S813" s="1" t="s">
        <v>6555</v>
      </c>
      <c r="T813" s="15">
        <v>2023</v>
      </c>
      <c r="U813" s="45" t="s">
        <v>5765</v>
      </c>
      <c r="V813" s="13" t="s">
        <v>29</v>
      </c>
      <c r="X813" s="12">
        <v>5</v>
      </c>
      <c r="Z813" s="14" t="s">
        <v>3835</v>
      </c>
      <c r="AA813" s="12" t="s">
        <v>5353</v>
      </c>
      <c r="AB813" s="14" t="s">
        <v>3884</v>
      </c>
      <c r="AD813" s="12" t="s">
        <v>764</v>
      </c>
    </row>
    <row r="814" spans="1:30" hidden="1" x14ac:dyDescent="0.3">
      <c r="A814" s="1"/>
      <c r="B814" s="1" t="s">
        <v>6556</v>
      </c>
      <c r="C814" s="1" t="s">
        <v>189</v>
      </c>
      <c r="D814" s="1" t="s">
        <v>6557</v>
      </c>
      <c r="E814" s="1" t="s">
        <v>6558</v>
      </c>
      <c r="F814" s="1" t="s">
        <v>6559</v>
      </c>
      <c r="G814" s="1" t="s">
        <v>6560</v>
      </c>
      <c r="H814" s="1" t="s">
        <v>2821</v>
      </c>
      <c r="I814" s="1"/>
      <c r="J814" s="1" t="s">
        <v>1265</v>
      </c>
      <c r="K814" s="1" t="s">
        <v>39</v>
      </c>
      <c r="L814" s="1" t="s">
        <v>6561</v>
      </c>
      <c r="M814" s="1" t="s">
        <v>42</v>
      </c>
      <c r="N814" s="1"/>
      <c r="O814" s="1" t="s">
        <v>31</v>
      </c>
      <c r="P814" s="1"/>
      <c r="Q814" s="1"/>
      <c r="R814" s="1" t="s">
        <v>5429</v>
      </c>
      <c r="S814" s="1" t="s">
        <v>6562</v>
      </c>
      <c r="T814" s="15">
        <v>2023</v>
      </c>
      <c r="U814" s="45" t="s">
        <v>5765</v>
      </c>
      <c r="V814" s="13" t="s">
        <v>29</v>
      </c>
      <c r="X814" s="12">
        <v>5</v>
      </c>
      <c r="Z814" s="14" t="s">
        <v>3828</v>
      </c>
      <c r="AA814" s="12" t="s">
        <v>3019</v>
      </c>
      <c r="AB814" s="14" t="s">
        <v>3888</v>
      </c>
      <c r="AD814" s="12" t="s">
        <v>764</v>
      </c>
    </row>
    <row r="815" spans="1:30" hidden="1" x14ac:dyDescent="0.3">
      <c r="A815" s="1"/>
      <c r="B815" s="4" t="s">
        <v>3021</v>
      </c>
      <c r="C815" s="4" t="s">
        <v>282</v>
      </c>
      <c r="D815" s="1" t="s">
        <v>6821</v>
      </c>
      <c r="E815" s="1" t="s">
        <v>6563</v>
      </c>
      <c r="F815" s="1" t="s">
        <v>6564</v>
      </c>
      <c r="G815" s="1" t="s">
        <v>6565</v>
      </c>
      <c r="H815" s="1" t="s">
        <v>6566</v>
      </c>
      <c r="I815" s="1" t="s">
        <v>6567</v>
      </c>
      <c r="J815" s="1" t="s">
        <v>72</v>
      </c>
      <c r="K815" s="1" t="s">
        <v>39</v>
      </c>
      <c r="L815" s="1" t="s">
        <v>965</v>
      </c>
      <c r="M815" s="1" t="s">
        <v>141</v>
      </c>
      <c r="N815" s="1"/>
      <c r="O815" s="1" t="s">
        <v>31</v>
      </c>
      <c r="P815" s="1"/>
      <c r="Q815" s="1"/>
      <c r="R815" s="1" t="s">
        <v>5429</v>
      </c>
      <c r="S815" s="1" t="s">
        <v>6568</v>
      </c>
      <c r="T815" s="15">
        <v>2023</v>
      </c>
      <c r="U815" s="45" t="s">
        <v>5765</v>
      </c>
      <c r="V815" s="13" t="s">
        <v>29</v>
      </c>
      <c r="X815" s="12">
        <v>5</v>
      </c>
      <c r="Z815" s="14" t="s">
        <v>3828</v>
      </c>
      <c r="AA815" s="12" t="s">
        <v>3019</v>
      </c>
      <c r="AB815" s="14" t="s">
        <v>3888</v>
      </c>
      <c r="AD815" s="12" t="s">
        <v>764</v>
      </c>
    </row>
    <row r="816" spans="1:30" ht="27.6" hidden="1" x14ac:dyDescent="0.3">
      <c r="A816" s="1"/>
      <c r="B816" s="4" t="s">
        <v>6569</v>
      </c>
      <c r="C816" s="4" t="s">
        <v>68</v>
      </c>
      <c r="D816" s="1" t="s">
        <v>6570</v>
      </c>
      <c r="E816" s="1" t="s">
        <v>6571</v>
      </c>
      <c r="F816" s="1" t="s">
        <v>6572</v>
      </c>
      <c r="G816" s="1" t="s">
        <v>6573</v>
      </c>
      <c r="H816" s="1" t="s">
        <v>6574</v>
      </c>
      <c r="I816" s="1" t="s">
        <v>6575</v>
      </c>
      <c r="J816" s="1" t="s">
        <v>3015</v>
      </c>
      <c r="K816" s="1" t="s">
        <v>39</v>
      </c>
      <c r="L816" s="1" t="s">
        <v>6576</v>
      </c>
      <c r="M816" s="1" t="s">
        <v>141</v>
      </c>
      <c r="N816" s="1"/>
      <c r="O816" s="1" t="s">
        <v>31</v>
      </c>
      <c r="P816" s="1"/>
      <c r="Q816" s="1"/>
      <c r="R816" s="1" t="s">
        <v>5429</v>
      </c>
      <c r="S816" s="1" t="s">
        <v>6577</v>
      </c>
      <c r="T816" s="15">
        <v>2023</v>
      </c>
      <c r="U816" s="45" t="s">
        <v>5765</v>
      </c>
      <c r="V816" s="13" t="s">
        <v>29</v>
      </c>
      <c r="X816" s="12">
        <v>10</v>
      </c>
      <c r="Z816" s="14" t="s">
        <v>3835</v>
      </c>
      <c r="AA816" s="12" t="s">
        <v>6822</v>
      </c>
      <c r="AB816" s="14" t="s">
        <v>3884</v>
      </c>
      <c r="AD816" s="12" t="s">
        <v>764</v>
      </c>
    </row>
    <row r="817" spans="1:30" hidden="1" x14ac:dyDescent="0.3">
      <c r="A817" s="1" t="s">
        <v>4040</v>
      </c>
      <c r="B817" s="1" t="s">
        <v>6578</v>
      </c>
      <c r="C817" s="1" t="s">
        <v>6579</v>
      </c>
      <c r="D817" s="1" t="s">
        <v>6580</v>
      </c>
      <c r="E817" s="1" t="s">
        <v>6581</v>
      </c>
      <c r="F817" s="1" t="s">
        <v>6582</v>
      </c>
      <c r="G817" s="1" t="s">
        <v>6583</v>
      </c>
      <c r="H817" s="1" t="s">
        <v>2909</v>
      </c>
      <c r="I817" s="1" t="s">
        <v>6584</v>
      </c>
      <c r="J817" s="1" t="s">
        <v>6585</v>
      </c>
      <c r="K817" s="1" t="s">
        <v>39</v>
      </c>
      <c r="L817" s="1" t="s">
        <v>6586</v>
      </c>
      <c r="M817" s="1" t="s">
        <v>141</v>
      </c>
      <c r="N817" s="1"/>
      <c r="O817" s="1" t="s">
        <v>31</v>
      </c>
      <c r="P817" s="1"/>
      <c r="Q817" s="1"/>
      <c r="R817" s="1" t="s">
        <v>5429</v>
      </c>
      <c r="S817" s="1" t="s">
        <v>6587</v>
      </c>
      <c r="T817" s="15">
        <v>2023</v>
      </c>
      <c r="U817" s="45" t="s">
        <v>5765</v>
      </c>
      <c r="V817" s="13" t="s">
        <v>29</v>
      </c>
      <c r="X817" s="12">
        <v>5</v>
      </c>
      <c r="Z817" s="14" t="s">
        <v>3835</v>
      </c>
      <c r="AA817" s="12" t="s">
        <v>5353</v>
      </c>
      <c r="AB817" s="14" t="s">
        <v>3884</v>
      </c>
      <c r="AD817" s="12" t="s">
        <v>764</v>
      </c>
    </row>
    <row r="818" spans="1:30" ht="41.4" hidden="1" x14ac:dyDescent="0.3">
      <c r="A818" s="1" t="s">
        <v>6588</v>
      </c>
      <c r="B818" s="1" t="s">
        <v>6589</v>
      </c>
      <c r="C818" s="1" t="s">
        <v>354</v>
      </c>
      <c r="D818" s="1" t="s">
        <v>6590</v>
      </c>
      <c r="E818" s="1" t="s">
        <v>6591</v>
      </c>
      <c r="F818" s="1" t="s">
        <v>6592</v>
      </c>
      <c r="G818" s="1"/>
      <c r="H818" s="1"/>
      <c r="I818" s="1"/>
      <c r="J818" s="1" t="s">
        <v>6593</v>
      </c>
      <c r="K818" s="1" t="s">
        <v>39</v>
      </c>
      <c r="L818" s="1" t="s">
        <v>1304</v>
      </c>
      <c r="M818" s="1" t="s">
        <v>42</v>
      </c>
      <c r="N818" s="1"/>
      <c r="O818" s="1" t="s">
        <v>31</v>
      </c>
      <c r="P818" s="1"/>
      <c r="Q818" s="1"/>
      <c r="R818" s="1" t="s">
        <v>5359</v>
      </c>
      <c r="S818" s="1" t="s">
        <v>6594</v>
      </c>
      <c r="T818" s="15">
        <v>2023</v>
      </c>
      <c r="U818" s="45" t="s">
        <v>5765</v>
      </c>
      <c r="V818" s="13" t="s">
        <v>29</v>
      </c>
      <c r="X818" s="12">
        <v>5</v>
      </c>
      <c r="Y818" s="44">
        <v>45366</v>
      </c>
      <c r="Z818" s="14" t="s">
        <v>3828</v>
      </c>
      <c r="AA818" s="12" t="s">
        <v>6774</v>
      </c>
      <c r="AB818" s="14" t="s">
        <v>3887</v>
      </c>
      <c r="AD818" s="12" t="s">
        <v>764</v>
      </c>
    </row>
    <row r="819" spans="1:30" hidden="1" x14ac:dyDescent="0.3">
      <c r="A819" s="1" t="s">
        <v>22</v>
      </c>
      <c r="B819" s="1" t="s">
        <v>6595</v>
      </c>
      <c r="C819" s="1" t="s">
        <v>447</v>
      </c>
      <c r="D819" s="1" t="s">
        <v>6596</v>
      </c>
      <c r="E819" s="1"/>
      <c r="F819" s="1" t="s">
        <v>6597</v>
      </c>
      <c r="G819" s="1" t="s">
        <v>6598</v>
      </c>
      <c r="H819" s="1" t="s">
        <v>4001</v>
      </c>
      <c r="I819" s="1" t="s">
        <v>6599</v>
      </c>
      <c r="J819" s="1" t="s">
        <v>877</v>
      </c>
      <c r="K819" s="1" t="s">
        <v>39</v>
      </c>
      <c r="L819" s="1" t="s">
        <v>6600</v>
      </c>
      <c r="M819" s="1" t="s">
        <v>141</v>
      </c>
      <c r="N819" s="1"/>
      <c r="O819" s="1" t="s">
        <v>31</v>
      </c>
      <c r="P819" s="1"/>
      <c r="Q819" s="1"/>
      <c r="R819" s="1" t="s">
        <v>5429</v>
      </c>
      <c r="S819" s="1" t="s">
        <v>6601</v>
      </c>
      <c r="T819" s="15">
        <v>2023</v>
      </c>
      <c r="U819" s="45" t="s">
        <v>5765</v>
      </c>
      <c r="V819" s="13" t="s">
        <v>29</v>
      </c>
      <c r="X819" s="12">
        <v>5</v>
      </c>
      <c r="Z819" s="14" t="s">
        <v>3870</v>
      </c>
      <c r="AA819" s="12" t="s">
        <v>6781</v>
      </c>
      <c r="AB819" s="14" t="s">
        <v>3886</v>
      </c>
      <c r="AD819" s="12" t="s">
        <v>764</v>
      </c>
    </row>
    <row r="820" spans="1:30" ht="27.6" hidden="1" x14ac:dyDescent="0.3">
      <c r="A820" s="1"/>
      <c r="B820" s="1" t="s">
        <v>6602</v>
      </c>
      <c r="C820" s="1" t="s">
        <v>523</v>
      </c>
      <c r="D820" s="1" t="s">
        <v>6603</v>
      </c>
      <c r="E820" s="1"/>
      <c r="F820" s="1" t="s">
        <v>6604</v>
      </c>
      <c r="G820" s="1"/>
      <c r="H820" s="1" t="s">
        <v>6605</v>
      </c>
      <c r="I820" s="1" t="s">
        <v>6606</v>
      </c>
      <c r="J820" s="1" t="s">
        <v>1391</v>
      </c>
      <c r="K820" s="1" t="s">
        <v>39</v>
      </c>
      <c r="L820" s="1" t="s">
        <v>6607</v>
      </c>
      <c r="M820" s="1" t="s">
        <v>141</v>
      </c>
      <c r="N820" s="1"/>
      <c r="O820" s="1" t="s">
        <v>31</v>
      </c>
      <c r="P820" s="1"/>
      <c r="Q820" s="1"/>
      <c r="R820" s="1" t="s">
        <v>5480</v>
      </c>
      <c r="S820" s="1" t="s">
        <v>6608</v>
      </c>
      <c r="T820" s="15">
        <v>2023</v>
      </c>
      <c r="U820" s="45" t="s">
        <v>5765</v>
      </c>
      <c r="V820" s="13" t="s">
        <v>29</v>
      </c>
      <c r="X820" s="12">
        <v>5</v>
      </c>
      <c r="Z820" s="14" t="s">
        <v>3828</v>
      </c>
      <c r="AA820" s="12" t="s">
        <v>6775</v>
      </c>
      <c r="AB820" s="14" t="s">
        <v>3888</v>
      </c>
      <c r="AD820" s="12" t="s">
        <v>764</v>
      </c>
    </row>
    <row r="821" spans="1:30" ht="41.4" hidden="1" x14ac:dyDescent="0.3">
      <c r="A821" s="1" t="s">
        <v>1262</v>
      </c>
      <c r="B821" s="1" t="s">
        <v>5913</v>
      </c>
      <c r="C821" s="1" t="s">
        <v>68</v>
      </c>
      <c r="D821" s="1" t="s">
        <v>6609</v>
      </c>
      <c r="E821" s="1" t="s">
        <v>6610</v>
      </c>
      <c r="F821" s="1" t="s">
        <v>6611</v>
      </c>
      <c r="G821" s="1" t="s">
        <v>6612</v>
      </c>
      <c r="H821" s="1" t="s">
        <v>6613</v>
      </c>
      <c r="I821" s="1" t="s">
        <v>1652</v>
      </c>
      <c r="J821" s="1" t="s">
        <v>6614</v>
      </c>
      <c r="K821" s="1" t="s">
        <v>39</v>
      </c>
      <c r="L821" s="1" t="s">
        <v>6615</v>
      </c>
      <c r="M821" s="1" t="s">
        <v>141</v>
      </c>
      <c r="N821" s="1"/>
      <c r="O821" s="1" t="s">
        <v>31</v>
      </c>
      <c r="P821" s="1"/>
      <c r="Q821" s="1"/>
      <c r="R821" s="1" t="s">
        <v>5480</v>
      </c>
      <c r="S821" s="1" t="s">
        <v>6616</v>
      </c>
      <c r="T821" s="15">
        <v>2023</v>
      </c>
      <c r="U821" s="45" t="s">
        <v>5765</v>
      </c>
      <c r="V821" s="13" t="s">
        <v>29</v>
      </c>
      <c r="X821" s="12">
        <v>5</v>
      </c>
      <c r="Z821" s="14" t="s">
        <v>2148</v>
      </c>
      <c r="AA821" s="12" t="s">
        <v>520</v>
      </c>
      <c r="AB821" s="14" t="s">
        <v>3890</v>
      </c>
      <c r="AD821" s="12" t="s">
        <v>764</v>
      </c>
    </row>
    <row r="822" spans="1:30" hidden="1" x14ac:dyDescent="0.3">
      <c r="A822" s="1"/>
      <c r="B822" s="1" t="s">
        <v>1590</v>
      </c>
      <c r="C822" s="1" t="s">
        <v>2097</v>
      </c>
      <c r="D822" s="1" t="s">
        <v>6617</v>
      </c>
      <c r="E822" s="1"/>
      <c r="F822" s="1" t="s">
        <v>6618</v>
      </c>
      <c r="G822" s="1"/>
      <c r="H822" s="1"/>
      <c r="I822" s="1"/>
      <c r="J822" s="1" t="s">
        <v>1177</v>
      </c>
      <c r="K822" s="1" t="s">
        <v>39</v>
      </c>
      <c r="L822" s="1" t="s">
        <v>6619</v>
      </c>
      <c r="M822" s="1" t="s">
        <v>42</v>
      </c>
      <c r="N822" s="1"/>
      <c r="O822" s="1" t="s">
        <v>31</v>
      </c>
      <c r="P822" s="1"/>
      <c r="Q822" s="1"/>
      <c r="R822" s="1" t="s">
        <v>5371</v>
      </c>
      <c r="S822" s="1" t="s">
        <v>6620</v>
      </c>
      <c r="T822" s="15">
        <v>2023</v>
      </c>
      <c r="U822" s="45" t="s">
        <v>5765</v>
      </c>
      <c r="V822" s="13" t="s">
        <v>29</v>
      </c>
      <c r="X822" s="12">
        <v>5</v>
      </c>
      <c r="Y822" s="44">
        <v>45366</v>
      </c>
      <c r="Z822" s="14" t="s">
        <v>2148</v>
      </c>
      <c r="AA822" s="12" t="s">
        <v>6776</v>
      </c>
      <c r="AB822" s="14" t="s">
        <v>4594</v>
      </c>
      <c r="AD822" s="12" t="s">
        <v>764</v>
      </c>
    </row>
    <row r="823" spans="1:30" ht="27.6" hidden="1" x14ac:dyDescent="0.3">
      <c r="A823" s="1" t="s">
        <v>274</v>
      </c>
      <c r="B823" s="1" t="s">
        <v>6621</v>
      </c>
      <c r="C823" s="1" t="s">
        <v>423</v>
      </c>
      <c r="D823" s="1" t="s">
        <v>6622</v>
      </c>
      <c r="E823" s="1" t="s">
        <v>6623</v>
      </c>
      <c r="F823" s="1" t="s">
        <v>6624</v>
      </c>
      <c r="G823" s="1" t="s">
        <v>6625</v>
      </c>
      <c r="H823" s="1"/>
      <c r="I823" s="1"/>
      <c r="J823" s="1" t="s">
        <v>5469</v>
      </c>
      <c r="K823" s="1" t="s">
        <v>39</v>
      </c>
      <c r="L823" s="1" t="s">
        <v>6626</v>
      </c>
      <c r="M823" s="1" t="s">
        <v>141</v>
      </c>
      <c r="N823" s="1"/>
      <c r="O823" s="1" t="s">
        <v>31</v>
      </c>
      <c r="P823" s="1"/>
      <c r="Q823" s="1"/>
      <c r="R823" s="1" t="s">
        <v>5359</v>
      </c>
      <c r="S823" s="1" t="s">
        <v>6627</v>
      </c>
      <c r="T823" s="15">
        <v>2023</v>
      </c>
      <c r="U823" s="45" t="s">
        <v>5765</v>
      </c>
      <c r="V823" s="13" t="s">
        <v>29</v>
      </c>
      <c r="X823" s="12">
        <v>10</v>
      </c>
      <c r="Z823" s="14" t="s">
        <v>3828</v>
      </c>
      <c r="AA823" s="12" t="s">
        <v>6777</v>
      </c>
      <c r="AB823" s="14" t="s">
        <v>3887</v>
      </c>
      <c r="AD823" s="12" t="s">
        <v>764</v>
      </c>
    </row>
    <row r="824" spans="1:30" ht="41.4" hidden="1" x14ac:dyDescent="0.3">
      <c r="A824" s="1" t="s">
        <v>100</v>
      </c>
      <c r="B824" s="1" t="s">
        <v>666</v>
      </c>
      <c r="C824" s="1" t="s">
        <v>3544</v>
      </c>
      <c r="D824" s="1" t="s">
        <v>6628</v>
      </c>
      <c r="E824" s="1" t="s">
        <v>6629</v>
      </c>
      <c r="F824" s="1" t="s">
        <v>6630</v>
      </c>
      <c r="G824" s="1" t="s">
        <v>6631</v>
      </c>
      <c r="H824" s="1" t="s">
        <v>1379</v>
      </c>
      <c r="I824" s="1" t="s">
        <v>6632</v>
      </c>
      <c r="J824" s="1" t="s">
        <v>72</v>
      </c>
      <c r="K824" s="1" t="s">
        <v>39</v>
      </c>
      <c r="L824" s="1" t="s">
        <v>6633</v>
      </c>
      <c r="M824" s="1" t="s">
        <v>42</v>
      </c>
      <c r="N824" s="1"/>
      <c r="O824" s="1" t="s">
        <v>31</v>
      </c>
      <c r="P824" s="1"/>
      <c r="Q824" s="1"/>
      <c r="R824" s="1" t="s">
        <v>5429</v>
      </c>
      <c r="S824" s="1" t="s">
        <v>6634</v>
      </c>
      <c r="T824" s="15">
        <v>2023</v>
      </c>
      <c r="U824" s="45" t="s">
        <v>5765</v>
      </c>
      <c r="V824" s="13" t="s">
        <v>29</v>
      </c>
      <c r="X824" s="12">
        <v>5</v>
      </c>
      <c r="Z824" s="14" t="s">
        <v>3828</v>
      </c>
      <c r="AA824" s="12" t="s">
        <v>5398</v>
      </c>
      <c r="AB824" s="14" t="s">
        <v>3885</v>
      </c>
      <c r="AD824" s="12" t="s">
        <v>764</v>
      </c>
    </row>
    <row r="825" spans="1:30" hidden="1" x14ac:dyDescent="0.3">
      <c r="A825" s="1"/>
      <c r="B825" s="1" t="s">
        <v>6635</v>
      </c>
      <c r="C825" s="1" t="s">
        <v>1387</v>
      </c>
      <c r="D825" s="1" t="s">
        <v>6636</v>
      </c>
      <c r="E825" s="1" t="s">
        <v>6637</v>
      </c>
      <c r="F825" s="1" t="s">
        <v>6638</v>
      </c>
      <c r="G825" s="1"/>
      <c r="H825" s="1" t="s">
        <v>6639</v>
      </c>
      <c r="I825" s="1" t="s">
        <v>6640</v>
      </c>
      <c r="J825" s="1" t="s">
        <v>72</v>
      </c>
      <c r="K825" s="1" t="s">
        <v>39</v>
      </c>
      <c r="L825" s="1" t="s">
        <v>965</v>
      </c>
      <c r="M825" s="1" t="s">
        <v>42</v>
      </c>
      <c r="N825" s="1"/>
      <c r="O825" s="1" t="s">
        <v>31</v>
      </c>
      <c r="P825" s="1"/>
      <c r="Q825" s="1"/>
      <c r="R825" s="1" t="s">
        <v>5429</v>
      </c>
      <c r="S825" s="1" t="s">
        <v>6641</v>
      </c>
      <c r="T825" s="15">
        <v>2023</v>
      </c>
      <c r="U825" s="45" t="s">
        <v>5765</v>
      </c>
      <c r="V825" s="13" t="s">
        <v>29</v>
      </c>
      <c r="X825" s="12">
        <v>5</v>
      </c>
      <c r="Z825" s="14" t="s">
        <v>3828</v>
      </c>
      <c r="AA825" s="12" t="s">
        <v>6777</v>
      </c>
      <c r="AB825" s="14" t="s">
        <v>3887</v>
      </c>
      <c r="AD825" s="12" t="s">
        <v>764</v>
      </c>
    </row>
    <row r="826" spans="1:30" ht="55.2" hidden="1" x14ac:dyDescent="0.3">
      <c r="A826" s="1"/>
      <c r="B826" s="1" t="s">
        <v>6642</v>
      </c>
      <c r="C826" s="1" t="s">
        <v>1989</v>
      </c>
      <c r="D826" s="1" t="s">
        <v>6643</v>
      </c>
      <c r="E826" s="1" t="s">
        <v>6644</v>
      </c>
      <c r="F826" s="1" t="s">
        <v>6645</v>
      </c>
      <c r="G826" s="1" t="s">
        <v>6646</v>
      </c>
      <c r="H826" s="1" t="s">
        <v>1389</v>
      </c>
      <c r="I826" s="1"/>
      <c r="J826" s="1" t="s">
        <v>91</v>
      </c>
      <c r="K826" s="1" t="s">
        <v>92</v>
      </c>
      <c r="L826" s="1" t="s">
        <v>6647</v>
      </c>
      <c r="M826" s="1" t="s">
        <v>141</v>
      </c>
      <c r="N826" s="1"/>
      <c r="O826" s="1" t="s">
        <v>31</v>
      </c>
      <c r="P826" s="1"/>
      <c r="Q826" s="1"/>
      <c r="R826" s="1" t="s">
        <v>5359</v>
      </c>
      <c r="S826" s="1" t="s">
        <v>6648</v>
      </c>
      <c r="T826" s="15">
        <v>2023</v>
      </c>
      <c r="U826" s="45" t="s">
        <v>5765</v>
      </c>
      <c r="V826" s="13" t="s">
        <v>29</v>
      </c>
      <c r="X826" s="12">
        <v>5</v>
      </c>
      <c r="Z826" s="14" t="s">
        <v>3835</v>
      </c>
      <c r="AA826" s="12" t="s">
        <v>6311</v>
      </c>
      <c r="AB826" s="14" t="s">
        <v>3884</v>
      </c>
      <c r="AD826" s="12" t="s">
        <v>764</v>
      </c>
    </row>
    <row r="827" spans="1:30" ht="27.6" x14ac:dyDescent="0.3">
      <c r="A827" s="1" t="s">
        <v>6649</v>
      </c>
      <c r="B827" s="1" t="s">
        <v>5749</v>
      </c>
      <c r="C827" s="1" t="s">
        <v>6650</v>
      </c>
      <c r="D827" s="1" t="s">
        <v>6651</v>
      </c>
      <c r="E827" s="1" t="s">
        <v>6652</v>
      </c>
      <c r="F827" s="1" t="s">
        <v>6653</v>
      </c>
      <c r="G827" s="1"/>
      <c r="H827" s="1"/>
      <c r="I827" s="1"/>
      <c r="J827" s="1" t="s">
        <v>284</v>
      </c>
      <c r="K827" s="1" t="s">
        <v>39</v>
      </c>
      <c r="L827" s="1" t="s">
        <v>6654</v>
      </c>
      <c r="M827" s="1" t="s">
        <v>42</v>
      </c>
      <c r="N827" s="1"/>
      <c r="O827" s="1" t="s">
        <v>31</v>
      </c>
      <c r="P827" s="1"/>
      <c r="Q827" s="1"/>
      <c r="R827" s="1" t="s">
        <v>5655</v>
      </c>
      <c r="S827" s="1" t="s">
        <v>6655</v>
      </c>
      <c r="T827" s="15">
        <v>2023</v>
      </c>
      <c r="U827" s="45" t="s">
        <v>5765</v>
      </c>
      <c r="V827" s="13" t="s">
        <v>29</v>
      </c>
      <c r="Y827" s="44" t="s">
        <v>10083</v>
      </c>
      <c r="Z827" s="14" t="s">
        <v>3870</v>
      </c>
      <c r="AA827" s="12" t="s">
        <v>5775</v>
      </c>
      <c r="AB827" s="14" t="s">
        <v>3886</v>
      </c>
      <c r="AD827" s="12" t="s">
        <v>764</v>
      </c>
    </row>
    <row r="828" spans="1:30" hidden="1" x14ac:dyDescent="0.3">
      <c r="A828" s="1" t="s">
        <v>22</v>
      </c>
      <c r="B828" s="1" t="s">
        <v>6656</v>
      </c>
      <c r="C828" s="1" t="s">
        <v>5067</v>
      </c>
      <c r="D828" s="1" t="s">
        <v>6657</v>
      </c>
      <c r="E828" s="1" t="s">
        <v>6658</v>
      </c>
      <c r="F828" s="1" t="s">
        <v>6659</v>
      </c>
      <c r="G828" s="1"/>
      <c r="H828" s="1"/>
      <c r="I828" s="1" t="s">
        <v>6660</v>
      </c>
      <c r="J828" s="1" t="s">
        <v>2480</v>
      </c>
      <c r="K828" s="1" t="s">
        <v>39</v>
      </c>
      <c r="L828" s="1" t="s">
        <v>6661</v>
      </c>
      <c r="M828" s="1" t="s">
        <v>141</v>
      </c>
      <c r="N828" s="1"/>
      <c r="O828" s="1" t="s">
        <v>31</v>
      </c>
      <c r="P828" s="1"/>
      <c r="Q828" s="1"/>
      <c r="R828" s="1" t="s">
        <v>5359</v>
      </c>
      <c r="S828" s="1" t="s">
        <v>6662</v>
      </c>
      <c r="T828" s="15">
        <v>2023</v>
      </c>
      <c r="U828" s="45" t="s">
        <v>5765</v>
      </c>
      <c r="V828" s="13" t="s">
        <v>29</v>
      </c>
      <c r="X828" s="12">
        <v>10</v>
      </c>
      <c r="Z828" s="14" t="s">
        <v>3870</v>
      </c>
      <c r="AA828" s="12" t="s">
        <v>5775</v>
      </c>
      <c r="AB828" s="14" t="s">
        <v>3886</v>
      </c>
      <c r="AD828" s="12" t="s">
        <v>764</v>
      </c>
    </row>
    <row r="829" spans="1:30" hidden="1" x14ac:dyDescent="0.3">
      <c r="A829" s="1" t="s">
        <v>100</v>
      </c>
      <c r="B829" s="1" t="s">
        <v>6663</v>
      </c>
      <c r="C829" s="1" t="s">
        <v>2097</v>
      </c>
      <c r="D829" s="1" t="s">
        <v>6664</v>
      </c>
      <c r="E829" s="1" t="s">
        <v>6665</v>
      </c>
      <c r="F829" s="1" t="s">
        <v>6666</v>
      </c>
      <c r="G829" s="1"/>
      <c r="H829" s="1"/>
      <c r="I829" s="1"/>
      <c r="J829" s="1" t="s">
        <v>6667</v>
      </c>
      <c r="K829" s="1" t="s">
        <v>39</v>
      </c>
      <c r="L829" s="1" t="s">
        <v>6668</v>
      </c>
      <c r="M829" s="1" t="s">
        <v>141</v>
      </c>
      <c r="N829" s="1"/>
      <c r="O829" s="1" t="s">
        <v>31</v>
      </c>
      <c r="P829" s="1"/>
      <c r="Q829" s="1"/>
      <c r="R829" s="1" t="s">
        <v>5429</v>
      </c>
      <c r="S829" s="1" t="s">
        <v>6669</v>
      </c>
      <c r="T829" s="15">
        <v>2023</v>
      </c>
      <c r="U829" s="45" t="s">
        <v>5765</v>
      </c>
      <c r="V829" s="13" t="s">
        <v>29</v>
      </c>
      <c r="X829" s="12">
        <v>5</v>
      </c>
      <c r="Z829" s="14" t="s">
        <v>3828</v>
      </c>
      <c r="AA829" s="12" t="s">
        <v>6775</v>
      </c>
      <c r="AB829" s="14" t="s">
        <v>3888</v>
      </c>
      <c r="AD829" s="12" t="s">
        <v>764</v>
      </c>
    </row>
    <row r="830" spans="1:30" ht="41.4" hidden="1" x14ac:dyDescent="0.3">
      <c r="A830" s="1" t="s">
        <v>6670</v>
      </c>
      <c r="B830" s="1" t="s">
        <v>6671</v>
      </c>
      <c r="C830" s="1" t="s">
        <v>157</v>
      </c>
      <c r="D830" s="1" t="s">
        <v>6672</v>
      </c>
      <c r="E830" s="1" t="s">
        <v>6673</v>
      </c>
      <c r="F830" s="1" t="s">
        <v>6674</v>
      </c>
      <c r="G830" s="1"/>
      <c r="H830" s="1"/>
      <c r="I830" s="1"/>
      <c r="J830" s="1" t="s">
        <v>6675</v>
      </c>
      <c r="K830" s="1" t="s">
        <v>39</v>
      </c>
      <c r="L830" s="1" t="s">
        <v>6676</v>
      </c>
      <c r="M830" s="1" t="s">
        <v>42</v>
      </c>
      <c r="N830" s="1" t="s">
        <v>6677</v>
      </c>
      <c r="O830" s="1" t="s">
        <v>31</v>
      </c>
      <c r="P830" s="1"/>
      <c r="Q830" s="1"/>
      <c r="R830" s="1" t="s">
        <v>5371</v>
      </c>
      <c r="S830" s="1" t="s">
        <v>6678</v>
      </c>
      <c r="T830" s="15">
        <v>2023</v>
      </c>
      <c r="U830" s="45" t="s">
        <v>5765</v>
      </c>
      <c r="V830" s="13" t="s">
        <v>29</v>
      </c>
      <c r="X830" s="12">
        <v>5</v>
      </c>
      <c r="Y830" s="44">
        <v>45366</v>
      </c>
      <c r="Z830" s="14" t="s">
        <v>3835</v>
      </c>
      <c r="AA830" s="12" t="s">
        <v>5353</v>
      </c>
      <c r="AB830" s="14" t="s">
        <v>3884</v>
      </c>
      <c r="AD830" s="12" t="s">
        <v>764</v>
      </c>
    </row>
    <row r="831" spans="1:30" hidden="1" x14ac:dyDescent="0.3">
      <c r="A831" s="1"/>
      <c r="B831" s="1" t="s">
        <v>6679</v>
      </c>
      <c r="C831" s="1" t="s">
        <v>6680</v>
      </c>
      <c r="D831" s="1" t="s">
        <v>6681</v>
      </c>
      <c r="E831" s="1" t="s">
        <v>6682</v>
      </c>
      <c r="F831" s="1" t="s">
        <v>6683</v>
      </c>
      <c r="G831" s="1" t="s">
        <v>6684</v>
      </c>
      <c r="H831" s="1"/>
      <c r="I831" s="1"/>
      <c r="J831" s="1" t="s">
        <v>1900</v>
      </c>
      <c r="K831" s="1" t="s">
        <v>39</v>
      </c>
      <c r="L831" s="1" t="s">
        <v>6685</v>
      </c>
      <c r="M831" s="1" t="s">
        <v>141</v>
      </c>
      <c r="N831" s="1"/>
      <c r="O831" s="1" t="s">
        <v>31</v>
      </c>
      <c r="P831" s="1"/>
      <c r="Q831" s="1"/>
      <c r="R831" s="1" t="s">
        <v>5480</v>
      </c>
      <c r="S831" s="1" t="s">
        <v>6686</v>
      </c>
      <c r="T831" s="15">
        <v>2023</v>
      </c>
      <c r="U831" s="45" t="s">
        <v>5765</v>
      </c>
      <c r="V831" s="13" t="s">
        <v>29</v>
      </c>
      <c r="X831" s="12">
        <v>5</v>
      </c>
      <c r="Z831" s="14" t="s">
        <v>3828</v>
      </c>
      <c r="AA831" s="12" t="s">
        <v>6778</v>
      </c>
      <c r="AB831" s="14" t="s">
        <v>3885</v>
      </c>
      <c r="AD831" s="12" t="s">
        <v>764</v>
      </c>
    </row>
    <row r="832" spans="1:30" ht="27.6" x14ac:dyDescent="0.3">
      <c r="A832" s="1" t="s">
        <v>6687</v>
      </c>
      <c r="B832" s="1" t="s">
        <v>3181</v>
      </c>
      <c r="C832" s="1" t="s">
        <v>2857</v>
      </c>
      <c r="D832" s="1" t="s">
        <v>6688</v>
      </c>
      <c r="E832" s="1" t="s">
        <v>6689</v>
      </c>
      <c r="F832" s="1" t="s">
        <v>6690</v>
      </c>
      <c r="G832" s="1" t="s">
        <v>6691</v>
      </c>
      <c r="H832" s="1" t="s">
        <v>6692</v>
      </c>
      <c r="I832" s="1" t="s">
        <v>6693</v>
      </c>
      <c r="J832" s="1" t="s">
        <v>4704</v>
      </c>
      <c r="K832" s="1" t="s">
        <v>39</v>
      </c>
      <c r="L832" s="1" t="s">
        <v>6694</v>
      </c>
      <c r="M832" s="1" t="s">
        <v>141</v>
      </c>
      <c r="N832" s="1"/>
      <c r="O832" s="1" t="s">
        <v>31</v>
      </c>
      <c r="P832" s="1"/>
      <c r="Q832" s="1"/>
      <c r="R832" s="1" t="s">
        <v>5480</v>
      </c>
      <c r="S832" s="1" t="s">
        <v>6695</v>
      </c>
      <c r="T832" s="15">
        <v>2023</v>
      </c>
      <c r="U832" s="45" t="s">
        <v>5765</v>
      </c>
      <c r="V832" s="13" t="s">
        <v>29</v>
      </c>
      <c r="Y832" s="44" t="s">
        <v>10083</v>
      </c>
      <c r="Z832" s="14" t="s">
        <v>3828</v>
      </c>
      <c r="AA832" s="12" t="s">
        <v>6784</v>
      </c>
      <c r="AB832" s="14" t="s">
        <v>3888</v>
      </c>
      <c r="AD832" s="12" t="s">
        <v>764</v>
      </c>
    </row>
    <row r="833" spans="1:30" ht="27.6" hidden="1" x14ac:dyDescent="0.3">
      <c r="A833" s="1" t="s">
        <v>2707</v>
      </c>
      <c r="B833" s="1" t="s">
        <v>6696</v>
      </c>
      <c r="C833" s="1" t="s">
        <v>3427</v>
      </c>
      <c r="D833" s="1" t="s">
        <v>6697</v>
      </c>
      <c r="E833" s="1" t="s">
        <v>6698</v>
      </c>
      <c r="F833" s="1" t="s">
        <v>6699</v>
      </c>
      <c r="G833" s="1" t="s">
        <v>6700</v>
      </c>
      <c r="H833" s="1"/>
      <c r="I833" s="1"/>
      <c r="J833" s="1" t="s">
        <v>72</v>
      </c>
      <c r="K833" s="1" t="s">
        <v>39</v>
      </c>
      <c r="L833" s="1" t="s">
        <v>6701</v>
      </c>
      <c r="M833" s="1" t="s">
        <v>141</v>
      </c>
      <c r="N833" s="1" t="s">
        <v>6702</v>
      </c>
      <c r="O833" s="1" t="s">
        <v>31</v>
      </c>
      <c r="P833" s="1"/>
      <c r="Q833" s="1"/>
      <c r="R833" s="1" t="s">
        <v>5480</v>
      </c>
      <c r="S833" s="1" t="s">
        <v>6703</v>
      </c>
      <c r="T833" s="15">
        <v>2023</v>
      </c>
      <c r="U833" s="45" t="s">
        <v>5765</v>
      </c>
      <c r="V833" s="13" t="s">
        <v>29</v>
      </c>
      <c r="X833" s="12">
        <v>10</v>
      </c>
      <c r="Z833" s="14" t="s">
        <v>2148</v>
      </c>
      <c r="AA833" s="12" t="s">
        <v>520</v>
      </c>
      <c r="AB833" s="14" t="s">
        <v>3890</v>
      </c>
      <c r="AD833" s="12" t="s">
        <v>6779</v>
      </c>
    </row>
    <row r="834" spans="1:30" hidden="1" x14ac:dyDescent="0.3">
      <c r="A834" s="1" t="s">
        <v>2707</v>
      </c>
      <c r="B834" s="1" t="s">
        <v>6704</v>
      </c>
      <c r="C834" s="1" t="s">
        <v>6705</v>
      </c>
      <c r="D834" s="1" t="s">
        <v>6706</v>
      </c>
      <c r="E834" s="1" t="s">
        <v>6707</v>
      </c>
      <c r="F834" s="1" t="s">
        <v>6708</v>
      </c>
      <c r="G834" s="1"/>
      <c r="H834" s="1"/>
      <c r="I834" s="1"/>
      <c r="J834" s="1" t="s">
        <v>72</v>
      </c>
      <c r="K834" s="1" t="s">
        <v>39</v>
      </c>
      <c r="L834" s="1" t="s">
        <v>6709</v>
      </c>
      <c r="M834" s="1" t="s">
        <v>42</v>
      </c>
      <c r="N834" s="1"/>
      <c r="O834" s="1" t="s">
        <v>31</v>
      </c>
      <c r="P834" s="1"/>
      <c r="Q834" s="1"/>
      <c r="R834" s="1" t="s">
        <v>5480</v>
      </c>
      <c r="S834" s="1" t="s">
        <v>6710</v>
      </c>
      <c r="T834" s="15">
        <v>2023</v>
      </c>
      <c r="U834" s="45" t="s">
        <v>5765</v>
      </c>
      <c r="V834" s="13" t="s">
        <v>29</v>
      </c>
      <c r="X834" s="12">
        <v>5</v>
      </c>
      <c r="Z834" s="14" t="s">
        <v>2148</v>
      </c>
      <c r="AA834" s="12" t="s">
        <v>6780</v>
      </c>
      <c r="AB834" s="14" t="s">
        <v>3890</v>
      </c>
      <c r="AD834" s="12" t="s">
        <v>764</v>
      </c>
    </row>
    <row r="835" spans="1:30" hidden="1" x14ac:dyDescent="0.3">
      <c r="A835" s="1"/>
      <c r="B835" s="1" t="s">
        <v>3311</v>
      </c>
      <c r="C835" s="1" t="s">
        <v>79</v>
      </c>
      <c r="D835" s="1" t="s">
        <v>6711</v>
      </c>
      <c r="E835" s="1" t="s">
        <v>6712</v>
      </c>
      <c r="F835" s="1" t="s">
        <v>6713</v>
      </c>
      <c r="G835" s="1"/>
      <c r="H835" s="1"/>
      <c r="I835" s="1"/>
      <c r="J835" s="1" t="s">
        <v>2312</v>
      </c>
      <c r="K835" s="1" t="s">
        <v>39</v>
      </c>
      <c r="L835" s="1" t="s">
        <v>6714</v>
      </c>
      <c r="M835" s="1" t="s">
        <v>42</v>
      </c>
      <c r="N835" s="1"/>
      <c r="O835" s="1" t="s">
        <v>31</v>
      </c>
      <c r="P835" s="1"/>
      <c r="Q835" s="1"/>
      <c r="R835" s="1" t="s">
        <v>5480</v>
      </c>
      <c r="S835" s="1" t="s">
        <v>6715</v>
      </c>
      <c r="T835" s="15">
        <v>2023</v>
      </c>
      <c r="U835" s="45" t="s">
        <v>5765</v>
      </c>
      <c r="V835" s="13" t="s">
        <v>29</v>
      </c>
      <c r="X835" s="12">
        <v>5</v>
      </c>
      <c r="Z835" s="14" t="s">
        <v>3828</v>
      </c>
      <c r="AA835" s="12" t="s">
        <v>6782</v>
      </c>
      <c r="AB835" s="14" t="s">
        <v>3888</v>
      </c>
      <c r="AD835" s="12" t="s">
        <v>764</v>
      </c>
    </row>
    <row r="836" spans="1:30" ht="41.4" hidden="1" x14ac:dyDescent="0.3">
      <c r="A836" s="1" t="s">
        <v>6649</v>
      </c>
      <c r="B836" s="1" t="s">
        <v>6716</v>
      </c>
      <c r="C836" s="1" t="s">
        <v>1307</v>
      </c>
      <c r="D836" s="1" t="s">
        <v>6717</v>
      </c>
      <c r="E836" s="1" t="s">
        <v>6718</v>
      </c>
      <c r="F836" s="1" t="s">
        <v>6719</v>
      </c>
      <c r="G836" s="1" t="s">
        <v>6720</v>
      </c>
      <c r="H836" s="1" t="s">
        <v>6721</v>
      </c>
      <c r="I836" s="1" t="s">
        <v>6722</v>
      </c>
      <c r="J836" s="1" t="s">
        <v>72</v>
      </c>
      <c r="K836" s="1" t="s">
        <v>39</v>
      </c>
      <c r="L836" s="1" t="s">
        <v>6723</v>
      </c>
      <c r="M836" s="1" t="s">
        <v>42</v>
      </c>
      <c r="N836" s="1"/>
      <c r="O836" s="1" t="s">
        <v>31</v>
      </c>
      <c r="P836" s="1"/>
      <c r="Q836" s="1"/>
      <c r="R836" s="1" t="s">
        <v>5429</v>
      </c>
      <c r="S836" s="1" t="s">
        <v>6724</v>
      </c>
      <c r="T836" s="15">
        <v>2023</v>
      </c>
      <c r="U836" s="45" t="s">
        <v>5765</v>
      </c>
      <c r="V836" s="13" t="s">
        <v>29</v>
      </c>
      <c r="X836" s="12">
        <v>5</v>
      </c>
      <c r="Z836" s="14" t="s">
        <v>3835</v>
      </c>
      <c r="AA836" s="12" t="s">
        <v>6783</v>
      </c>
      <c r="AB836" s="14" t="s">
        <v>3884</v>
      </c>
      <c r="AD836" s="12" t="s">
        <v>764</v>
      </c>
    </row>
    <row r="837" spans="1:30" ht="41.4" hidden="1" x14ac:dyDescent="0.3">
      <c r="A837" s="1" t="s">
        <v>1482</v>
      </c>
      <c r="B837" s="1" t="s">
        <v>6725</v>
      </c>
      <c r="C837" s="1" t="s">
        <v>447</v>
      </c>
      <c r="D837" s="1" t="s">
        <v>6726</v>
      </c>
      <c r="E837" s="1" t="s">
        <v>6727</v>
      </c>
      <c r="F837" s="1" t="s">
        <v>6728</v>
      </c>
      <c r="G837" s="1" t="s">
        <v>6729</v>
      </c>
      <c r="H837" s="1" t="s">
        <v>6730</v>
      </c>
      <c r="I837" s="1" t="s">
        <v>6731</v>
      </c>
      <c r="J837" s="1" t="s">
        <v>72</v>
      </c>
      <c r="K837" s="1" t="s">
        <v>39</v>
      </c>
      <c r="L837" s="1" t="s">
        <v>6311</v>
      </c>
      <c r="M837" s="1" t="s">
        <v>42</v>
      </c>
      <c r="N837" s="1"/>
      <c r="O837" s="1" t="s">
        <v>31</v>
      </c>
      <c r="P837" s="1"/>
      <c r="Q837" s="1"/>
      <c r="R837" s="1" t="s">
        <v>5429</v>
      </c>
      <c r="S837" s="1" t="s">
        <v>6732</v>
      </c>
      <c r="T837" s="15">
        <v>2023</v>
      </c>
      <c r="U837" s="45" t="s">
        <v>5765</v>
      </c>
      <c r="V837" s="13" t="s">
        <v>29</v>
      </c>
      <c r="X837" s="12">
        <v>5</v>
      </c>
      <c r="Z837" s="14" t="s">
        <v>3835</v>
      </c>
      <c r="AA837" s="12" t="s">
        <v>6311</v>
      </c>
      <c r="AB837" s="14" t="s">
        <v>3884</v>
      </c>
      <c r="AD837" s="12" t="s">
        <v>764</v>
      </c>
    </row>
    <row r="838" spans="1:30" ht="41.4" hidden="1" x14ac:dyDescent="0.3">
      <c r="A838" s="1" t="s">
        <v>6733</v>
      </c>
      <c r="B838" s="1" t="s">
        <v>761</v>
      </c>
      <c r="C838" s="1" t="s">
        <v>346</v>
      </c>
      <c r="D838" s="1" t="s">
        <v>6734</v>
      </c>
      <c r="E838" s="1" t="s">
        <v>6735</v>
      </c>
      <c r="F838" s="1" t="s">
        <v>6736</v>
      </c>
      <c r="G838" s="1" t="s">
        <v>6737</v>
      </c>
      <c r="H838" s="1" t="s">
        <v>6738</v>
      </c>
      <c r="I838" s="1" t="s">
        <v>6739</v>
      </c>
      <c r="J838" s="1" t="s">
        <v>4543</v>
      </c>
      <c r="K838" s="1" t="s">
        <v>39</v>
      </c>
      <c r="L838" s="1" t="s">
        <v>1144</v>
      </c>
      <c r="M838" s="1" t="s">
        <v>42</v>
      </c>
      <c r="N838" s="1"/>
      <c r="O838" s="1" t="s">
        <v>31</v>
      </c>
      <c r="P838" s="1"/>
      <c r="Q838" s="1"/>
      <c r="R838" s="1" t="s">
        <v>5480</v>
      </c>
      <c r="S838" s="1" t="s">
        <v>6740</v>
      </c>
      <c r="T838" s="15">
        <v>2023</v>
      </c>
      <c r="U838" s="45" t="s">
        <v>5765</v>
      </c>
      <c r="V838" s="13" t="s">
        <v>29</v>
      </c>
      <c r="X838" s="12">
        <v>5</v>
      </c>
      <c r="Z838" s="14" t="s">
        <v>3828</v>
      </c>
      <c r="AA838" s="12" t="s">
        <v>4011</v>
      </c>
      <c r="AB838" s="14" t="s">
        <v>3888</v>
      </c>
      <c r="AD838" s="12" t="s">
        <v>764</v>
      </c>
    </row>
    <row r="839" spans="1:30" ht="27.6" hidden="1" x14ac:dyDescent="0.3">
      <c r="A839" s="1" t="s">
        <v>22</v>
      </c>
      <c r="B839" s="1" t="s">
        <v>6741</v>
      </c>
      <c r="C839" s="1" t="s">
        <v>6742</v>
      </c>
      <c r="D839" s="1" t="s">
        <v>6743</v>
      </c>
      <c r="E839" s="1" t="s">
        <v>6744</v>
      </c>
      <c r="F839" s="1" t="s">
        <v>6745</v>
      </c>
      <c r="G839" s="1" t="s">
        <v>6746</v>
      </c>
      <c r="H839" s="1" t="s">
        <v>6747</v>
      </c>
      <c r="I839" s="1" t="s">
        <v>6748</v>
      </c>
      <c r="J839" s="1" t="s">
        <v>638</v>
      </c>
      <c r="K839" s="1" t="s">
        <v>39</v>
      </c>
      <c r="L839" s="1" t="s">
        <v>6749</v>
      </c>
      <c r="M839" s="1" t="s">
        <v>141</v>
      </c>
      <c r="N839" s="1"/>
      <c r="O839" s="1" t="s">
        <v>31</v>
      </c>
      <c r="P839" s="1"/>
      <c r="Q839" s="1"/>
      <c r="R839" s="1" t="s">
        <v>5359</v>
      </c>
      <c r="S839" s="1" t="s">
        <v>6750</v>
      </c>
      <c r="T839" s="15">
        <v>2023</v>
      </c>
      <c r="U839" s="45" t="s">
        <v>5765</v>
      </c>
      <c r="V839" s="13" t="s">
        <v>29</v>
      </c>
      <c r="X839" s="12">
        <v>10</v>
      </c>
      <c r="Z839" s="14" t="s">
        <v>6312</v>
      </c>
      <c r="AA839" s="12" t="s">
        <v>6311</v>
      </c>
      <c r="AB839" s="14" t="s">
        <v>3884</v>
      </c>
      <c r="AD839" s="12" t="s">
        <v>764</v>
      </c>
    </row>
    <row r="840" spans="1:30" ht="41.4" hidden="1" x14ac:dyDescent="0.3">
      <c r="A840" s="1" t="s">
        <v>6751</v>
      </c>
      <c r="B840" s="1" t="s">
        <v>6752</v>
      </c>
      <c r="C840" s="1" t="s">
        <v>6753</v>
      </c>
      <c r="D840" s="1" t="s">
        <v>6754</v>
      </c>
      <c r="E840" s="1" t="s">
        <v>6755</v>
      </c>
      <c r="F840" s="2" t="s">
        <v>7228</v>
      </c>
      <c r="G840" s="1" t="s">
        <v>6756</v>
      </c>
      <c r="H840" s="1" t="s">
        <v>6757</v>
      </c>
      <c r="I840" s="1" t="s">
        <v>6758</v>
      </c>
      <c r="J840" s="1" t="s">
        <v>2262</v>
      </c>
      <c r="K840" s="1" t="s">
        <v>39</v>
      </c>
      <c r="L840" s="1" t="s">
        <v>6759</v>
      </c>
      <c r="M840" s="1" t="s">
        <v>42</v>
      </c>
      <c r="N840" s="1"/>
      <c r="O840" s="1" t="s">
        <v>31</v>
      </c>
      <c r="P840" s="1"/>
      <c r="Q840" s="1"/>
      <c r="R840" s="1" t="s">
        <v>5480</v>
      </c>
      <c r="S840" s="1" t="s">
        <v>6760</v>
      </c>
      <c r="T840" s="15">
        <v>2023</v>
      </c>
      <c r="U840" s="45" t="s">
        <v>5765</v>
      </c>
      <c r="V840" s="13" t="s">
        <v>29</v>
      </c>
      <c r="X840" s="12">
        <v>5</v>
      </c>
      <c r="Z840" s="14" t="s">
        <v>3828</v>
      </c>
      <c r="AA840" s="12" t="s">
        <v>6784</v>
      </c>
      <c r="AB840" s="14" t="s">
        <v>3888</v>
      </c>
      <c r="AD840" s="12" t="s">
        <v>764</v>
      </c>
    </row>
    <row r="841" spans="1:30" ht="27.6" x14ac:dyDescent="0.3">
      <c r="A841" s="1" t="s">
        <v>1379</v>
      </c>
      <c r="B841" s="1" t="s">
        <v>3203</v>
      </c>
      <c r="C841" s="1" t="s">
        <v>282</v>
      </c>
      <c r="D841" s="1" t="s">
        <v>6761</v>
      </c>
      <c r="E841" s="1" t="s">
        <v>6762</v>
      </c>
      <c r="F841" s="1" t="s">
        <v>6763</v>
      </c>
      <c r="G841" s="1" t="s">
        <v>6764</v>
      </c>
      <c r="H841" s="1" t="s">
        <v>6765</v>
      </c>
      <c r="I841" s="1" t="s">
        <v>6766</v>
      </c>
      <c r="J841" s="1" t="s">
        <v>6767</v>
      </c>
      <c r="K841" s="1" t="s">
        <v>39</v>
      </c>
      <c r="L841" s="1" t="s">
        <v>6768</v>
      </c>
      <c r="M841" s="1" t="s">
        <v>42</v>
      </c>
      <c r="N841" s="1"/>
      <c r="O841" s="1" t="s">
        <v>31</v>
      </c>
      <c r="P841" s="1"/>
      <c r="Q841" s="1"/>
      <c r="R841" s="1" t="s">
        <v>5429</v>
      </c>
      <c r="S841" s="1" t="s">
        <v>6769</v>
      </c>
      <c r="T841" s="15">
        <v>2023</v>
      </c>
      <c r="U841" s="45" t="s">
        <v>5765</v>
      </c>
      <c r="V841" s="13" t="s">
        <v>29</v>
      </c>
      <c r="Y841" s="44" t="s">
        <v>10083</v>
      </c>
      <c r="Z841" s="14" t="s">
        <v>3828</v>
      </c>
      <c r="AA841" s="12" t="s">
        <v>4866</v>
      </c>
      <c r="AB841" s="14" t="s">
        <v>3887</v>
      </c>
      <c r="AD841" s="12" t="s">
        <v>764</v>
      </c>
    </row>
    <row r="842" spans="1:30" ht="27.6" x14ac:dyDescent="0.3">
      <c r="A842" s="1"/>
      <c r="B842" s="1" t="s">
        <v>6770</v>
      </c>
      <c r="C842" s="1" t="s">
        <v>5783</v>
      </c>
      <c r="D842" s="1" t="s">
        <v>6771</v>
      </c>
      <c r="E842" s="1"/>
      <c r="F842" s="1" t="s">
        <v>6772</v>
      </c>
      <c r="G842" s="1"/>
      <c r="H842" s="1"/>
      <c r="I842" s="1"/>
      <c r="J842" s="1" t="s">
        <v>1886</v>
      </c>
      <c r="K842" s="1" t="s">
        <v>39</v>
      </c>
      <c r="L842" s="1" t="s">
        <v>1304</v>
      </c>
      <c r="M842" s="1" t="s">
        <v>42</v>
      </c>
      <c r="N842" s="1"/>
      <c r="O842" s="1" t="s">
        <v>31</v>
      </c>
      <c r="P842" s="1"/>
      <c r="Q842" s="1"/>
      <c r="R842" s="1" t="s">
        <v>5359</v>
      </c>
      <c r="S842" s="1" t="s">
        <v>6773</v>
      </c>
      <c r="T842" s="15">
        <v>2023</v>
      </c>
      <c r="U842" s="45" t="s">
        <v>5765</v>
      </c>
      <c r="V842" s="13" t="s">
        <v>29</v>
      </c>
      <c r="Y842" s="44" t="s">
        <v>10083</v>
      </c>
      <c r="Z842" s="14" t="s">
        <v>3835</v>
      </c>
      <c r="AA842" s="12" t="s">
        <v>6392</v>
      </c>
      <c r="AB842" s="14" t="s">
        <v>3884</v>
      </c>
      <c r="AD842" s="12" t="s">
        <v>764</v>
      </c>
    </row>
    <row r="843" spans="1:30" ht="27.6" hidden="1" x14ac:dyDescent="0.3">
      <c r="A843" s="1" t="s">
        <v>292</v>
      </c>
      <c r="B843" s="4" t="s">
        <v>6823</v>
      </c>
      <c r="C843" s="4" t="s">
        <v>1742</v>
      </c>
      <c r="D843" s="1" t="s">
        <v>6824</v>
      </c>
      <c r="E843" s="1"/>
      <c r="F843" s="1" t="s">
        <v>6825</v>
      </c>
      <c r="G843" s="1"/>
      <c r="H843" s="1" t="s">
        <v>355</v>
      </c>
      <c r="I843" s="1" t="s">
        <v>191</v>
      </c>
      <c r="J843" s="1" t="s">
        <v>5891</v>
      </c>
      <c r="K843" s="1" t="s">
        <v>39</v>
      </c>
      <c r="L843" s="1" t="s">
        <v>6826</v>
      </c>
      <c r="M843" s="1" t="s">
        <v>42</v>
      </c>
      <c r="N843" s="1"/>
      <c r="O843" s="1" t="s">
        <v>31</v>
      </c>
      <c r="P843" s="1"/>
      <c r="Q843" s="1"/>
      <c r="R843" s="1" t="s">
        <v>5359</v>
      </c>
      <c r="S843" s="1" t="s">
        <v>6827</v>
      </c>
      <c r="T843" s="15">
        <v>2023</v>
      </c>
      <c r="U843" s="45" t="s">
        <v>5765</v>
      </c>
      <c r="V843" s="13" t="s">
        <v>29</v>
      </c>
      <c r="X843" s="12">
        <v>10</v>
      </c>
      <c r="Z843" s="14" t="s">
        <v>3828</v>
      </c>
      <c r="AA843" s="12" t="s">
        <v>6844</v>
      </c>
      <c r="AB843" s="14" t="s">
        <v>3885</v>
      </c>
      <c r="AD843" s="12" t="s">
        <v>764</v>
      </c>
    </row>
    <row r="844" spans="1:30" hidden="1" x14ac:dyDescent="0.3">
      <c r="A844" s="1" t="s">
        <v>6828</v>
      </c>
      <c r="B844" s="1" t="s">
        <v>6829</v>
      </c>
      <c r="C844" s="1" t="s">
        <v>501</v>
      </c>
      <c r="D844" s="1" t="s">
        <v>6830</v>
      </c>
      <c r="E844" s="1" t="s">
        <v>6831</v>
      </c>
      <c r="F844" s="1" t="s">
        <v>6832</v>
      </c>
      <c r="G844" s="1"/>
      <c r="H844" s="1" t="s">
        <v>6833</v>
      </c>
      <c r="I844" s="1" t="s">
        <v>6834</v>
      </c>
      <c r="J844" s="1" t="s">
        <v>1497</v>
      </c>
      <c r="K844" s="1" t="s">
        <v>39</v>
      </c>
      <c r="L844" s="1" t="s">
        <v>6835</v>
      </c>
      <c r="M844" s="1" t="s">
        <v>42</v>
      </c>
      <c r="N844" s="1"/>
      <c r="O844" s="1" t="s">
        <v>31</v>
      </c>
      <c r="P844" s="1"/>
      <c r="Q844" s="1"/>
      <c r="R844" s="1" t="s">
        <v>5429</v>
      </c>
      <c r="S844" s="1" t="s">
        <v>6836</v>
      </c>
      <c r="T844" s="15">
        <v>2023</v>
      </c>
      <c r="U844" s="45" t="s">
        <v>5765</v>
      </c>
      <c r="V844" s="13" t="s">
        <v>29</v>
      </c>
      <c r="X844" s="12">
        <v>50</v>
      </c>
      <c r="Z844" s="14" t="s">
        <v>3828</v>
      </c>
      <c r="AA844" s="12" t="s">
        <v>6845</v>
      </c>
      <c r="AB844" s="14" t="s">
        <v>3885</v>
      </c>
      <c r="AD844" s="12" t="s">
        <v>764</v>
      </c>
    </row>
    <row r="845" spans="1:30" hidden="1" x14ac:dyDescent="0.3">
      <c r="A845" s="1"/>
      <c r="B845" s="1" t="s">
        <v>6837</v>
      </c>
      <c r="C845" s="1" t="s">
        <v>6838</v>
      </c>
      <c r="D845" s="1" t="s">
        <v>6839</v>
      </c>
      <c r="E845" s="1" t="s">
        <v>6840</v>
      </c>
      <c r="F845" s="1" t="s">
        <v>6841</v>
      </c>
      <c r="G845" s="1"/>
      <c r="H845" s="1"/>
      <c r="I845" s="1"/>
      <c r="J845" s="1" t="s">
        <v>72</v>
      </c>
      <c r="K845" s="1" t="s">
        <v>39</v>
      </c>
      <c r="L845" s="1" t="s">
        <v>6842</v>
      </c>
      <c r="M845" s="1" t="s">
        <v>42</v>
      </c>
      <c r="N845" s="1"/>
      <c r="O845" s="1" t="s">
        <v>31</v>
      </c>
      <c r="P845" s="1"/>
      <c r="Q845" s="1"/>
      <c r="R845" s="1" t="s">
        <v>5359</v>
      </c>
      <c r="S845" s="1" t="s">
        <v>6843</v>
      </c>
      <c r="T845" s="15">
        <v>2023</v>
      </c>
      <c r="U845" s="45" t="s">
        <v>5765</v>
      </c>
      <c r="V845" s="13" t="s">
        <v>29</v>
      </c>
      <c r="X845" s="12">
        <v>5</v>
      </c>
      <c r="Z845" s="14" t="s">
        <v>3835</v>
      </c>
      <c r="AA845" s="12" t="s">
        <v>6846</v>
      </c>
      <c r="AB845" s="14" t="s">
        <v>3884</v>
      </c>
      <c r="AD845" s="12" t="s">
        <v>764</v>
      </c>
    </row>
    <row r="846" spans="1:30" hidden="1" x14ac:dyDescent="0.3">
      <c r="A846" s="1"/>
      <c r="B846" s="4" t="s">
        <v>6847</v>
      </c>
      <c r="C846" s="4" t="s">
        <v>1094</v>
      </c>
      <c r="D846" s="1" t="s">
        <v>6848</v>
      </c>
      <c r="E846" s="1" t="s">
        <v>6849</v>
      </c>
      <c r="F846" s="1" t="s">
        <v>6850</v>
      </c>
      <c r="G846" s="1" t="s">
        <v>6851</v>
      </c>
      <c r="H846" s="1" t="s">
        <v>6852</v>
      </c>
      <c r="I846" s="1" t="s">
        <v>6853</v>
      </c>
      <c r="J846" s="1" t="s">
        <v>2480</v>
      </c>
      <c r="K846" s="1" t="s">
        <v>39</v>
      </c>
      <c r="L846" s="1" t="s">
        <v>6854</v>
      </c>
      <c r="M846" s="1" t="s">
        <v>141</v>
      </c>
      <c r="N846" s="1" t="s">
        <v>6855</v>
      </c>
      <c r="O846" s="1" t="s">
        <v>31</v>
      </c>
      <c r="P846" s="1"/>
      <c r="Q846" s="1"/>
      <c r="R846" s="1" t="s">
        <v>5429</v>
      </c>
      <c r="S846" s="1" t="s">
        <v>6856</v>
      </c>
      <c r="T846" s="15">
        <v>2023</v>
      </c>
      <c r="U846" s="3" t="s">
        <v>45</v>
      </c>
      <c r="V846" s="13" t="s">
        <v>29</v>
      </c>
      <c r="X846" s="12">
        <v>20</v>
      </c>
      <c r="Z846" s="14" t="s">
        <v>3835</v>
      </c>
      <c r="AA846" s="12" t="s">
        <v>6867</v>
      </c>
      <c r="AB846" s="14" t="s">
        <v>3884</v>
      </c>
      <c r="AD846" s="12" t="s">
        <v>764</v>
      </c>
    </row>
    <row r="847" spans="1:30" hidden="1" x14ac:dyDescent="0.3">
      <c r="A847" s="1"/>
      <c r="B847" s="1" t="s">
        <v>4194</v>
      </c>
      <c r="C847" s="1" t="s">
        <v>6857</v>
      </c>
      <c r="D847" s="1" t="s">
        <v>6858</v>
      </c>
      <c r="E847" s="1" t="s">
        <v>6859</v>
      </c>
      <c r="F847" s="1" t="s">
        <v>6860</v>
      </c>
      <c r="G847" s="1" t="s">
        <v>6861</v>
      </c>
      <c r="H847" s="1" t="s">
        <v>6862</v>
      </c>
      <c r="I847" s="1" t="s">
        <v>6863</v>
      </c>
      <c r="J847" s="1" t="s">
        <v>6864</v>
      </c>
      <c r="K847" s="1" t="s">
        <v>39</v>
      </c>
      <c r="L847" s="1" t="s">
        <v>6865</v>
      </c>
      <c r="M847" s="1" t="s">
        <v>141</v>
      </c>
      <c r="N847" s="1"/>
      <c r="O847" s="1" t="s">
        <v>31</v>
      </c>
      <c r="P847" s="1"/>
      <c r="Q847" s="1"/>
      <c r="R847" s="1" t="s">
        <v>5429</v>
      </c>
      <c r="S847" s="1" t="s">
        <v>6866</v>
      </c>
      <c r="T847" s="15">
        <v>2023</v>
      </c>
      <c r="U847" s="3" t="s">
        <v>45</v>
      </c>
      <c r="V847" s="13" t="s">
        <v>29</v>
      </c>
      <c r="X847" s="12">
        <v>5</v>
      </c>
      <c r="Z847" s="14" t="s">
        <v>3828</v>
      </c>
      <c r="AA847" s="12" t="s">
        <v>3019</v>
      </c>
      <c r="AB847" s="14" t="s">
        <v>3888</v>
      </c>
      <c r="AD847" s="12" t="s">
        <v>764</v>
      </c>
    </row>
    <row r="848" spans="1:30" hidden="1" x14ac:dyDescent="0.3">
      <c r="A848" s="1"/>
      <c r="B848" s="4" t="s">
        <v>720</v>
      </c>
      <c r="C848" s="4" t="s">
        <v>523</v>
      </c>
      <c r="D848" s="1" t="s">
        <v>6869</v>
      </c>
      <c r="E848" s="1" t="s">
        <v>6870</v>
      </c>
      <c r="F848" s="1" t="s">
        <v>6871</v>
      </c>
      <c r="G848" s="1" t="s">
        <v>6872</v>
      </c>
      <c r="H848" s="1" t="s">
        <v>6873</v>
      </c>
      <c r="I848" s="1" t="s">
        <v>6874</v>
      </c>
      <c r="J848" s="1" t="s">
        <v>1540</v>
      </c>
      <c r="K848" s="1" t="s">
        <v>39</v>
      </c>
      <c r="L848" s="1" t="s">
        <v>6875</v>
      </c>
      <c r="M848" s="1" t="s">
        <v>141</v>
      </c>
      <c r="N848" s="1"/>
      <c r="O848" s="1" t="s">
        <v>31</v>
      </c>
      <c r="P848" s="1"/>
      <c r="Q848" s="1"/>
      <c r="R848" s="1" t="s">
        <v>5429</v>
      </c>
      <c r="S848" s="1" t="s">
        <v>6876</v>
      </c>
      <c r="T848" s="15">
        <v>2023</v>
      </c>
      <c r="U848" s="3" t="s">
        <v>45</v>
      </c>
      <c r="V848" s="13" t="s">
        <v>29</v>
      </c>
      <c r="X848" s="12">
        <v>5</v>
      </c>
      <c r="Y848" s="44">
        <v>45366</v>
      </c>
      <c r="Z848" s="14" t="s">
        <v>3835</v>
      </c>
      <c r="AA848" s="12" t="s">
        <v>5353</v>
      </c>
      <c r="AB848" s="14" t="s">
        <v>3884</v>
      </c>
      <c r="AD848" s="12" t="s">
        <v>764</v>
      </c>
    </row>
    <row r="849" spans="1:30" ht="27.6" x14ac:dyDescent="0.3">
      <c r="A849" s="1"/>
      <c r="B849" s="1" t="s">
        <v>6877</v>
      </c>
      <c r="C849" s="1" t="s">
        <v>2097</v>
      </c>
      <c r="D849" s="1" t="s">
        <v>6878</v>
      </c>
      <c r="E849" s="1" t="s">
        <v>6879</v>
      </c>
      <c r="F849" s="1" t="s">
        <v>6880</v>
      </c>
      <c r="G849" s="1"/>
      <c r="H849" s="1"/>
      <c r="I849" s="1"/>
      <c r="J849" s="1" t="s">
        <v>6881</v>
      </c>
      <c r="K849" s="1" t="s">
        <v>39</v>
      </c>
      <c r="L849" s="1" t="s">
        <v>6882</v>
      </c>
      <c r="M849" s="1" t="s">
        <v>42</v>
      </c>
      <c r="N849" s="1"/>
      <c r="O849" s="1" t="s">
        <v>31</v>
      </c>
      <c r="P849" s="1"/>
      <c r="Q849" s="1"/>
      <c r="R849" s="1" t="s">
        <v>5359</v>
      </c>
      <c r="S849" s="1" t="s">
        <v>6883</v>
      </c>
      <c r="T849" s="15">
        <v>2023</v>
      </c>
      <c r="U849" s="3" t="s">
        <v>45</v>
      </c>
      <c r="V849" s="13" t="s">
        <v>29</v>
      </c>
      <c r="Y849" s="44" t="s">
        <v>10083</v>
      </c>
      <c r="Z849" s="14" t="s">
        <v>3835</v>
      </c>
      <c r="AA849" s="12" t="s">
        <v>5353</v>
      </c>
      <c r="AB849" s="14" t="s">
        <v>3884</v>
      </c>
      <c r="AD849" s="12" t="s">
        <v>764</v>
      </c>
    </row>
    <row r="850" spans="1:30" ht="27.6" hidden="1" x14ac:dyDescent="0.3">
      <c r="A850" s="1" t="s">
        <v>2707</v>
      </c>
      <c r="B850" s="4" t="s">
        <v>6884</v>
      </c>
      <c r="C850" s="4" t="s">
        <v>4187</v>
      </c>
      <c r="D850" s="1" t="s">
        <v>6885</v>
      </c>
      <c r="E850" s="1" t="s">
        <v>6886</v>
      </c>
      <c r="F850" s="1" t="s">
        <v>6887</v>
      </c>
      <c r="G850" s="1"/>
      <c r="H850" s="1"/>
      <c r="I850" s="1"/>
      <c r="J850" s="1" t="s">
        <v>72</v>
      </c>
      <c r="K850" s="1" t="s">
        <v>39</v>
      </c>
      <c r="L850" s="1" t="s">
        <v>965</v>
      </c>
      <c r="M850" s="1" t="s">
        <v>141</v>
      </c>
      <c r="N850" s="1"/>
      <c r="O850" s="1" t="s">
        <v>31</v>
      </c>
      <c r="P850" s="1"/>
      <c r="Q850" s="1"/>
      <c r="R850" s="1" t="s">
        <v>5359</v>
      </c>
      <c r="S850" s="1" t="s">
        <v>6888</v>
      </c>
      <c r="T850" s="15">
        <v>2023</v>
      </c>
      <c r="U850" s="3" t="s">
        <v>45</v>
      </c>
      <c r="V850" s="13" t="s">
        <v>29</v>
      </c>
      <c r="X850" s="12">
        <v>5</v>
      </c>
      <c r="Z850" s="14" t="s">
        <v>3835</v>
      </c>
      <c r="AA850" s="12" t="s">
        <v>6912</v>
      </c>
      <c r="AB850" s="14" t="s">
        <v>3884</v>
      </c>
      <c r="AD850" s="12" t="s">
        <v>764</v>
      </c>
    </row>
    <row r="851" spans="1:30" ht="27.6" x14ac:dyDescent="0.3">
      <c r="A851" s="1"/>
      <c r="B851" s="1" t="s">
        <v>6889</v>
      </c>
      <c r="C851" s="1" t="s">
        <v>6890</v>
      </c>
      <c r="D851" s="1" t="s">
        <v>6891</v>
      </c>
      <c r="E851" s="1" t="s">
        <v>6892</v>
      </c>
      <c r="F851" s="1" t="s">
        <v>6893</v>
      </c>
      <c r="G851" s="1" t="s">
        <v>6894</v>
      </c>
      <c r="H851" s="1" t="s">
        <v>6895</v>
      </c>
      <c r="I851" s="1" t="s">
        <v>6896</v>
      </c>
      <c r="J851" s="1" t="s">
        <v>1060</v>
      </c>
      <c r="K851" s="1" t="s">
        <v>39</v>
      </c>
      <c r="L851" s="1" t="s">
        <v>1025</v>
      </c>
      <c r="M851" s="1" t="s">
        <v>42</v>
      </c>
      <c r="N851" s="1"/>
      <c r="O851" s="1" t="s">
        <v>31</v>
      </c>
      <c r="P851" s="1"/>
      <c r="Q851" s="1"/>
      <c r="R851" s="1" t="s">
        <v>5480</v>
      </c>
      <c r="S851" s="1" t="s">
        <v>6897</v>
      </c>
      <c r="T851" s="15">
        <v>2023</v>
      </c>
      <c r="U851" s="3" t="s">
        <v>45</v>
      </c>
      <c r="V851" s="13" t="s">
        <v>29</v>
      </c>
      <c r="Y851" s="44" t="s">
        <v>10083</v>
      </c>
      <c r="Z851" s="14" t="s">
        <v>3835</v>
      </c>
      <c r="AA851" s="12" t="s">
        <v>4915</v>
      </c>
      <c r="AB851" s="14" t="s">
        <v>3884</v>
      </c>
      <c r="AD851" s="12" t="s">
        <v>764</v>
      </c>
    </row>
    <row r="852" spans="1:30" hidden="1" x14ac:dyDescent="0.3">
      <c r="A852" s="1"/>
      <c r="B852" s="1" t="s">
        <v>6898</v>
      </c>
      <c r="C852" s="1" t="s">
        <v>6899</v>
      </c>
      <c r="D852" s="1" t="s">
        <v>6900</v>
      </c>
      <c r="E852" s="1"/>
      <c r="F852" s="1" t="s">
        <v>6901</v>
      </c>
      <c r="G852" s="1"/>
      <c r="H852" s="1"/>
      <c r="I852" s="1"/>
      <c r="J852" s="1" t="s">
        <v>72</v>
      </c>
      <c r="K852" s="1" t="s">
        <v>39</v>
      </c>
      <c r="L852" s="1" t="s">
        <v>6902</v>
      </c>
      <c r="M852" s="1" t="s">
        <v>141</v>
      </c>
      <c r="N852" s="1" t="s">
        <v>6903</v>
      </c>
      <c r="O852" s="1" t="s">
        <v>31</v>
      </c>
      <c r="P852" s="1"/>
      <c r="Q852" s="1"/>
      <c r="R852" s="1" t="s">
        <v>5480</v>
      </c>
      <c r="S852" s="1" t="s">
        <v>6904</v>
      </c>
      <c r="T852" s="15">
        <v>2023</v>
      </c>
      <c r="U852" s="3" t="s">
        <v>45</v>
      </c>
      <c r="V852" s="13" t="s">
        <v>29</v>
      </c>
      <c r="X852" s="12">
        <v>10</v>
      </c>
      <c r="Z852" s="14" t="s">
        <v>3828</v>
      </c>
      <c r="AA852" s="12" t="s">
        <v>3019</v>
      </c>
      <c r="AB852" s="14" t="s">
        <v>3888</v>
      </c>
      <c r="AD852" s="12" t="s">
        <v>764</v>
      </c>
    </row>
    <row r="853" spans="1:30" hidden="1" x14ac:dyDescent="0.3">
      <c r="A853" s="1" t="s">
        <v>2039</v>
      </c>
      <c r="B853" s="1" t="s">
        <v>6905</v>
      </c>
      <c r="C853" s="1" t="s">
        <v>523</v>
      </c>
      <c r="D853" s="1" t="s">
        <v>6906</v>
      </c>
      <c r="E853" s="1" t="s">
        <v>6907</v>
      </c>
      <c r="F853" s="1" t="s">
        <v>6908</v>
      </c>
      <c r="G853" s="1"/>
      <c r="H853" s="1"/>
      <c r="I853" s="1"/>
      <c r="J853" s="1" t="s">
        <v>6909</v>
      </c>
      <c r="K853" s="1" t="s">
        <v>39</v>
      </c>
      <c r="L853" s="1" t="s">
        <v>6910</v>
      </c>
      <c r="M853" s="1" t="s">
        <v>42</v>
      </c>
      <c r="N853" s="1"/>
      <c r="O853" s="1" t="s">
        <v>31</v>
      </c>
      <c r="P853" s="1"/>
      <c r="Q853" s="1"/>
      <c r="R853" s="1" t="s">
        <v>5359</v>
      </c>
      <c r="S853" s="1" t="s">
        <v>6911</v>
      </c>
      <c r="T853" s="15">
        <v>2023</v>
      </c>
      <c r="U853" s="3" t="s">
        <v>5765</v>
      </c>
      <c r="V853" s="13" t="s">
        <v>29</v>
      </c>
      <c r="X853" s="12">
        <v>5</v>
      </c>
      <c r="Y853" s="44">
        <v>45366</v>
      </c>
      <c r="Z853" s="14" t="s">
        <v>2148</v>
      </c>
      <c r="AA853" s="12" t="s">
        <v>520</v>
      </c>
      <c r="AB853" s="14" t="s">
        <v>3890</v>
      </c>
      <c r="AD853" s="12" t="s">
        <v>764</v>
      </c>
    </row>
    <row r="854" spans="1:30" ht="27.6" x14ac:dyDescent="0.3">
      <c r="A854" s="1" t="s">
        <v>2039</v>
      </c>
      <c r="B854" s="4" t="s">
        <v>6913</v>
      </c>
      <c r="C854" s="4" t="s">
        <v>229</v>
      </c>
      <c r="D854" s="1" t="s">
        <v>6914</v>
      </c>
      <c r="E854" s="1" t="s">
        <v>6915</v>
      </c>
      <c r="F854" s="1" t="s">
        <v>6916</v>
      </c>
      <c r="G854" s="1" t="s">
        <v>6917</v>
      </c>
      <c r="H854" s="1"/>
      <c r="I854" s="1"/>
      <c r="J854" s="1" t="s">
        <v>5506</v>
      </c>
      <c r="K854" s="1" t="s">
        <v>39</v>
      </c>
      <c r="L854" s="1" t="s">
        <v>6918</v>
      </c>
      <c r="M854" s="1" t="s">
        <v>42</v>
      </c>
      <c r="N854" s="1"/>
      <c r="O854" s="1" t="s">
        <v>31</v>
      </c>
      <c r="P854" s="1"/>
      <c r="Q854" s="1"/>
      <c r="R854" s="1" t="s">
        <v>5480</v>
      </c>
      <c r="S854" s="1" t="s">
        <v>6919</v>
      </c>
      <c r="T854" s="15">
        <v>2023</v>
      </c>
      <c r="U854" s="3" t="s">
        <v>45</v>
      </c>
      <c r="V854" s="13" t="s">
        <v>29</v>
      </c>
      <c r="Y854" s="44" t="s">
        <v>10083</v>
      </c>
      <c r="Z854" s="14" t="s">
        <v>3835</v>
      </c>
      <c r="AA854" s="12" t="s">
        <v>4915</v>
      </c>
      <c r="AB854" s="14" t="s">
        <v>3884</v>
      </c>
      <c r="AD854" s="12" t="s">
        <v>764</v>
      </c>
    </row>
    <row r="855" spans="1:30" hidden="1" x14ac:dyDescent="0.3">
      <c r="A855" s="1"/>
      <c r="B855" s="1" t="s">
        <v>6920</v>
      </c>
      <c r="C855" s="1" t="s">
        <v>320</v>
      </c>
      <c r="D855" s="1" t="s">
        <v>6921</v>
      </c>
      <c r="E855" s="1" t="s">
        <v>6922</v>
      </c>
      <c r="F855" s="1" t="s">
        <v>6923</v>
      </c>
      <c r="G855" s="1"/>
      <c r="H855" s="1" t="s">
        <v>4838</v>
      </c>
      <c r="I855" s="1" t="s">
        <v>6924</v>
      </c>
      <c r="J855" s="1" t="s">
        <v>4924</v>
      </c>
      <c r="K855" s="1" t="s">
        <v>39</v>
      </c>
      <c r="L855" s="1" t="s">
        <v>4866</v>
      </c>
      <c r="M855" s="1" t="s">
        <v>141</v>
      </c>
      <c r="N855" s="1"/>
      <c r="O855" s="1" t="s">
        <v>31</v>
      </c>
      <c r="P855" s="1"/>
      <c r="Q855" s="1"/>
      <c r="R855" s="1" t="s">
        <v>5371</v>
      </c>
      <c r="S855" s="1" t="s">
        <v>6925</v>
      </c>
      <c r="T855" s="15">
        <v>2023</v>
      </c>
      <c r="U855" s="3" t="s">
        <v>45</v>
      </c>
      <c r="V855" s="13" t="s">
        <v>29</v>
      </c>
      <c r="X855" s="12">
        <v>10</v>
      </c>
      <c r="Z855" s="14" t="s">
        <v>3828</v>
      </c>
      <c r="AA855" s="12" t="s">
        <v>4866</v>
      </c>
      <c r="AB855" s="14" t="s">
        <v>3887</v>
      </c>
      <c r="AD855" s="12" t="s">
        <v>764</v>
      </c>
    </row>
    <row r="856" spans="1:30" ht="41.4" hidden="1" x14ac:dyDescent="0.3">
      <c r="A856" s="1"/>
      <c r="B856" s="1" t="s">
        <v>6926</v>
      </c>
      <c r="C856" s="1" t="s">
        <v>523</v>
      </c>
      <c r="D856" s="1" t="s">
        <v>6927</v>
      </c>
      <c r="E856" s="1" t="s">
        <v>6928</v>
      </c>
      <c r="F856" s="1" t="s">
        <v>6929</v>
      </c>
      <c r="G856" s="1" t="s">
        <v>6930</v>
      </c>
      <c r="H856" s="1" t="s">
        <v>756</v>
      </c>
      <c r="I856" s="1"/>
      <c r="J856" s="1" t="s">
        <v>5416</v>
      </c>
      <c r="K856" s="1" t="s">
        <v>39</v>
      </c>
      <c r="L856" s="1" t="s">
        <v>6931</v>
      </c>
      <c r="M856" s="1" t="s">
        <v>141</v>
      </c>
      <c r="N856" s="1"/>
      <c r="O856" s="1" t="s">
        <v>31</v>
      </c>
      <c r="P856" s="1"/>
      <c r="Q856" s="1"/>
      <c r="R856" s="1" t="s">
        <v>5359</v>
      </c>
      <c r="S856" s="1" t="s">
        <v>6932</v>
      </c>
      <c r="T856" s="15">
        <v>2023</v>
      </c>
      <c r="U856" s="3" t="s">
        <v>5765</v>
      </c>
      <c r="V856" s="13" t="s">
        <v>29</v>
      </c>
      <c r="X856" s="12">
        <v>10</v>
      </c>
      <c r="Z856" s="14" t="s">
        <v>3835</v>
      </c>
      <c r="AA856" s="12" t="s">
        <v>5353</v>
      </c>
      <c r="AB856" s="14" t="s">
        <v>3884</v>
      </c>
      <c r="AD856" s="12" t="s">
        <v>764</v>
      </c>
    </row>
    <row r="857" spans="1:30" ht="27.6" hidden="1" x14ac:dyDescent="0.3">
      <c r="A857" s="1"/>
      <c r="B857" s="1" t="s">
        <v>6933</v>
      </c>
      <c r="C857" s="1" t="s">
        <v>6934</v>
      </c>
      <c r="D857" s="1" t="s">
        <v>6935</v>
      </c>
      <c r="E857" s="1"/>
      <c r="F857" s="1" t="s">
        <v>6936</v>
      </c>
      <c r="G857" s="1"/>
      <c r="H857" s="1"/>
      <c r="I857" s="1"/>
      <c r="J857" s="1" t="s">
        <v>72</v>
      </c>
      <c r="K857" s="1" t="s">
        <v>39</v>
      </c>
      <c r="L857" s="1" t="s">
        <v>6937</v>
      </c>
      <c r="M857" s="1" t="s">
        <v>141</v>
      </c>
      <c r="N857" s="1"/>
      <c r="O857" s="1" t="s">
        <v>31</v>
      </c>
      <c r="P857" s="1"/>
      <c r="Q857" s="1"/>
      <c r="R857" s="1" t="s">
        <v>5359</v>
      </c>
      <c r="S857" s="1" t="s">
        <v>6938</v>
      </c>
      <c r="T857" s="15">
        <v>2023</v>
      </c>
      <c r="U857" s="3" t="s">
        <v>5765</v>
      </c>
      <c r="V857" s="13" t="s">
        <v>29</v>
      </c>
      <c r="X857" s="12">
        <v>5</v>
      </c>
      <c r="Z857" s="14" t="s">
        <v>3835</v>
      </c>
      <c r="AA857" s="12" t="s">
        <v>4867</v>
      </c>
      <c r="AB857" s="14" t="s">
        <v>3884</v>
      </c>
      <c r="AD857" s="12" t="s">
        <v>764</v>
      </c>
    </row>
    <row r="858" spans="1:30" hidden="1" x14ac:dyDescent="0.3">
      <c r="A858" s="1"/>
      <c r="B858" s="1" t="s">
        <v>6939</v>
      </c>
      <c r="C858" s="1" t="s">
        <v>6940</v>
      </c>
      <c r="D858" s="1" t="s">
        <v>6941</v>
      </c>
      <c r="E858" s="1" t="s">
        <v>6942</v>
      </c>
      <c r="F858" s="1" t="s">
        <v>6943</v>
      </c>
      <c r="G858" s="1" t="s">
        <v>6944</v>
      </c>
      <c r="H858" s="1" t="s">
        <v>6945</v>
      </c>
      <c r="I858" s="1"/>
      <c r="J858" s="1" t="s">
        <v>6946</v>
      </c>
      <c r="K858" s="1" t="s">
        <v>39</v>
      </c>
      <c r="L858" s="1" t="s">
        <v>6947</v>
      </c>
      <c r="M858" s="1" t="s">
        <v>141</v>
      </c>
      <c r="N858" s="1"/>
      <c r="O858" s="1" t="s">
        <v>31</v>
      </c>
      <c r="P858" s="1"/>
      <c r="Q858" s="1"/>
      <c r="R858" s="1" t="s">
        <v>5359</v>
      </c>
      <c r="S858" s="1" t="s">
        <v>6948</v>
      </c>
      <c r="T858" s="15">
        <v>2023</v>
      </c>
      <c r="U858" s="3" t="s">
        <v>45</v>
      </c>
      <c r="V858" s="13" t="s">
        <v>29</v>
      </c>
      <c r="X858" s="12">
        <v>20</v>
      </c>
      <c r="Z858" s="14" t="s">
        <v>3835</v>
      </c>
      <c r="AA858" s="12" t="s">
        <v>6394</v>
      </c>
      <c r="AB858" s="14" t="s">
        <v>3884</v>
      </c>
      <c r="AD858" s="12" t="s">
        <v>764</v>
      </c>
    </row>
    <row r="859" spans="1:30" hidden="1" x14ac:dyDescent="0.3">
      <c r="A859" s="1"/>
      <c r="B859" s="1" t="s">
        <v>345</v>
      </c>
      <c r="C859" s="1" t="s">
        <v>320</v>
      </c>
      <c r="D859" s="1" t="s">
        <v>6949</v>
      </c>
      <c r="E859" s="1" t="s">
        <v>6950</v>
      </c>
      <c r="F859" s="1" t="s">
        <v>6951</v>
      </c>
      <c r="G859" s="1"/>
      <c r="H859" s="1"/>
      <c r="I859" s="1"/>
      <c r="J859" s="1" t="s">
        <v>6952</v>
      </c>
      <c r="K859" s="1" t="s">
        <v>39</v>
      </c>
      <c r="L859" s="1" t="s">
        <v>6953</v>
      </c>
      <c r="M859" s="1" t="s">
        <v>141</v>
      </c>
      <c r="N859" s="1"/>
      <c r="O859" s="1" t="s">
        <v>31</v>
      </c>
      <c r="P859" s="1"/>
      <c r="Q859" s="1"/>
      <c r="R859" s="1" t="s">
        <v>5371</v>
      </c>
      <c r="S859" s="1" t="s">
        <v>6954</v>
      </c>
      <c r="T859" s="15">
        <v>2023</v>
      </c>
      <c r="U859" s="3" t="s">
        <v>45</v>
      </c>
      <c r="V859" s="13" t="s">
        <v>29</v>
      </c>
      <c r="X859" s="12">
        <v>10</v>
      </c>
      <c r="Z859" s="14" t="s">
        <v>3828</v>
      </c>
      <c r="AA859" s="12" t="s">
        <v>6955</v>
      </c>
      <c r="AB859" s="14" t="s">
        <v>3888</v>
      </c>
      <c r="AD859" s="12" t="s">
        <v>764</v>
      </c>
    </row>
    <row r="860" spans="1:30" ht="27.6" hidden="1" x14ac:dyDescent="0.3">
      <c r="A860" s="1" t="s">
        <v>22</v>
      </c>
      <c r="B860" s="4" t="s">
        <v>2477</v>
      </c>
      <c r="C860" s="4" t="s">
        <v>494</v>
      </c>
      <c r="D860" s="1" t="s">
        <v>6956</v>
      </c>
      <c r="E860" s="1" t="s">
        <v>6957</v>
      </c>
      <c r="F860" s="1" t="s">
        <v>6958</v>
      </c>
      <c r="G860" s="1" t="s">
        <v>6959</v>
      </c>
      <c r="H860" s="1" t="s">
        <v>6960</v>
      </c>
      <c r="I860" s="1" t="s">
        <v>2057</v>
      </c>
      <c r="J860" s="1" t="s">
        <v>5469</v>
      </c>
      <c r="K860" s="1" t="s">
        <v>39</v>
      </c>
      <c r="L860" s="1" t="s">
        <v>6961</v>
      </c>
      <c r="M860" s="1" t="s">
        <v>141</v>
      </c>
      <c r="N860" s="1"/>
      <c r="O860" s="1" t="s">
        <v>31</v>
      </c>
      <c r="P860" s="1"/>
      <c r="Q860" s="1"/>
      <c r="R860" s="1" t="s">
        <v>6962</v>
      </c>
      <c r="S860" s="1" t="s">
        <v>6963</v>
      </c>
      <c r="T860" s="15">
        <v>2024</v>
      </c>
      <c r="U860" s="3" t="s">
        <v>5765</v>
      </c>
      <c r="V860" s="13" t="s">
        <v>29</v>
      </c>
      <c r="X860" s="12">
        <v>10</v>
      </c>
      <c r="Z860" s="14" t="s">
        <v>3835</v>
      </c>
      <c r="AA860" s="12" t="s">
        <v>7034</v>
      </c>
      <c r="AB860" s="14" t="s">
        <v>3884</v>
      </c>
      <c r="AD860" s="12" t="s">
        <v>764</v>
      </c>
    </row>
    <row r="861" spans="1:30" hidden="1" x14ac:dyDescent="0.3">
      <c r="A861" s="1"/>
      <c r="B861" s="1" t="s">
        <v>6964</v>
      </c>
      <c r="C861" s="1" t="s">
        <v>1732</v>
      </c>
      <c r="D861" s="1" t="s">
        <v>6965</v>
      </c>
      <c r="E861" s="1" t="s">
        <v>6966</v>
      </c>
      <c r="F861" s="1" t="s">
        <v>6967</v>
      </c>
      <c r="G861" s="1" t="s">
        <v>6968</v>
      </c>
      <c r="H861" s="1" t="s">
        <v>6969</v>
      </c>
      <c r="I861" s="1" t="s">
        <v>6970</v>
      </c>
      <c r="J861" s="1" t="s">
        <v>6971</v>
      </c>
      <c r="K861" s="1" t="s">
        <v>39</v>
      </c>
      <c r="L861" s="1" t="s">
        <v>965</v>
      </c>
      <c r="M861" s="1" t="s">
        <v>42</v>
      </c>
      <c r="N861" s="1"/>
      <c r="O861" s="1" t="s">
        <v>31</v>
      </c>
      <c r="P861" s="1"/>
      <c r="Q861" s="1"/>
      <c r="R861" s="1" t="s">
        <v>5371</v>
      </c>
      <c r="S861" s="1" t="s">
        <v>6972</v>
      </c>
      <c r="T861" s="15">
        <v>2024</v>
      </c>
      <c r="U861" s="3" t="s">
        <v>5765</v>
      </c>
      <c r="V861" s="13" t="s">
        <v>29</v>
      </c>
      <c r="X861" s="12">
        <v>5</v>
      </c>
      <c r="Z861" s="14" t="s">
        <v>3835</v>
      </c>
      <c r="AA861" s="12" t="s">
        <v>4915</v>
      </c>
      <c r="AB861" s="14" t="s">
        <v>3884</v>
      </c>
      <c r="AD861" s="12" t="s">
        <v>764</v>
      </c>
    </row>
    <row r="862" spans="1:30" hidden="1" x14ac:dyDescent="0.3">
      <c r="A862" s="1" t="s">
        <v>22</v>
      </c>
      <c r="B862" s="1" t="s">
        <v>5782</v>
      </c>
      <c r="C862" s="1" t="s">
        <v>320</v>
      </c>
      <c r="D862" s="1" t="s">
        <v>6973</v>
      </c>
      <c r="E862" s="1" t="s">
        <v>6974</v>
      </c>
      <c r="F862" s="1" t="s">
        <v>6975</v>
      </c>
      <c r="G862" s="1" t="s">
        <v>6976</v>
      </c>
      <c r="H862" s="1" t="s">
        <v>6977</v>
      </c>
      <c r="I862" s="1" t="s">
        <v>6978</v>
      </c>
      <c r="J862" s="1" t="s">
        <v>6979</v>
      </c>
      <c r="K862" s="1" t="s">
        <v>39</v>
      </c>
      <c r="L862" s="1" t="s">
        <v>6980</v>
      </c>
      <c r="M862" s="1" t="s">
        <v>141</v>
      </c>
      <c r="N862" s="1"/>
      <c r="O862" s="1" t="s">
        <v>31</v>
      </c>
      <c r="P862" s="1"/>
      <c r="Q862" s="1"/>
      <c r="R862" s="1" t="s">
        <v>5359</v>
      </c>
      <c r="S862" s="1" t="s">
        <v>6981</v>
      </c>
      <c r="T862" s="15">
        <v>2024</v>
      </c>
      <c r="U862" s="3" t="s">
        <v>5765</v>
      </c>
      <c r="V862" s="13" t="s">
        <v>29</v>
      </c>
      <c r="X862" s="12">
        <v>5</v>
      </c>
      <c r="Z862" s="14" t="s">
        <v>3828</v>
      </c>
      <c r="AA862" s="12" t="s">
        <v>3019</v>
      </c>
      <c r="AB862" s="14" t="s">
        <v>3888</v>
      </c>
      <c r="AD862" s="12" t="s">
        <v>764</v>
      </c>
    </row>
    <row r="863" spans="1:30" ht="55.2" hidden="1" x14ac:dyDescent="0.3">
      <c r="A863" s="1" t="s">
        <v>2635</v>
      </c>
      <c r="B863" s="1" t="s">
        <v>6982</v>
      </c>
      <c r="C863" s="1" t="s">
        <v>181</v>
      </c>
      <c r="D863" s="1" t="s">
        <v>6983</v>
      </c>
      <c r="E863" s="1" t="s">
        <v>6984</v>
      </c>
      <c r="F863" s="1" t="s">
        <v>6985</v>
      </c>
      <c r="G863" s="1" t="s">
        <v>6986</v>
      </c>
      <c r="H863" s="1" t="s">
        <v>3699</v>
      </c>
      <c r="I863" s="1" t="s">
        <v>6987</v>
      </c>
      <c r="J863" s="1" t="s">
        <v>6988</v>
      </c>
      <c r="K863" s="1" t="s">
        <v>39</v>
      </c>
      <c r="L863" s="1" t="s">
        <v>6989</v>
      </c>
      <c r="M863" s="1" t="s">
        <v>141</v>
      </c>
      <c r="N863" s="1"/>
      <c r="O863" s="1" t="s">
        <v>31</v>
      </c>
      <c r="P863" s="1"/>
      <c r="Q863" s="1"/>
      <c r="R863" s="1" t="s">
        <v>6962</v>
      </c>
      <c r="S863" s="1" t="s">
        <v>6990</v>
      </c>
      <c r="T863" s="15">
        <v>2024</v>
      </c>
      <c r="U863" s="3" t="s">
        <v>5765</v>
      </c>
      <c r="V863" s="13" t="s">
        <v>29</v>
      </c>
      <c r="X863" s="12">
        <v>5</v>
      </c>
      <c r="Z863" s="14" t="s">
        <v>2148</v>
      </c>
      <c r="AA863" s="12" t="s">
        <v>7035</v>
      </c>
      <c r="AB863" s="14" t="s">
        <v>4594</v>
      </c>
      <c r="AD863" s="12" t="s">
        <v>764</v>
      </c>
    </row>
    <row r="864" spans="1:30" hidden="1" x14ac:dyDescent="0.3">
      <c r="A864" s="1"/>
      <c r="B864" s="1" t="s">
        <v>4610</v>
      </c>
      <c r="C864" s="1" t="s">
        <v>6808</v>
      </c>
      <c r="D864" s="1" t="s">
        <v>6991</v>
      </c>
      <c r="E864" s="1"/>
      <c r="F864" s="1" t="s">
        <v>6992</v>
      </c>
      <c r="G864" s="1"/>
      <c r="H864" s="1"/>
      <c r="I864" s="1"/>
      <c r="J864" s="1" t="s">
        <v>5810</v>
      </c>
      <c r="K864" s="1" t="s">
        <v>39</v>
      </c>
      <c r="L864" s="1" t="s">
        <v>6993</v>
      </c>
      <c r="M864" s="1" t="s">
        <v>42</v>
      </c>
      <c r="N864" s="1"/>
      <c r="O864" s="1" t="s">
        <v>31</v>
      </c>
      <c r="P864" s="1"/>
      <c r="Q864" s="1"/>
      <c r="R864" s="1" t="s">
        <v>5359</v>
      </c>
      <c r="S864" s="1" t="s">
        <v>6994</v>
      </c>
      <c r="T864" s="15">
        <v>2024</v>
      </c>
      <c r="U864" s="3" t="s">
        <v>5765</v>
      </c>
      <c r="V864" s="13" t="s">
        <v>29</v>
      </c>
      <c r="X864" s="12">
        <v>5</v>
      </c>
      <c r="Z864" s="14" t="s">
        <v>3835</v>
      </c>
      <c r="AA864" s="12" t="s">
        <v>7034</v>
      </c>
      <c r="AB864" s="14" t="s">
        <v>3884</v>
      </c>
      <c r="AD864" s="12" t="s">
        <v>764</v>
      </c>
    </row>
    <row r="865" spans="1:30" hidden="1" x14ac:dyDescent="0.3">
      <c r="A865" s="1" t="s">
        <v>254</v>
      </c>
      <c r="B865" s="1" t="s">
        <v>6995</v>
      </c>
      <c r="C865" s="1" t="s">
        <v>1321</v>
      </c>
      <c r="D865" s="1" t="s">
        <v>6996</v>
      </c>
      <c r="E865" s="1" t="s">
        <v>6997</v>
      </c>
      <c r="F865" s="1" t="s">
        <v>6998</v>
      </c>
      <c r="G865" s="1" t="s">
        <v>6999</v>
      </c>
      <c r="H865" s="1" t="s">
        <v>7000</v>
      </c>
      <c r="I865" s="1" t="s">
        <v>7001</v>
      </c>
      <c r="J865" s="1" t="s">
        <v>72</v>
      </c>
      <c r="K865" s="1" t="s">
        <v>39</v>
      </c>
      <c r="L865" s="1" t="s">
        <v>7002</v>
      </c>
      <c r="M865" s="1" t="s">
        <v>141</v>
      </c>
      <c r="N865" s="1"/>
      <c r="O865" s="1" t="s">
        <v>31</v>
      </c>
      <c r="P865" s="1"/>
      <c r="Q865" s="1"/>
      <c r="R865" s="1" t="s">
        <v>5480</v>
      </c>
      <c r="S865" s="1" t="s">
        <v>7003</v>
      </c>
      <c r="T865" s="15">
        <v>2024</v>
      </c>
      <c r="U865" s="3" t="s">
        <v>5765</v>
      </c>
      <c r="V865" s="13" t="s">
        <v>29</v>
      </c>
      <c r="X865" s="12">
        <v>5</v>
      </c>
      <c r="Z865" s="14" t="s">
        <v>2148</v>
      </c>
      <c r="AA865" s="12" t="s">
        <v>7036</v>
      </c>
      <c r="AB865" s="14" t="s">
        <v>3891</v>
      </c>
      <c r="AD865" s="12" t="s">
        <v>764</v>
      </c>
    </row>
    <row r="866" spans="1:30" ht="27.6" hidden="1" x14ac:dyDescent="0.3">
      <c r="A866" s="1" t="s">
        <v>4915</v>
      </c>
      <c r="B866" s="1" t="s">
        <v>7004</v>
      </c>
      <c r="C866" s="1" t="s">
        <v>671</v>
      </c>
      <c r="D866" s="1" t="s">
        <v>7005</v>
      </c>
      <c r="E866" s="1" t="s">
        <v>7006</v>
      </c>
      <c r="F866" s="1" t="s">
        <v>7007</v>
      </c>
      <c r="G866" s="1" t="s">
        <v>7008</v>
      </c>
      <c r="H866" s="1" t="s">
        <v>7009</v>
      </c>
      <c r="I866" s="1" t="s">
        <v>7010</v>
      </c>
      <c r="J866" s="1" t="s">
        <v>7011</v>
      </c>
      <c r="K866" s="1" t="s">
        <v>39</v>
      </c>
      <c r="L866" s="1" t="s">
        <v>7012</v>
      </c>
      <c r="M866" s="1" t="s">
        <v>42</v>
      </c>
      <c r="N866" s="1"/>
      <c r="O866" s="1" t="s">
        <v>31</v>
      </c>
      <c r="P866" s="1"/>
      <c r="Q866" s="1"/>
      <c r="R866" s="1" t="s">
        <v>5480</v>
      </c>
      <c r="S866" s="1" t="s">
        <v>7013</v>
      </c>
      <c r="T866" s="15">
        <v>2024</v>
      </c>
      <c r="U866" s="3" t="s">
        <v>5765</v>
      </c>
      <c r="V866" s="13" t="s">
        <v>29</v>
      </c>
      <c r="X866" s="12">
        <v>5</v>
      </c>
      <c r="Y866" s="44">
        <v>45366</v>
      </c>
      <c r="Z866" s="14" t="s">
        <v>3835</v>
      </c>
      <c r="AA866" s="12" t="s">
        <v>4915</v>
      </c>
      <c r="AB866" s="14" t="s">
        <v>3884</v>
      </c>
      <c r="AD866" s="12" t="s">
        <v>764</v>
      </c>
    </row>
    <row r="867" spans="1:30" hidden="1" x14ac:dyDescent="0.3">
      <c r="A867" s="1"/>
      <c r="B867" s="1" t="s">
        <v>7014</v>
      </c>
      <c r="C867" s="1" t="s">
        <v>124</v>
      </c>
      <c r="D867" s="1" t="s">
        <v>7015</v>
      </c>
      <c r="E867" s="1" t="s">
        <v>7016</v>
      </c>
      <c r="F867" s="1" t="s">
        <v>7017</v>
      </c>
      <c r="G867" s="1" t="s">
        <v>7018</v>
      </c>
      <c r="H867" s="1" t="s">
        <v>7019</v>
      </c>
      <c r="I867" s="1" t="s">
        <v>7020</v>
      </c>
      <c r="J867" s="1" t="s">
        <v>7021</v>
      </c>
      <c r="K867" s="1" t="s">
        <v>39</v>
      </c>
      <c r="L867" s="1" t="s">
        <v>7022</v>
      </c>
      <c r="M867" s="1" t="s">
        <v>141</v>
      </c>
      <c r="N867" s="1"/>
      <c r="O867" s="1" t="s">
        <v>31</v>
      </c>
      <c r="P867" s="1"/>
      <c r="Q867" s="1"/>
      <c r="R867" s="1" t="s">
        <v>5371</v>
      </c>
      <c r="S867" s="1" t="s">
        <v>7023</v>
      </c>
      <c r="T867" s="15">
        <v>2024</v>
      </c>
      <c r="U867" s="3" t="s">
        <v>5765</v>
      </c>
      <c r="V867" s="13" t="s">
        <v>29</v>
      </c>
      <c r="X867" s="12">
        <v>10</v>
      </c>
      <c r="Y867" s="44">
        <v>45366</v>
      </c>
      <c r="Z867" s="14" t="s">
        <v>3828</v>
      </c>
      <c r="AA867" s="12" t="s">
        <v>7037</v>
      </c>
      <c r="AB867" s="14" t="s">
        <v>3888</v>
      </c>
      <c r="AD867" s="12" t="s">
        <v>764</v>
      </c>
    </row>
    <row r="868" spans="1:30" hidden="1" x14ac:dyDescent="0.3">
      <c r="A868" s="1" t="s">
        <v>100</v>
      </c>
      <c r="B868" s="1" t="s">
        <v>2857</v>
      </c>
      <c r="C868" s="1" t="s">
        <v>7024</v>
      </c>
      <c r="D868" s="1" t="s">
        <v>7025</v>
      </c>
      <c r="E868" s="1" t="s">
        <v>7026</v>
      </c>
      <c r="F868" s="1" t="s">
        <v>7027</v>
      </c>
      <c r="G868" s="1" t="s">
        <v>7028</v>
      </c>
      <c r="H868" s="1" t="s">
        <v>7029</v>
      </c>
      <c r="I868" s="1" t="s">
        <v>7030</v>
      </c>
      <c r="J868" s="1" t="s">
        <v>7031</v>
      </c>
      <c r="K868" s="1" t="s">
        <v>39</v>
      </c>
      <c r="L868" s="1" t="s">
        <v>7032</v>
      </c>
      <c r="M868" s="1" t="s">
        <v>141</v>
      </c>
      <c r="N868" s="1"/>
      <c r="O868" s="1" t="s">
        <v>31</v>
      </c>
      <c r="P868" s="1"/>
      <c r="Q868" s="1"/>
      <c r="R868" s="1" t="s">
        <v>5480</v>
      </c>
      <c r="S868" s="1" t="s">
        <v>7033</v>
      </c>
      <c r="T868" s="15">
        <v>2024</v>
      </c>
      <c r="U868" s="3" t="s">
        <v>5765</v>
      </c>
      <c r="V868" s="13" t="s">
        <v>29</v>
      </c>
      <c r="X868" s="12">
        <v>50</v>
      </c>
      <c r="Z868" s="14" t="s">
        <v>3828</v>
      </c>
      <c r="AA868" s="12" t="s">
        <v>5772</v>
      </c>
      <c r="AB868" s="14" t="s">
        <v>3888</v>
      </c>
      <c r="AD868" s="12" t="s">
        <v>764</v>
      </c>
    </row>
    <row r="869" spans="1:30" hidden="1" x14ac:dyDescent="0.3">
      <c r="A869" s="1"/>
      <c r="B869" s="4" t="s">
        <v>3521</v>
      </c>
      <c r="C869" s="4" t="s">
        <v>87</v>
      </c>
      <c r="D869" s="1" t="s">
        <v>7038</v>
      </c>
      <c r="E869" s="1"/>
      <c r="F869" s="1" t="s">
        <v>7039</v>
      </c>
      <c r="G869" s="1"/>
      <c r="H869" s="1"/>
      <c r="I869" s="1"/>
      <c r="J869" s="1" t="s">
        <v>72</v>
      </c>
      <c r="K869" s="1" t="s">
        <v>39</v>
      </c>
      <c r="L869" s="1" t="s">
        <v>7040</v>
      </c>
      <c r="M869" s="1" t="s">
        <v>141</v>
      </c>
      <c r="N869" s="1"/>
      <c r="O869" s="1" t="s">
        <v>31</v>
      </c>
      <c r="P869" s="1"/>
      <c r="Q869" s="1"/>
      <c r="R869" s="1" t="s">
        <v>6962</v>
      </c>
      <c r="S869" s="1" t="s">
        <v>7041</v>
      </c>
      <c r="T869" s="15">
        <v>2024</v>
      </c>
      <c r="U869" s="3" t="s">
        <v>5765</v>
      </c>
      <c r="V869" s="13" t="s">
        <v>29</v>
      </c>
      <c r="X869" s="12">
        <v>5</v>
      </c>
      <c r="Z869" s="14" t="s">
        <v>3828</v>
      </c>
      <c r="AA869" s="12" t="s">
        <v>6120</v>
      </c>
      <c r="AB869" s="14" t="s">
        <v>3887</v>
      </c>
      <c r="AD869" s="12" t="s">
        <v>764</v>
      </c>
    </row>
    <row r="870" spans="1:30" hidden="1" x14ac:dyDescent="0.3">
      <c r="A870" s="1"/>
      <c r="B870" s="1" t="s">
        <v>5749</v>
      </c>
      <c r="C870" s="1" t="s">
        <v>320</v>
      </c>
      <c r="D870" s="1" t="s">
        <v>7042</v>
      </c>
      <c r="E870" s="1" t="s">
        <v>7043</v>
      </c>
      <c r="F870" s="1" t="s">
        <v>7044</v>
      </c>
      <c r="G870" s="1" t="s">
        <v>7045</v>
      </c>
      <c r="H870" s="1" t="s">
        <v>7046</v>
      </c>
      <c r="I870" s="1" t="s">
        <v>7047</v>
      </c>
      <c r="J870" s="1" t="s">
        <v>7048</v>
      </c>
      <c r="K870" s="1" t="s">
        <v>39</v>
      </c>
      <c r="L870" s="1" t="s">
        <v>7049</v>
      </c>
      <c r="M870" s="1" t="s">
        <v>141</v>
      </c>
      <c r="N870" s="1"/>
      <c r="O870" s="1" t="s">
        <v>31</v>
      </c>
      <c r="P870" s="1"/>
      <c r="Q870" s="1"/>
      <c r="R870" s="1" t="s">
        <v>5359</v>
      </c>
      <c r="S870" s="1" t="s">
        <v>7050</v>
      </c>
      <c r="T870" s="15">
        <v>2024</v>
      </c>
      <c r="U870" s="3" t="s">
        <v>5765</v>
      </c>
      <c r="V870" s="13" t="s">
        <v>29</v>
      </c>
      <c r="X870" s="12">
        <v>15</v>
      </c>
      <c r="Z870" s="14" t="s">
        <v>3828</v>
      </c>
      <c r="AA870" s="12" t="s">
        <v>7134</v>
      </c>
      <c r="AB870" s="14" t="s">
        <v>3887</v>
      </c>
      <c r="AD870" s="12" t="s">
        <v>764</v>
      </c>
    </row>
    <row r="871" spans="1:30" hidden="1" x14ac:dyDescent="0.3">
      <c r="A871" s="1" t="s">
        <v>1262</v>
      </c>
      <c r="B871" s="1" t="s">
        <v>68</v>
      </c>
      <c r="C871" s="1" t="s">
        <v>7051</v>
      </c>
      <c r="D871" s="1" t="s">
        <v>7052</v>
      </c>
      <c r="E871" s="1" t="s">
        <v>7053</v>
      </c>
      <c r="F871" s="1" t="s">
        <v>7054</v>
      </c>
      <c r="G871" s="1" t="s">
        <v>7055</v>
      </c>
      <c r="H871" s="1" t="s">
        <v>7056</v>
      </c>
      <c r="I871" s="1"/>
      <c r="J871" s="1" t="s">
        <v>72</v>
      </c>
      <c r="K871" s="1" t="s">
        <v>39</v>
      </c>
      <c r="L871" s="1" t="s">
        <v>7057</v>
      </c>
      <c r="M871" s="1" t="s">
        <v>141</v>
      </c>
      <c r="N871" s="1"/>
      <c r="O871" s="1" t="s">
        <v>31</v>
      </c>
      <c r="P871" s="1"/>
      <c r="Q871" s="1"/>
      <c r="R871" s="1" t="s">
        <v>6962</v>
      </c>
      <c r="S871" s="1" t="s">
        <v>7058</v>
      </c>
      <c r="T871" s="15">
        <v>2024</v>
      </c>
      <c r="U871" s="3" t="s">
        <v>5765</v>
      </c>
      <c r="V871" s="13" t="s">
        <v>29</v>
      </c>
      <c r="X871" s="12">
        <v>5</v>
      </c>
      <c r="Z871" s="14" t="s">
        <v>3870</v>
      </c>
      <c r="AA871" s="12" t="s">
        <v>5775</v>
      </c>
      <c r="AB871" s="14" t="s">
        <v>3886</v>
      </c>
      <c r="AD871" s="12" t="s">
        <v>764</v>
      </c>
    </row>
    <row r="872" spans="1:30" ht="41.4" hidden="1" x14ac:dyDescent="0.3">
      <c r="A872" s="1"/>
      <c r="B872" s="1" t="s">
        <v>7059</v>
      </c>
      <c r="C872" s="1" t="s">
        <v>5822</v>
      </c>
      <c r="D872" s="1" t="s">
        <v>7060</v>
      </c>
      <c r="E872" s="1"/>
      <c r="F872" s="1" t="s">
        <v>7061</v>
      </c>
      <c r="G872" s="1" t="s">
        <v>7062</v>
      </c>
      <c r="H872" s="1" t="s">
        <v>7063</v>
      </c>
      <c r="I872" s="1" t="s">
        <v>7064</v>
      </c>
      <c r="J872" s="1" t="s">
        <v>284</v>
      </c>
      <c r="K872" s="1" t="s">
        <v>39</v>
      </c>
      <c r="L872" s="1" t="s">
        <v>7065</v>
      </c>
      <c r="M872" s="1" t="s">
        <v>141</v>
      </c>
      <c r="N872" s="1"/>
      <c r="O872" s="1" t="s">
        <v>31</v>
      </c>
      <c r="P872" s="1"/>
      <c r="Q872" s="1"/>
      <c r="R872" s="1" t="s">
        <v>6962</v>
      </c>
      <c r="S872" s="1" t="s">
        <v>7066</v>
      </c>
      <c r="T872" s="15">
        <v>2024</v>
      </c>
      <c r="U872" s="3" t="s">
        <v>5765</v>
      </c>
      <c r="V872" s="13" t="s">
        <v>29</v>
      </c>
      <c r="X872" s="12">
        <v>5</v>
      </c>
      <c r="Z872" s="14" t="s">
        <v>3835</v>
      </c>
      <c r="AA872" s="12" t="s">
        <v>5353</v>
      </c>
      <c r="AB872" s="14" t="s">
        <v>3884</v>
      </c>
      <c r="AD872" s="12" t="s">
        <v>764</v>
      </c>
    </row>
    <row r="873" spans="1:30" ht="27.6" x14ac:dyDescent="0.3">
      <c r="A873" s="1" t="s">
        <v>7067</v>
      </c>
      <c r="B873" s="1" t="s">
        <v>2150</v>
      </c>
      <c r="C873" s="1" t="s">
        <v>1051</v>
      </c>
      <c r="D873" s="1" t="s">
        <v>7068</v>
      </c>
      <c r="E873" s="1" t="s">
        <v>7069</v>
      </c>
      <c r="F873" s="1" t="s">
        <v>7070</v>
      </c>
      <c r="G873" s="1"/>
      <c r="H873" s="1"/>
      <c r="I873" s="1"/>
      <c r="J873" s="1" t="s">
        <v>7071</v>
      </c>
      <c r="K873" s="1" t="s">
        <v>39</v>
      </c>
      <c r="L873" s="1" t="s">
        <v>7072</v>
      </c>
      <c r="M873" s="1" t="s">
        <v>42</v>
      </c>
      <c r="N873" s="1"/>
      <c r="O873" s="1" t="s">
        <v>31</v>
      </c>
      <c r="P873" s="1"/>
      <c r="Q873" s="1"/>
      <c r="R873" s="1" t="s">
        <v>6962</v>
      </c>
      <c r="S873" s="1" t="s">
        <v>7073</v>
      </c>
      <c r="T873" s="15">
        <v>2024</v>
      </c>
      <c r="U873" s="3" t="s">
        <v>5765</v>
      </c>
      <c r="V873" s="13" t="s">
        <v>29</v>
      </c>
      <c r="Y873" s="44" t="s">
        <v>10083</v>
      </c>
      <c r="Z873" s="14" t="s">
        <v>3828</v>
      </c>
      <c r="AA873" s="12" t="s">
        <v>7135</v>
      </c>
      <c r="AB873" s="14" t="s">
        <v>3885</v>
      </c>
      <c r="AD873" s="12" t="s">
        <v>764</v>
      </c>
    </row>
    <row r="874" spans="1:30" ht="27.6" x14ac:dyDescent="0.3">
      <c r="A874" s="1" t="s">
        <v>1482</v>
      </c>
      <c r="B874" s="1" t="s">
        <v>7074</v>
      </c>
      <c r="C874" s="1" t="s">
        <v>1209</v>
      </c>
      <c r="D874" s="1" t="s">
        <v>7075</v>
      </c>
      <c r="E874" s="1" t="s">
        <v>7076</v>
      </c>
      <c r="F874" s="1" t="s">
        <v>7077</v>
      </c>
      <c r="G874" s="1"/>
      <c r="H874" s="1" t="s">
        <v>3730</v>
      </c>
      <c r="I874" s="1" t="s">
        <v>7078</v>
      </c>
      <c r="J874" s="1" t="s">
        <v>7079</v>
      </c>
      <c r="K874" s="1" t="s">
        <v>39</v>
      </c>
      <c r="L874" s="1" t="s">
        <v>7080</v>
      </c>
      <c r="M874" s="1" t="s">
        <v>42</v>
      </c>
      <c r="N874" s="1"/>
      <c r="O874" s="1" t="s">
        <v>31</v>
      </c>
      <c r="P874" s="1"/>
      <c r="Q874" s="1"/>
      <c r="R874" s="1" t="s">
        <v>6962</v>
      </c>
      <c r="S874" s="1" t="s">
        <v>7081</v>
      </c>
      <c r="T874" s="15">
        <v>2024</v>
      </c>
      <c r="U874" s="3" t="s">
        <v>5765</v>
      </c>
      <c r="V874" s="13" t="s">
        <v>29</v>
      </c>
      <c r="Y874" s="44" t="s">
        <v>10083</v>
      </c>
      <c r="Z874" s="14" t="s">
        <v>2148</v>
      </c>
      <c r="AA874" s="12" t="s">
        <v>7136</v>
      </c>
      <c r="AB874" s="14" t="s">
        <v>3891</v>
      </c>
      <c r="AD874" s="12" t="s">
        <v>764</v>
      </c>
    </row>
    <row r="875" spans="1:30" ht="41.4" hidden="1" x14ac:dyDescent="0.3">
      <c r="A875" s="1" t="s">
        <v>7082</v>
      </c>
      <c r="B875" s="1" t="s">
        <v>3147</v>
      </c>
      <c r="C875" s="1" t="s">
        <v>587</v>
      </c>
      <c r="D875" s="1" t="s">
        <v>7083</v>
      </c>
      <c r="E875" s="1" t="s">
        <v>7084</v>
      </c>
      <c r="F875" s="1" t="s">
        <v>7085</v>
      </c>
      <c r="G875" s="1" t="s">
        <v>7086</v>
      </c>
      <c r="H875" s="1" t="s">
        <v>7087</v>
      </c>
      <c r="I875" s="1" t="s">
        <v>7088</v>
      </c>
      <c r="J875" s="1" t="s">
        <v>72</v>
      </c>
      <c r="K875" s="1" t="s">
        <v>39</v>
      </c>
      <c r="L875" s="1" t="s">
        <v>7089</v>
      </c>
      <c r="M875" s="1" t="s">
        <v>42</v>
      </c>
      <c r="N875" s="1"/>
      <c r="O875" s="1" t="s">
        <v>31</v>
      </c>
      <c r="P875" s="1"/>
      <c r="Q875" s="1"/>
      <c r="R875" s="1" t="s">
        <v>6962</v>
      </c>
      <c r="S875" s="1" t="s">
        <v>7090</v>
      </c>
      <c r="T875" s="15">
        <v>2024</v>
      </c>
      <c r="U875" s="3" t="s">
        <v>5765</v>
      </c>
      <c r="V875" s="13" t="s">
        <v>29</v>
      </c>
      <c r="X875" s="12">
        <v>5</v>
      </c>
      <c r="Y875" s="44">
        <v>45366</v>
      </c>
      <c r="Z875" s="14" t="s">
        <v>2148</v>
      </c>
      <c r="AA875" s="12" t="s">
        <v>7136</v>
      </c>
      <c r="AB875" s="14" t="s">
        <v>3891</v>
      </c>
      <c r="AD875" s="12" t="s">
        <v>764</v>
      </c>
    </row>
    <row r="876" spans="1:30" hidden="1" x14ac:dyDescent="0.3">
      <c r="A876" s="1"/>
      <c r="B876" s="1" t="s">
        <v>7091</v>
      </c>
      <c r="C876" s="1" t="s">
        <v>99</v>
      </c>
      <c r="D876" s="1" t="s">
        <v>7092</v>
      </c>
      <c r="E876" s="1" t="s">
        <v>7093</v>
      </c>
      <c r="F876" s="1" t="s">
        <v>7094</v>
      </c>
      <c r="G876" s="1"/>
      <c r="H876" s="1" t="s">
        <v>7095</v>
      </c>
      <c r="I876" s="1" t="s">
        <v>7096</v>
      </c>
      <c r="J876" s="1" t="s">
        <v>7097</v>
      </c>
      <c r="K876" s="1" t="s">
        <v>7097</v>
      </c>
      <c r="L876" s="1" t="s">
        <v>1025</v>
      </c>
      <c r="M876" s="1" t="s">
        <v>141</v>
      </c>
      <c r="N876" s="1"/>
      <c r="O876" s="1" t="s">
        <v>31</v>
      </c>
      <c r="P876" s="1"/>
      <c r="Q876" s="1"/>
      <c r="R876" s="1" t="s">
        <v>6962</v>
      </c>
      <c r="S876" s="1" t="s">
        <v>7098</v>
      </c>
      <c r="T876" s="15">
        <v>2024</v>
      </c>
      <c r="U876" s="3" t="s">
        <v>5765</v>
      </c>
      <c r="V876" s="13" t="s">
        <v>29</v>
      </c>
      <c r="X876" s="12">
        <v>5</v>
      </c>
      <c r="Z876" s="14" t="s">
        <v>3835</v>
      </c>
      <c r="AA876" s="12" t="s">
        <v>4867</v>
      </c>
      <c r="AB876" s="14" t="s">
        <v>3884</v>
      </c>
      <c r="AD876" s="12" t="s">
        <v>764</v>
      </c>
    </row>
    <row r="877" spans="1:30" hidden="1" x14ac:dyDescent="0.3">
      <c r="A877" s="1" t="s">
        <v>4040</v>
      </c>
      <c r="B877" s="1" t="s">
        <v>7099</v>
      </c>
      <c r="C877" s="1" t="s">
        <v>466</v>
      </c>
      <c r="D877" s="1" t="s">
        <v>7100</v>
      </c>
      <c r="E877" s="1" t="s">
        <v>7101</v>
      </c>
      <c r="F877" s="1" t="s">
        <v>7102</v>
      </c>
      <c r="G877" s="1" t="s">
        <v>7103</v>
      </c>
      <c r="H877" s="1" t="s">
        <v>7104</v>
      </c>
      <c r="I877" s="1" t="s">
        <v>7105</v>
      </c>
      <c r="J877" s="1" t="s">
        <v>72</v>
      </c>
      <c r="K877" s="1" t="s">
        <v>39</v>
      </c>
      <c r="L877" s="1" t="s">
        <v>7106</v>
      </c>
      <c r="M877" s="1" t="s">
        <v>141</v>
      </c>
      <c r="N877" s="1"/>
      <c r="O877" s="1" t="s">
        <v>31</v>
      </c>
      <c r="P877" s="1"/>
      <c r="Q877" s="1"/>
      <c r="R877" s="1" t="s">
        <v>6962</v>
      </c>
      <c r="S877" s="1" t="s">
        <v>7107</v>
      </c>
      <c r="T877" s="15">
        <v>2024</v>
      </c>
      <c r="U877" s="3" t="s">
        <v>5765</v>
      </c>
      <c r="V877" s="13" t="s">
        <v>29</v>
      </c>
      <c r="X877" s="12">
        <v>5</v>
      </c>
      <c r="Z877" s="14" t="s">
        <v>3828</v>
      </c>
      <c r="AA877" s="12" t="s">
        <v>6775</v>
      </c>
      <c r="AB877" s="14" t="s">
        <v>3888</v>
      </c>
      <c r="AD877" s="12" t="s">
        <v>764</v>
      </c>
    </row>
    <row r="878" spans="1:30" hidden="1" x14ac:dyDescent="0.3">
      <c r="A878" s="1"/>
      <c r="B878" s="1" t="s">
        <v>7108</v>
      </c>
      <c r="C878" s="1" t="s">
        <v>309</v>
      </c>
      <c r="D878" s="1" t="s">
        <v>7137</v>
      </c>
      <c r="E878" s="1"/>
      <c r="F878" s="1" t="s">
        <v>7109</v>
      </c>
      <c r="G878" s="1"/>
      <c r="H878" s="1" t="s">
        <v>7110</v>
      </c>
      <c r="I878" s="1"/>
      <c r="J878" s="1" t="s">
        <v>72</v>
      </c>
      <c r="K878" s="1" t="s">
        <v>39</v>
      </c>
      <c r="L878" s="1" t="s">
        <v>7111</v>
      </c>
      <c r="M878" s="1" t="s">
        <v>141</v>
      </c>
      <c r="N878" s="1"/>
      <c r="O878" s="1" t="s">
        <v>31</v>
      </c>
      <c r="P878" s="1"/>
      <c r="Q878" s="1"/>
      <c r="R878" s="1" t="s">
        <v>5359</v>
      </c>
      <c r="S878" s="1" t="s">
        <v>7112</v>
      </c>
      <c r="T878" s="15">
        <v>2024</v>
      </c>
      <c r="U878" s="3" t="s">
        <v>5765</v>
      </c>
      <c r="V878" s="13" t="s">
        <v>29</v>
      </c>
      <c r="X878" s="12">
        <v>5</v>
      </c>
      <c r="Z878" s="14" t="s">
        <v>3835</v>
      </c>
      <c r="AA878" s="12" t="s">
        <v>6311</v>
      </c>
      <c r="AB878" s="14" t="s">
        <v>3884</v>
      </c>
      <c r="AD878" s="12" t="s">
        <v>764</v>
      </c>
    </row>
    <row r="879" spans="1:30" ht="27.6" x14ac:dyDescent="0.3">
      <c r="A879" s="1" t="s">
        <v>7113</v>
      </c>
      <c r="B879" s="1" t="s">
        <v>7114</v>
      </c>
      <c r="C879" s="1" t="s">
        <v>7115</v>
      </c>
      <c r="D879" s="1" t="s">
        <v>7116</v>
      </c>
      <c r="E879" s="1" t="s">
        <v>7117</v>
      </c>
      <c r="F879" s="1" t="s">
        <v>7118</v>
      </c>
      <c r="G879" s="1"/>
      <c r="H879" s="1"/>
      <c r="I879" s="1"/>
      <c r="J879" s="1" t="s">
        <v>72</v>
      </c>
      <c r="K879" s="1" t="s">
        <v>39</v>
      </c>
      <c r="L879" s="1" t="s">
        <v>7119</v>
      </c>
      <c r="M879" s="1" t="s">
        <v>42</v>
      </c>
      <c r="N879" s="1"/>
      <c r="O879" s="1" t="s">
        <v>31</v>
      </c>
      <c r="P879" s="1"/>
      <c r="Q879" s="1"/>
      <c r="R879" s="1" t="s">
        <v>6962</v>
      </c>
      <c r="S879" s="1" t="s">
        <v>7120</v>
      </c>
      <c r="T879" s="15">
        <v>2024</v>
      </c>
      <c r="U879" s="3" t="s">
        <v>5765</v>
      </c>
      <c r="V879" s="13" t="s">
        <v>29</v>
      </c>
      <c r="Y879" s="44" t="s">
        <v>10083</v>
      </c>
      <c r="Z879" s="14" t="s">
        <v>3828</v>
      </c>
      <c r="AA879" s="12" t="s">
        <v>4871</v>
      </c>
      <c r="AB879" s="14" t="s">
        <v>3888</v>
      </c>
      <c r="AD879" s="12" t="s">
        <v>7138</v>
      </c>
    </row>
    <row r="880" spans="1:30" hidden="1" x14ac:dyDescent="0.3">
      <c r="A880" s="1" t="s">
        <v>2707</v>
      </c>
      <c r="B880" s="1" t="s">
        <v>7121</v>
      </c>
      <c r="C880" s="1" t="s">
        <v>1742</v>
      </c>
      <c r="D880" s="1" t="s">
        <v>7122</v>
      </c>
      <c r="E880" s="1" t="s">
        <v>7123</v>
      </c>
      <c r="F880" s="1" t="s">
        <v>7124</v>
      </c>
      <c r="G880" s="1"/>
      <c r="H880" s="1"/>
      <c r="I880" s="1"/>
      <c r="J880" s="1" t="s">
        <v>7125</v>
      </c>
      <c r="K880" s="1" t="s">
        <v>39</v>
      </c>
      <c r="L880" s="1" t="s">
        <v>7126</v>
      </c>
      <c r="M880" s="1" t="s">
        <v>141</v>
      </c>
      <c r="N880" s="1"/>
      <c r="O880" s="1" t="s">
        <v>31</v>
      </c>
      <c r="P880" s="1"/>
      <c r="Q880" s="1"/>
      <c r="R880" s="1" t="s">
        <v>5359</v>
      </c>
      <c r="S880" s="1" t="s">
        <v>7127</v>
      </c>
      <c r="T880" s="15">
        <v>2024</v>
      </c>
      <c r="U880" s="3" t="s">
        <v>5765</v>
      </c>
      <c r="V880" s="13" t="s">
        <v>29</v>
      </c>
      <c r="X880" s="12">
        <v>5</v>
      </c>
      <c r="Z880" s="14" t="s">
        <v>3835</v>
      </c>
      <c r="AA880" s="12" t="s">
        <v>7139</v>
      </c>
      <c r="AB880" s="14" t="s">
        <v>3884</v>
      </c>
      <c r="AD880" s="12" t="s">
        <v>764</v>
      </c>
    </row>
    <row r="881" spans="1:30" hidden="1" x14ac:dyDescent="0.3">
      <c r="A881" s="1" t="s">
        <v>7128</v>
      </c>
      <c r="B881" s="1" t="s">
        <v>2128</v>
      </c>
      <c r="C881" s="1" t="s">
        <v>354</v>
      </c>
      <c r="D881" s="1" t="s">
        <v>7129</v>
      </c>
      <c r="E881" s="1" t="s">
        <v>7130</v>
      </c>
      <c r="F881" s="1" t="s">
        <v>7131</v>
      </c>
      <c r="G881" s="1"/>
      <c r="H881" s="1" t="s">
        <v>3166</v>
      </c>
      <c r="I881" s="1" t="s">
        <v>7132</v>
      </c>
      <c r="J881" s="1" t="s">
        <v>3939</v>
      </c>
      <c r="K881" s="1" t="s">
        <v>39</v>
      </c>
      <c r="L881" s="1" t="s">
        <v>965</v>
      </c>
      <c r="M881" s="1" t="s">
        <v>141</v>
      </c>
      <c r="N881" s="1"/>
      <c r="O881" s="1" t="s">
        <v>31</v>
      </c>
      <c r="P881" s="1"/>
      <c r="Q881" s="1"/>
      <c r="R881" s="1" t="s">
        <v>5359</v>
      </c>
      <c r="S881" s="1" t="s">
        <v>7133</v>
      </c>
      <c r="T881" s="15">
        <v>2024</v>
      </c>
      <c r="U881" s="3" t="s">
        <v>5765</v>
      </c>
      <c r="V881" s="13" t="s">
        <v>29</v>
      </c>
      <c r="X881" s="12">
        <v>5</v>
      </c>
      <c r="Z881" s="14" t="s">
        <v>3828</v>
      </c>
      <c r="AA881" s="12" t="s">
        <v>6844</v>
      </c>
      <c r="AB881" s="14" t="s">
        <v>3885</v>
      </c>
      <c r="AD881" s="12" t="s">
        <v>764</v>
      </c>
    </row>
    <row r="882" spans="1:30" hidden="1" x14ac:dyDescent="0.3">
      <c r="A882" s="1"/>
      <c r="B882" s="4" t="s">
        <v>7140</v>
      </c>
      <c r="C882" s="4" t="s">
        <v>7141</v>
      </c>
      <c r="D882" s="1" t="s">
        <v>7142</v>
      </c>
      <c r="E882" s="1"/>
      <c r="F882" s="1" t="s">
        <v>7143</v>
      </c>
      <c r="G882" s="1"/>
      <c r="H882" s="1"/>
      <c r="I882" s="1"/>
      <c r="J882" s="1" t="s">
        <v>5780</v>
      </c>
      <c r="K882" s="1" t="s">
        <v>39</v>
      </c>
      <c r="L882" s="1" t="s">
        <v>7144</v>
      </c>
      <c r="M882" s="1" t="s">
        <v>141</v>
      </c>
      <c r="N882" s="1"/>
      <c r="O882" s="1" t="s">
        <v>31</v>
      </c>
      <c r="P882" s="1"/>
      <c r="Q882" s="1"/>
      <c r="R882" s="1" t="s">
        <v>5480</v>
      </c>
      <c r="S882" s="1" t="s">
        <v>7145</v>
      </c>
      <c r="T882" s="15">
        <v>2024</v>
      </c>
      <c r="U882" s="3" t="s">
        <v>5765</v>
      </c>
      <c r="V882" s="13" t="s">
        <v>29</v>
      </c>
      <c r="X882" s="12">
        <v>5</v>
      </c>
      <c r="Z882" s="14" t="s">
        <v>3835</v>
      </c>
      <c r="AA882" s="12" t="s">
        <v>4915</v>
      </c>
      <c r="AB882" s="14" t="s">
        <v>3884</v>
      </c>
      <c r="AD882" s="12" t="s">
        <v>764</v>
      </c>
    </row>
    <row r="883" spans="1:30" hidden="1" x14ac:dyDescent="0.3">
      <c r="A883" s="1"/>
      <c r="B883" s="1" t="s">
        <v>7146</v>
      </c>
      <c r="C883" s="1" t="s">
        <v>769</v>
      </c>
      <c r="D883" s="1" t="s">
        <v>7178</v>
      </c>
      <c r="E883" s="1"/>
      <c r="F883" s="1" t="s">
        <v>7147</v>
      </c>
      <c r="G883" s="1"/>
      <c r="H883" s="1" t="s">
        <v>4001</v>
      </c>
      <c r="I883" s="1"/>
      <c r="J883" s="1" t="s">
        <v>7148</v>
      </c>
      <c r="K883" s="1" t="s">
        <v>39</v>
      </c>
      <c r="L883" s="1" t="s">
        <v>7149</v>
      </c>
      <c r="M883" s="1" t="s">
        <v>42</v>
      </c>
      <c r="N883" s="1"/>
      <c r="O883" s="1" t="s">
        <v>31</v>
      </c>
      <c r="P883" s="1"/>
      <c r="Q883" s="1"/>
      <c r="R883" s="1" t="s">
        <v>5359</v>
      </c>
      <c r="S883" s="1" t="s">
        <v>7150</v>
      </c>
      <c r="T883" s="15">
        <v>2024</v>
      </c>
      <c r="U883" s="3" t="s">
        <v>5765</v>
      </c>
      <c r="V883" s="13" t="s">
        <v>29</v>
      </c>
      <c r="X883" s="12">
        <v>5</v>
      </c>
      <c r="Y883" s="44">
        <v>45366</v>
      </c>
      <c r="Z883" s="14" t="s">
        <v>3835</v>
      </c>
      <c r="AA883" s="12" t="s">
        <v>5353</v>
      </c>
      <c r="AB883" s="14" t="s">
        <v>3884</v>
      </c>
      <c r="AD883" s="12" t="s">
        <v>764</v>
      </c>
    </row>
    <row r="884" spans="1:30" hidden="1" x14ac:dyDescent="0.3">
      <c r="A884" s="1" t="s">
        <v>5854</v>
      </c>
      <c r="B884" s="1" t="s">
        <v>7151</v>
      </c>
      <c r="C884" s="1" t="s">
        <v>3544</v>
      </c>
      <c r="D884" s="1" t="s">
        <v>7152</v>
      </c>
      <c r="E884" s="1" t="s">
        <v>7153</v>
      </c>
      <c r="F884" s="1" t="s">
        <v>7154</v>
      </c>
      <c r="G884" s="1" t="s">
        <v>7154</v>
      </c>
      <c r="H884" s="1" t="s">
        <v>7155</v>
      </c>
      <c r="I884" s="1" t="s">
        <v>7156</v>
      </c>
      <c r="J884" s="1" t="s">
        <v>3939</v>
      </c>
      <c r="K884" s="1" t="s">
        <v>39</v>
      </c>
      <c r="L884" s="1" t="s">
        <v>7157</v>
      </c>
      <c r="M884" s="1" t="s">
        <v>141</v>
      </c>
      <c r="N884" s="1" t="s">
        <v>7158</v>
      </c>
      <c r="O884" s="1" t="s">
        <v>31</v>
      </c>
      <c r="P884" s="1"/>
      <c r="Q884" s="1"/>
      <c r="R884" s="1" t="s">
        <v>5371</v>
      </c>
      <c r="S884" s="1" t="s">
        <v>7159</v>
      </c>
      <c r="T884" s="15">
        <v>2024</v>
      </c>
      <c r="U884" s="3" t="s">
        <v>45</v>
      </c>
      <c r="V884" s="13" t="s">
        <v>29</v>
      </c>
      <c r="X884" s="12">
        <v>5</v>
      </c>
      <c r="Z884" s="14" t="s">
        <v>3835</v>
      </c>
      <c r="AA884" s="12" t="s">
        <v>4915</v>
      </c>
      <c r="AB884" s="14" t="s">
        <v>3884</v>
      </c>
      <c r="AD884" s="12" t="s">
        <v>764</v>
      </c>
    </row>
    <row r="885" spans="1:30" hidden="1" x14ac:dyDescent="0.3">
      <c r="A885" s="1"/>
      <c r="B885" s="1" t="s">
        <v>7059</v>
      </c>
      <c r="C885" s="1" t="s">
        <v>7160</v>
      </c>
      <c r="D885" s="1" t="s">
        <v>7179</v>
      </c>
      <c r="E885" s="1" t="s">
        <v>7161</v>
      </c>
      <c r="F885" s="1" t="s">
        <v>7162</v>
      </c>
      <c r="G885" s="1"/>
      <c r="H885" s="1"/>
      <c r="I885" s="1"/>
      <c r="J885" s="1" t="s">
        <v>72</v>
      </c>
      <c r="K885" s="1" t="s">
        <v>39</v>
      </c>
      <c r="L885" s="1" t="s">
        <v>5892</v>
      </c>
      <c r="M885" s="1" t="s">
        <v>141</v>
      </c>
      <c r="N885" s="1"/>
      <c r="O885" s="1" t="s">
        <v>31</v>
      </c>
      <c r="P885" s="1"/>
      <c r="Q885" s="1"/>
      <c r="R885" s="1" t="s">
        <v>5480</v>
      </c>
      <c r="S885" s="1" t="s">
        <v>7163</v>
      </c>
      <c r="T885" s="15">
        <v>2024</v>
      </c>
      <c r="U885" s="3" t="s">
        <v>5765</v>
      </c>
      <c r="V885" s="13" t="s">
        <v>29</v>
      </c>
      <c r="X885" s="12">
        <v>5</v>
      </c>
      <c r="Y885" s="44">
        <v>45366</v>
      </c>
      <c r="Z885" s="14" t="s">
        <v>3828</v>
      </c>
      <c r="AA885" s="12" t="s">
        <v>6120</v>
      </c>
      <c r="AB885" s="14" t="s">
        <v>3887</v>
      </c>
      <c r="AD885" s="12" t="s">
        <v>764</v>
      </c>
    </row>
    <row r="886" spans="1:30" ht="27.6" hidden="1" x14ac:dyDescent="0.3">
      <c r="A886" s="1" t="s">
        <v>2635</v>
      </c>
      <c r="B886" s="1" t="s">
        <v>7164</v>
      </c>
      <c r="C886" s="1" t="s">
        <v>7165</v>
      </c>
      <c r="D886" s="1" t="s">
        <v>7166</v>
      </c>
      <c r="E886" s="1"/>
      <c r="F886" s="1" t="s">
        <v>7167</v>
      </c>
      <c r="G886" s="1"/>
      <c r="H886" s="1"/>
      <c r="I886" s="1"/>
      <c r="J886" s="1" t="s">
        <v>3968</v>
      </c>
      <c r="K886" s="1" t="s">
        <v>39</v>
      </c>
      <c r="L886" s="1" t="s">
        <v>7168</v>
      </c>
      <c r="M886" s="1" t="s">
        <v>42</v>
      </c>
      <c r="N886" s="1"/>
      <c r="O886" s="1" t="s">
        <v>31</v>
      </c>
      <c r="P886" s="1"/>
      <c r="Q886" s="1"/>
      <c r="R886" s="1" t="s">
        <v>5480</v>
      </c>
      <c r="S886" s="1" t="s">
        <v>7169</v>
      </c>
      <c r="T886" s="15">
        <v>2024</v>
      </c>
      <c r="U886" s="3" t="s">
        <v>45</v>
      </c>
      <c r="V886" s="13" t="s">
        <v>29</v>
      </c>
      <c r="X886" s="12" t="s">
        <v>7276</v>
      </c>
      <c r="Z886" s="14" t="s">
        <v>3835</v>
      </c>
      <c r="AA886" s="12" t="s">
        <v>4915</v>
      </c>
      <c r="AB886" s="14" t="s">
        <v>3884</v>
      </c>
      <c r="AD886" s="12" t="s">
        <v>764</v>
      </c>
    </row>
    <row r="887" spans="1:30" hidden="1" x14ac:dyDescent="0.3">
      <c r="A887" s="1"/>
      <c r="B887" s="1" t="s">
        <v>7170</v>
      </c>
      <c r="C887" s="1" t="s">
        <v>346</v>
      </c>
      <c r="D887" s="1" t="s">
        <v>7171</v>
      </c>
      <c r="E887" s="1" t="s">
        <v>7172</v>
      </c>
      <c r="F887" s="1" t="s">
        <v>7173</v>
      </c>
      <c r="G887" s="1"/>
      <c r="H887" s="1" t="s">
        <v>7174</v>
      </c>
      <c r="I887" s="1" t="s">
        <v>7175</v>
      </c>
      <c r="J887" s="1" t="s">
        <v>72</v>
      </c>
      <c r="K887" s="1" t="s">
        <v>39</v>
      </c>
      <c r="L887" s="1" t="s">
        <v>7176</v>
      </c>
      <c r="M887" s="1" t="s">
        <v>141</v>
      </c>
      <c r="N887" s="1"/>
      <c r="O887" s="1" t="s">
        <v>31</v>
      </c>
      <c r="P887" s="1"/>
      <c r="Q887" s="1"/>
      <c r="R887" s="1" t="s">
        <v>5480</v>
      </c>
      <c r="S887" s="1" t="s">
        <v>7177</v>
      </c>
      <c r="T887" s="15">
        <v>2024</v>
      </c>
      <c r="U887" s="3" t="s">
        <v>45</v>
      </c>
      <c r="V887" s="13" t="s">
        <v>29</v>
      </c>
      <c r="X887" s="12">
        <v>5</v>
      </c>
      <c r="Y887" s="44">
        <v>45366</v>
      </c>
      <c r="Z887" s="14" t="s">
        <v>3835</v>
      </c>
      <c r="AA887" s="12" t="s">
        <v>7139</v>
      </c>
      <c r="AB887" s="14" t="s">
        <v>3884</v>
      </c>
      <c r="AD887" s="12" t="s">
        <v>764</v>
      </c>
    </row>
    <row r="888" spans="1:30" hidden="1" x14ac:dyDescent="0.3">
      <c r="A888" s="1" t="s">
        <v>2635</v>
      </c>
      <c r="B888" s="4" t="s">
        <v>7180</v>
      </c>
      <c r="C888" s="4" t="s">
        <v>7181</v>
      </c>
      <c r="D888" s="1" t="s">
        <v>7182</v>
      </c>
      <c r="E888" s="1" t="s">
        <v>7183</v>
      </c>
      <c r="F888" s="1" t="s">
        <v>7184</v>
      </c>
      <c r="G888" s="1" t="s">
        <v>7185</v>
      </c>
      <c r="H888" s="1" t="s">
        <v>7186</v>
      </c>
      <c r="I888" s="1" t="s">
        <v>7187</v>
      </c>
      <c r="J888" s="1" t="s">
        <v>4543</v>
      </c>
      <c r="K888" s="1" t="s">
        <v>39</v>
      </c>
      <c r="L888" s="1" t="s">
        <v>7188</v>
      </c>
      <c r="M888" s="1" t="s">
        <v>42</v>
      </c>
      <c r="N888" s="1"/>
      <c r="O888" s="1" t="s">
        <v>31</v>
      </c>
      <c r="P888" s="1"/>
      <c r="Q888" s="1"/>
      <c r="R888" s="1" t="s">
        <v>5371</v>
      </c>
      <c r="S888" s="1" t="s">
        <v>7189</v>
      </c>
      <c r="T888" s="15">
        <v>2024</v>
      </c>
      <c r="U888" s="3" t="s">
        <v>45</v>
      </c>
      <c r="V888" s="13" t="s">
        <v>29</v>
      </c>
      <c r="X888" s="12">
        <v>5</v>
      </c>
      <c r="Y888" s="44">
        <v>45366</v>
      </c>
      <c r="Z888" s="14" t="s">
        <v>3828</v>
      </c>
      <c r="AA888" s="12" t="s">
        <v>7225</v>
      </c>
      <c r="AB888" s="14" t="s">
        <v>3885</v>
      </c>
      <c r="AD888" s="12" t="s">
        <v>764</v>
      </c>
    </row>
    <row r="889" spans="1:30" ht="27.6" hidden="1" x14ac:dyDescent="0.3">
      <c r="A889" s="1" t="s">
        <v>1262</v>
      </c>
      <c r="B889" s="1" t="s">
        <v>7190</v>
      </c>
      <c r="C889" s="1" t="s">
        <v>189</v>
      </c>
      <c r="D889" s="1" t="s">
        <v>7191</v>
      </c>
      <c r="E889" s="1" t="s">
        <v>7192</v>
      </c>
      <c r="F889" s="1" t="s">
        <v>7193</v>
      </c>
      <c r="G889" s="1" t="s">
        <v>7194</v>
      </c>
      <c r="H889" s="1" t="s">
        <v>414</v>
      </c>
      <c r="I889" s="1" t="s">
        <v>7195</v>
      </c>
      <c r="J889" s="1" t="s">
        <v>72</v>
      </c>
      <c r="K889" s="1" t="s">
        <v>39</v>
      </c>
      <c r="L889" s="1" t="s">
        <v>7196</v>
      </c>
      <c r="M889" s="1" t="s">
        <v>42</v>
      </c>
      <c r="N889" s="1" t="s">
        <v>7197</v>
      </c>
      <c r="O889" s="1" t="s">
        <v>31</v>
      </c>
      <c r="P889" s="1"/>
      <c r="Q889" s="1"/>
      <c r="R889" s="1" t="s">
        <v>5480</v>
      </c>
      <c r="S889" s="1" t="s">
        <v>7198</v>
      </c>
      <c r="T889" s="15">
        <v>2024</v>
      </c>
      <c r="U889" s="3" t="s">
        <v>45</v>
      </c>
      <c r="V889" s="13" t="s">
        <v>29</v>
      </c>
      <c r="X889" s="12">
        <v>15</v>
      </c>
      <c r="Z889" s="14" t="s">
        <v>3835</v>
      </c>
      <c r="AA889" s="12" t="s">
        <v>7226</v>
      </c>
      <c r="AB889" s="14" t="s">
        <v>3884</v>
      </c>
      <c r="AD889" s="12" t="s">
        <v>764</v>
      </c>
    </row>
    <row r="890" spans="1:30" ht="27.6" hidden="1" x14ac:dyDescent="0.3">
      <c r="A890" s="1" t="s">
        <v>22</v>
      </c>
      <c r="B890" s="1" t="s">
        <v>354</v>
      </c>
      <c r="C890" s="1" t="s">
        <v>1942</v>
      </c>
      <c r="D890" s="1" t="s">
        <v>7199</v>
      </c>
      <c r="E890" s="1" t="s">
        <v>7200</v>
      </c>
      <c r="F890" s="1" t="s">
        <v>7201</v>
      </c>
      <c r="G890" s="1" t="s">
        <v>7202</v>
      </c>
      <c r="H890" s="1" t="s">
        <v>7203</v>
      </c>
      <c r="I890" s="1" t="s">
        <v>7204</v>
      </c>
      <c r="J890" s="1" t="s">
        <v>7205</v>
      </c>
      <c r="K890" s="1" t="s">
        <v>39</v>
      </c>
      <c r="L890" s="1" t="s">
        <v>7206</v>
      </c>
      <c r="M890" s="1" t="s">
        <v>141</v>
      </c>
      <c r="N890" s="1"/>
      <c r="O890" s="1" t="s">
        <v>31</v>
      </c>
      <c r="P890" s="1"/>
      <c r="Q890" s="1"/>
      <c r="R890" s="1" t="s">
        <v>5371</v>
      </c>
      <c r="S890" s="1" t="s">
        <v>7207</v>
      </c>
      <c r="T890" s="15">
        <v>2024</v>
      </c>
      <c r="U890" s="3" t="s">
        <v>45</v>
      </c>
      <c r="V890" s="13" t="s">
        <v>29</v>
      </c>
      <c r="X890" s="12">
        <v>5</v>
      </c>
      <c r="Z890" s="14" t="s">
        <v>3835</v>
      </c>
      <c r="AA890" s="12" t="s">
        <v>7227</v>
      </c>
      <c r="AB890" s="14" t="s">
        <v>3884</v>
      </c>
      <c r="AD890" s="12" t="s">
        <v>764</v>
      </c>
    </row>
    <row r="891" spans="1:30" hidden="1" x14ac:dyDescent="0.3">
      <c r="A891" s="1" t="s">
        <v>2635</v>
      </c>
      <c r="B891" s="1" t="s">
        <v>7208</v>
      </c>
      <c r="C891" s="1" t="s">
        <v>7209</v>
      </c>
      <c r="D891" s="1" t="s">
        <v>7210</v>
      </c>
      <c r="E891" s="1" t="s">
        <v>7211</v>
      </c>
      <c r="F891" s="1" t="s">
        <v>7212</v>
      </c>
      <c r="G891" s="1" t="s">
        <v>7213</v>
      </c>
      <c r="H891" s="1"/>
      <c r="I891" s="1" t="s">
        <v>7214</v>
      </c>
      <c r="J891" s="1" t="s">
        <v>1060</v>
      </c>
      <c r="K891" s="1" t="s">
        <v>39</v>
      </c>
      <c r="L891" s="1" t="s">
        <v>7215</v>
      </c>
      <c r="M891" s="1" t="s">
        <v>141</v>
      </c>
      <c r="N891" s="1"/>
      <c r="O891" s="1" t="s">
        <v>31</v>
      </c>
      <c r="P891" s="1"/>
      <c r="Q891" s="1"/>
      <c r="R891" s="1" t="s">
        <v>5480</v>
      </c>
      <c r="S891" s="1" t="s">
        <v>7216</v>
      </c>
      <c r="T891" s="15">
        <v>2024</v>
      </c>
      <c r="U891" s="3" t="s">
        <v>5765</v>
      </c>
      <c r="V891" s="13" t="s">
        <v>29</v>
      </c>
      <c r="X891" s="12">
        <v>10</v>
      </c>
      <c r="Z891" s="14" t="s">
        <v>3835</v>
      </c>
      <c r="AA891" s="12" t="s">
        <v>7226</v>
      </c>
      <c r="AB891" s="14" t="s">
        <v>3884</v>
      </c>
      <c r="AD891" s="12" t="s">
        <v>764</v>
      </c>
    </row>
    <row r="892" spans="1:30" ht="55.2" hidden="1" x14ac:dyDescent="0.3">
      <c r="A892" s="1" t="s">
        <v>5125</v>
      </c>
      <c r="B892" s="1" t="s">
        <v>7217</v>
      </c>
      <c r="C892" s="1" t="s">
        <v>7218</v>
      </c>
      <c r="D892" s="1" t="s">
        <v>7219</v>
      </c>
      <c r="E892" s="1" t="s">
        <v>7220</v>
      </c>
      <c r="F892" s="1" t="s">
        <v>7221</v>
      </c>
      <c r="G892" s="1"/>
      <c r="H892" s="1"/>
      <c r="I892" s="1" t="s">
        <v>7222</v>
      </c>
      <c r="J892" s="1" t="s">
        <v>1060</v>
      </c>
      <c r="K892" s="1" t="s">
        <v>39</v>
      </c>
      <c r="L892" s="1" t="s">
        <v>7223</v>
      </c>
      <c r="M892" s="1" t="s">
        <v>42</v>
      </c>
      <c r="N892" s="1"/>
      <c r="O892" s="1" t="s">
        <v>31</v>
      </c>
      <c r="P892" s="1"/>
      <c r="Q892" s="1"/>
      <c r="R892" s="1" t="s">
        <v>5480</v>
      </c>
      <c r="S892" s="1" t="s">
        <v>7224</v>
      </c>
      <c r="T892" s="15">
        <v>2024</v>
      </c>
      <c r="U892" s="3" t="s">
        <v>45</v>
      </c>
      <c r="V892" s="13" t="s">
        <v>29</v>
      </c>
      <c r="X892" s="12">
        <v>50</v>
      </c>
      <c r="Z892" s="14" t="s">
        <v>3835</v>
      </c>
      <c r="AA892" s="12" t="s">
        <v>7226</v>
      </c>
      <c r="AB892" s="14" t="s">
        <v>3884</v>
      </c>
      <c r="AD892" s="12" t="s">
        <v>764</v>
      </c>
    </row>
    <row r="893" spans="1:30" ht="55.2" hidden="1" x14ac:dyDescent="0.3">
      <c r="A893" s="1"/>
      <c r="B893" s="4" t="s">
        <v>3403</v>
      </c>
      <c r="C893" s="4" t="s">
        <v>7229</v>
      </c>
      <c r="D893" s="1" t="s">
        <v>7230</v>
      </c>
      <c r="E893" s="1" t="s">
        <v>7231</v>
      </c>
      <c r="F893" s="1" t="s">
        <v>7232</v>
      </c>
      <c r="G893" s="1" t="s">
        <v>7233</v>
      </c>
      <c r="H893" s="1" t="s">
        <v>7234</v>
      </c>
      <c r="I893" s="1" t="s">
        <v>7235</v>
      </c>
      <c r="J893" s="1" t="s">
        <v>7236</v>
      </c>
      <c r="K893" s="1" t="s">
        <v>92</v>
      </c>
      <c r="L893" s="1" t="s">
        <v>7237</v>
      </c>
      <c r="M893" s="1" t="s">
        <v>141</v>
      </c>
      <c r="N893" s="1"/>
      <c r="O893" s="1" t="s">
        <v>31</v>
      </c>
      <c r="P893" s="1"/>
      <c r="Q893" s="1"/>
      <c r="R893" s="1" t="s">
        <v>5359</v>
      </c>
      <c r="S893" s="1" t="s">
        <v>7238</v>
      </c>
      <c r="T893" s="15">
        <v>2024</v>
      </c>
      <c r="U893" s="3" t="s">
        <v>45</v>
      </c>
      <c r="V893" s="13" t="s">
        <v>29</v>
      </c>
      <c r="X893" s="12">
        <v>5</v>
      </c>
      <c r="Z893" s="14" t="s">
        <v>3828</v>
      </c>
      <c r="AA893" s="12" t="s">
        <v>3019</v>
      </c>
      <c r="AB893" s="14" t="s">
        <v>3888</v>
      </c>
      <c r="AD893" s="12" t="s">
        <v>764</v>
      </c>
    </row>
    <row r="894" spans="1:30" hidden="1" x14ac:dyDescent="0.3">
      <c r="A894" s="1" t="s">
        <v>22</v>
      </c>
      <c r="B894" s="1" t="s">
        <v>7239</v>
      </c>
      <c r="C894" s="1" t="s">
        <v>1111</v>
      </c>
      <c r="D894" s="1" t="s">
        <v>7240</v>
      </c>
      <c r="E894" s="1" t="s">
        <v>7241</v>
      </c>
      <c r="F894" s="1" t="s">
        <v>7242</v>
      </c>
      <c r="G894" s="1"/>
      <c r="H894" s="1"/>
      <c r="I894" s="1"/>
      <c r="J894" s="1" t="s">
        <v>7243</v>
      </c>
      <c r="K894" s="1" t="s">
        <v>39</v>
      </c>
      <c r="L894" s="1" t="s">
        <v>7244</v>
      </c>
      <c r="M894" s="1" t="s">
        <v>141</v>
      </c>
      <c r="N894" s="1"/>
      <c r="O894" s="1" t="s">
        <v>31</v>
      </c>
      <c r="P894" s="1"/>
      <c r="Q894" s="1"/>
      <c r="R894" s="1" t="s">
        <v>5359</v>
      </c>
      <c r="S894" s="1" t="s">
        <v>7245</v>
      </c>
      <c r="T894" s="15">
        <v>2024</v>
      </c>
      <c r="U894" s="3" t="s">
        <v>45</v>
      </c>
      <c r="V894" s="13" t="s">
        <v>29</v>
      </c>
      <c r="X894" s="12">
        <v>10</v>
      </c>
      <c r="Z894" s="14" t="s">
        <v>3828</v>
      </c>
      <c r="AA894" s="12" t="s">
        <v>7256</v>
      </c>
      <c r="AB894" s="14" t="s">
        <v>3887</v>
      </c>
      <c r="AD894" s="12" t="s">
        <v>764</v>
      </c>
    </row>
    <row r="895" spans="1:30" ht="55.2" hidden="1" x14ac:dyDescent="0.3">
      <c r="A895" s="1" t="s">
        <v>7246</v>
      </c>
      <c r="B895" s="1" t="s">
        <v>7247</v>
      </c>
      <c r="C895" s="1" t="s">
        <v>7248</v>
      </c>
      <c r="D895" s="1" t="s">
        <v>7249</v>
      </c>
      <c r="E895" s="1" t="s">
        <v>7250</v>
      </c>
      <c r="F895" s="1" t="s">
        <v>7251</v>
      </c>
      <c r="G895" s="1" t="s">
        <v>7252</v>
      </c>
      <c r="H895" s="1" t="s">
        <v>7253</v>
      </c>
      <c r="I895" s="1"/>
      <c r="J895" s="1" t="s">
        <v>7254</v>
      </c>
      <c r="K895" s="1" t="s">
        <v>39</v>
      </c>
      <c r="L895" s="1" t="s">
        <v>1144</v>
      </c>
      <c r="M895" s="1" t="s">
        <v>141</v>
      </c>
      <c r="N895" s="1"/>
      <c r="O895" s="1" t="s">
        <v>31</v>
      </c>
      <c r="P895" s="1"/>
      <c r="Q895" s="1"/>
      <c r="R895" s="1" t="s">
        <v>5429</v>
      </c>
      <c r="S895" s="1" t="s">
        <v>7255</v>
      </c>
      <c r="T895" s="15">
        <v>2024</v>
      </c>
      <c r="U895" s="3" t="s">
        <v>45</v>
      </c>
      <c r="V895" s="13" t="s">
        <v>29</v>
      </c>
      <c r="X895" s="12">
        <v>5</v>
      </c>
      <c r="Z895" s="14" t="s">
        <v>3828</v>
      </c>
      <c r="AA895" s="12" t="s">
        <v>7257</v>
      </c>
      <c r="AB895" s="14" t="s">
        <v>3887</v>
      </c>
      <c r="AD895" s="12" t="s">
        <v>7258</v>
      </c>
    </row>
    <row r="896" spans="1:30" ht="27.6" x14ac:dyDescent="0.3">
      <c r="A896" s="1" t="s">
        <v>274</v>
      </c>
      <c r="B896" s="4" t="s">
        <v>7259</v>
      </c>
      <c r="C896" s="4" t="s">
        <v>229</v>
      </c>
      <c r="D896" s="1" t="s">
        <v>7260</v>
      </c>
      <c r="E896" s="1" t="s">
        <v>7261</v>
      </c>
      <c r="F896" s="1" t="s">
        <v>7262</v>
      </c>
      <c r="G896" s="1" t="s">
        <v>7263</v>
      </c>
      <c r="H896" s="1" t="s">
        <v>7264</v>
      </c>
      <c r="I896" s="1" t="s">
        <v>7265</v>
      </c>
      <c r="J896" s="1" t="s">
        <v>7266</v>
      </c>
      <c r="K896" s="1" t="s">
        <v>7267</v>
      </c>
      <c r="L896" s="1" t="s">
        <v>7268</v>
      </c>
      <c r="M896" s="1" t="s">
        <v>42</v>
      </c>
      <c r="N896" s="1"/>
      <c r="O896" s="1" t="s">
        <v>31</v>
      </c>
      <c r="P896" s="1"/>
      <c r="Q896" s="1"/>
      <c r="R896" s="1" t="s">
        <v>5359</v>
      </c>
      <c r="S896" s="1" t="s">
        <v>7269</v>
      </c>
      <c r="T896" s="15">
        <v>2024</v>
      </c>
      <c r="U896" s="3" t="s">
        <v>7275</v>
      </c>
      <c r="V896" s="13" t="s">
        <v>29</v>
      </c>
      <c r="Y896" s="44" t="s">
        <v>10083</v>
      </c>
      <c r="Z896" s="14" t="s">
        <v>2148</v>
      </c>
      <c r="AA896" s="12" t="s">
        <v>520</v>
      </c>
      <c r="AB896" s="14" t="s">
        <v>3890</v>
      </c>
      <c r="AD896" s="12" t="s">
        <v>764</v>
      </c>
    </row>
    <row r="897" spans="1:30" hidden="1" x14ac:dyDescent="0.3">
      <c r="A897" s="1"/>
      <c r="B897" s="4" t="s">
        <v>7270</v>
      </c>
      <c r="C897" s="4" t="s">
        <v>1989</v>
      </c>
      <c r="D897" s="1" t="s">
        <v>7271</v>
      </c>
      <c r="E897" s="1" t="s">
        <v>7272</v>
      </c>
      <c r="F897" s="1" t="s">
        <v>7273</v>
      </c>
      <c r="G897" s="1"/>
      <c r="H897" s="1"/>
      <c r="I897" s="1"/>
      <c r="J897" s="1" t="s">
        <v>72</v>
      </c>
      <c r="K897" s="1" t="s">
        <v>39</v>
      </c>
      <c r="L897" s="1" t="s">
        <v>3870</v>
      </c>
      <c r="M897" s="1" t="s">
        <v>42</v>
      </c>
      <c r="N897" s="1"/>
      <c r="O897" s="1" t="s">
        <v>31</v>
      </c>
      <c r="P897" s="1"/>
      <c r="Q897" s="1"/>
      <c r="R897" s="1" t="s">
        <v>6962</v>
      </c>
      <c r="S897" s="1" t="s">
        <v>7274</v>
      </c>
      <c r="T897" s="15">
        <v>2024</v>
      </c>
      <c r="U897" s="3" t="s">
        <v>7275</v>
      </c>
      <c r="V897" s="13" t="s">
        <v>29</v>
      </c>
      <c r="X897" s="12">
        <v>5</v>
      </c>
      <c r="Y897" s="44">
        <v>45366</v>
      </c>
      <c r="Z897" s="14" t="s">
        <v>3870</v>
      </c>
      <c r="AA897" s="12" t="s">
        <v>1342</v>
      </c>
      <c r="AB897" s="14" t="s">
        <v>3886</v>
      </c>
      <c r="AD897" s="12" t="s">
        <v>764</v>
      </c>
    </row>
    <row r="898" spans="1:30" hidden="1" x14ac:dyDescent="0.3">
      <c r="A898" s="1" t="s">
        <v>1262</v>
      </c>
      <c r="B898" s="4" t="s">
        <v>7283</v>
      </c>
      <c r="C898" s="4" t="s">
        <v>229</v>
      </c>
      <c r="D898" s="1" t="s">
        <v>7284</v>
      </c>
      <c r="E898" s="1" t="s">
        <v>7285</v>
      </c>
      <c r="F898" s="1" t="s">
        <v>7286</v>
      </c>
      <c r="G898" s="1" t="s">
        <v>7287</v>
      </c>
      <c r="H898" s="1" t="s">
        <v>7288</v>
      </c>
      <c r="I898" s="1" t="s">
        <v>7289</v>
      </c>
      <c r="J898" s="1" t="s">
        <v>4823</v>
      </c>
      <c r="K898" s="1" t="s">
        <v>39</v>
      </c>
      <c r="L898" s="1" t="s">
        <v>7290</v>
      </c>
      <c r="M898" s="1" t="s">
        <v>141</v>
      </c>
      <c r="N898" s="1"/>
      <c r="O898" s="1" t="s">
        <v>31</v>
      </c>
      <c r="P898" s="1"/>
      <c r="Q898" s="1"/>
      <c r="R898" s="1" t="s">
        <v>5480</v>
      </c>
      <c r="S898" s="1" t="s">
        <v>7291</v>
      </c>
      <c r="T898" s="15">
        <v>2024</v>
      </c>
      <c r="U898" s="3" t="s">
        <v>7275</v>
      </c>
      <c r="V898" s="13" t="s">
        <v>29</v>
      </c>
      <c r="X898" s="12">
        <v>5</v>
      </c>
      <c r="Z898" s="14" t="s">
        <v>3835</v>
      </c>
      <c r="AA898" s="12" t="s">
        <v>5353</v>
      </c>
      <c r="AB898" s="14" t="s">
        <v>3884</v>
      </c>
      <c r="AD898" s="12" t="s">
        <v>764</v>
      </c>
    </row>
    <row r="899" spans="1:30" hidden="1" x14ac:dyDescent="0.3">
      <c r="A899" s="1"/>
      <c r="B899" s="1" t="s">
        <v>7292</v>
      </c>
      <c r="C899" s="1" t="s">
        <v>447</v>
      </c>
      <c r="D899" s="1" t="s">
        <v>7293</v>
      </c>
      <c r="E899" s="1" t="s">
        <v>7294</v>
      </c>
      <c r="F899" s="1" t="s">
        <v>7295</v>
      </c>
      <c r="G899" s="1" t="s">
        <v>7296</v>
      </c>
      <c r="H899" s="1" t="s">
        <v>7297</v>
      </c>
      <c r="I899" s="1" t="s">
        <v>7298</v>
      </c>
      <c r="J899" s="1" t="s">
        <v>1060</v>
      </c>
      <c r="K899" s="1" t="s">
        <v>39</v>
      </c>
      <c r="L899" s="1" t="s">
        <v>1025</v>
      </c>
      <c r="M899" s="1" t="s">
        <v>42</v>
      </c>
      <c r="N899" s="1"/>
      <c r="O899" s="1" t="s">
        <v>31</v>
      </c>
      <c r="P899" s="1"/>
      <c r="Q899" s="1"/>
      <c r="R899" s="1" t="s">
        <v>5371</v>
      </c>
      <c r="S899" s="1" t="s">
        <v>7299</v>
      </c>
      <c r="T899" s="15">
        <v>2024</v>
      </c>
      <c r="U899" s="3" t="s">
        <v>5765</v>
      </c>
      <c r="V899" s="13" t="s">
        <v>29</v>
      </c>
      <c r="X899" s="12">
        <v>5</v>
      </c>
      <c r="Z899" s="14" t="s">
        <v>3828</v>
      </c>
      <c r="AA899" s="12" t="s">
        <v>4011</v>
      </c>
      <c r="AB899" s="14" t="s">
        <v>3888</v>
      </c>
      <c r="AD899" s="12" t="s">
        <v>764</v>
      </c>
    </row>
    <row r="900" spans="1:30" hidden="1" x14ac:dyDescent="0.3">
      <c r="A900" s="1"/>
      <c r="B900" s="1" t="s">
        <v>7300</v>
      </c>
      <c r="C900" s="1" t="s">
        <v>4801</v>
      </c>
      <c r="D900" s="1" t="s">
        <v>7301</v>
      </c>
      <c r="E900" s="1" t="s">
        <v>7302</v>
      </c>
      <c r="F900" s="1" t="s">
        <v>7303</v>
      </c>
      <c r="G900" s="1"/>
      <c r="H900" s="1"/>
      <c r="I900" s="1"/>
      <c r="J900" s="1" t="s">
        <v>7304</v>
      </c>
      <c r="K900" s="1" t="s">
        <v>39</v>
      </c>
      <c r="L900" s="1" t="s">
        <v>7305</v>
      </c>
      <c r="M900" s="1" t="s">
        <v>141</v>
      </c>
      <c r="N900" s="1"/>
      <c r="O900" s="1" t="s">
        <v>31</v>
      </c>
      <c r="P900" s="1"/>
      <c r="Q900" s="1"/>
      <c r="R900" s="1" t="s">
        <v>5359</v>
      </c>
      <c r="S900" s="1" t="s">
        <v>7306</v>
      </c>
      <c r="T900" s="15">
        <v>2024</v>
      </c>
      <c r="U900" s="3" t="s">
        <v>5765</v>
      </c>
      <c r="V900" s="13" t="s">
        <v>29</v>
      </c>
      <c r="X900" s="12">
        <v>5</v>
      </c>
      <c r="Z900" s="14" t="s">
        <v>3828</v>
      </c>
      <c r="AA900" s="12" t="s">
        <v>7037</v>
      </c>
      <c r="AB900" s="14" t="s">
        <v>3888</v>
      </c>
      <c r="AD900" s="12" t="s">
        <v>764</v>
      </c>
    </row>
    <row r="901" spans="1:30" x14ac:dyDescent="0.3">
      <c r="A901" s="1"/>
      <c r="B901" s="1" t="s">
        <v>7307</v>
      </c>
      <c r="C901" s="1" t="s">
        <v>124</v>
      </c>
      <c r="D901" s="1" t="s">
        <v>7308</v>
      </c>
      <c r="E901" s="1" t="s">
        <v>7309</v>
      </c>
      <c r="F901" s="1" t="s">
        <v>7310</v>
      </c>
      <c r="G901" s="1"/>
      <c r="H901" s="1"/>
      <c r="I901" s="1"/>
      <c r="J901" s="1" t="s">
        <v>1177</v>
      </c>
      <c r="K901" s="1" t="s">
        <v>39</v>
      </c>
      <c r="L901" s="1" t="s">
        <v>7311</v>
      </c>
      <c r="M901" s="1" t="s">
        <v>42</v>
      </c>
      <c r="N901" s="1"/>
      <c r="O901" s="1" t="s">
        <v>31</v>
      </c>
      <c r="P901" s="1"/>
      <c r="Q901" s="1"/>
      <c r="R901" s="1" t="s">
        <v>5359</v>
      </c>
      <c r="S901" s="1" t="s">
        <v>7312</v>
      </c>
      <c r="T901" s="15">
        <v>2024</v>
      </c>
      <c r="U901" s="3" t="s">
        <v>5765</v>
      </c>
      <c r="V901" s="13" t="s">
        <v>29</v>
      </c>
      <c r="Y901" s="44">
        <v>45899</v>
      </c>
      <c r="Z901" s="14" t="s">
        <v>3828</v>
      </c>
      <c r="AA901" s="12" t="s">
        <v>7363</v>
      </c>
      <c r="AB901" s="14" t="s">
        <v>3887</v>
      </c>
      <c r="AD901" s="12" t="s">
        <v>764</v>
      </c>
    </row>
    <row r="902" spans="1:30" ht="27.6" hidden="1" x14ac:dyDescent="0.3">
      <c r="A902" s="1" t="s">
        <v>2635</v>
      </c>
      <c r="B902" s="1" t="s">
        <v>7313</v>
      </c>
      <c r="C902" s="1" t="s">
        <v>370</v>
      </c>
      <c r="D902" s="1" t="s">
        <v>7314</v>
      </c>
      <c r="E902" s="1" t="s">
        <v>7315</v>
      </c>
      <c r="F902" s="1" t="s">
        <v>7316</v>
      </c>
      <c r="G902" s="1"/>
      <c r="H902" s="1"/>
      <c r="I902" s="1"/>
      <c r="J902" s="1" t="s">
        <v>72</v>
      </c>
      <c r="K902" s="1" t="s">
        <v>39</v>
      </c>
      <c r="L902" s="1" t="s">
        <v>7317</v>
      </c>
      <c r="M902" s="1" t="s">
        <v>42</v>
      </c>
      <c r="N902" s="1"/>
      <c r="O902" s="1" t="s">
        <v>31</v>
      </c>
      <c r="P902" s="1"/>
      <c r="Q902" s="1"/>
      <c r="R902" s="1" t="s">
        <v>5480</v>
      </c>
      <c r="S902" s="1" t="s">
        <v>7318</v>
      </c>
      <c r="T902" s="15">
        <v>2024</v>
      </c>
      <c r="U902" s="3" t="s">
        <v>5765</v>
      </c>
      <c r="V902" s="13" t="s">
        <v>29</v>
      </c>
      <c r="X902" s="12">
        <v>5</v>
      </c>
      <c r="Z902" s="14" t="s">
        <v>3870</v>
      </c>
      <c r="AA902" s="12" t="s">
        <v>1342</v>
      </c>
      <c r="AB902" s="14" t="s">
        <v>3886</v>
      </c>
      <c r="AD902" s="12" t="s">
        <v>764</v>
      </c>
    </row>
    <row r="903" spans="1:30" hidden="1" x14ac:dyDescent="0.3">
      <c r="A903" s="1"/>
      <c r="B903" s="1" t="s">
        <v>7319</v>
      </c>
      <c r="C903" s="1" t="s">
        <v>806</v>
      </c>
      <c r="D903" s="1" t="s">
        <v>7320</v>
      </c>
      <c r="E903" s="1" t="s">
        <v>7321</v>
      </c>
      <c r="F903" s="1" t="s">
        <v>7322</v>
      </c>
      <c r="G903" s="1" t="s">
        <v>7323</v>
      </c>
      <c r="H903" s="1"/>
      <c r="I903" s="1"/>
      <c r="J903" s="1" t="s">
        <v>7324</v>
      </c>
      <c r="K903" s="1" t="s">
        <v>39</v>
      </c>
      <c r="L903" s="1" t="s">
        <v>7325</v>
      </c>
      <c r="M903" s="1" t="s">
        <v>42</v>
      </c>
      <c r="N903" s="1"/>
      <c r="O903" s="1" t="s">
        <v>31</v>
      </c>
      <c r="P903" s="1"/>
      <c r="Q903" s="1"/>
      <c r="R903" s="1" t="s">
        <v>5359</v>
      </c>
      <c r="S903" s="1" t="s">
        <v>7326</v>
      </c>
      <c r="T903" s="15">
        <v>2024</v>
      </c>
      <c r="U903" s="3" t="s">
        <v>5765</v>
      </c>
      <c r="V903" s="13" t="s">
        <v>29</v>
      </c>
      <c r="X903" s="12">
        <v>5</v>
      </c>
      <c r="Z903" s="14" t="s">
        <v>3835</v>
      </c>
      <c r="AA903" s="12" t="s">
        <v>5854</v>
      </c>
      <c r="AB903" s="14" t="s">
        <v>3884</v>
      </c>
      <c r="AD903" s="12" t="s">
        <v>764</v>
      </c>
    </row>
    <row r="904" spans="1:30" hidden="1" x14ac:dyDescent="0.3">
      <c r="A904" s="1" t="s">
        <v>22</v>
      </c>
      <c r="B904" s="1" t="s">
        <v>7327</v>
      </c>
      <c r="C904" s="1" t="s">
        <v>523</v>
      </c>
      <c r="D904" s="1" t="s">
        <v>7328</v>
      </c>
      <c r="E904" s="1" t="s">
        <v>7329</v>
      </c>
      <c r="F904" s="1" t="s">
        <v>7330</v>
      </c>
      <c r="G904" s="1" t="s">
        <v>7331</v>
      </c>
      <c r="H904" s="1" t="s">
        <v>7332</v>
      </c>
      <c r="I904" s="1" t="s">
        <v>7333</v>
      </c>
      <c r="J904" s="1" t="s">
        <v>7334</v>
      </c>
      <c r="K904" s="1" t="s">
        <v>39</v>
      </c>
      <c r="L904" s="1" t="s">
        <v>7335</v>
      </c>
      <c r="M904" s="1" t="s">
        <v>42</v>
      </c>
      <c r="N904" s="1"/>
      <c r="O904" s="1" t="s">
        <v>31</v>
      </c>
      <c r="P904" s="1"/>
      <c r="Q904" s="1"/>
      <c r="R904" s="1" t="s">
        <v>5480</v>
      </c>
      <c r="S904" s="1" t="s">
        <v>7336</v>
      </c>
      <c r="T904" s="15">
        <v>2024</v>
      </c>
      <c r="U904" s="3" t="s">
        <v>5765</v>
      </c>
      <c r="V904" s="13" t="s">
        <v>29</v>
      </c>
      <c r="X904" s="12">
        <v>5</v>
      </c>
      <c r="Z904" s="14" t="s">
        <v>3828</v>
      </c>
      <c r="AA904" s="12" t="s">
        <v>7364</v>
      </c>
      <c r="AB904" s="14" t="s">
        <v>3888</v>
      </c>
      <c r="AD904" s="12" t="s">
        <v>764</v>
      </c>
    </row>
    <row r="905" spans="1:30" ht="27.6" hidden="1" x14ac:dyDescent="0.3">
      <c r="A905" s="1" t="s">
        <v>6122</v>
      </c>
      <c r="B905" s="1" t="s">
        <v>7337</v>
      </c>
      <c r="C905" s="1" t="s">
        <v>397</v>
      </c>
      <c r="D905" s="1" t="s">
        <v>7339</v>
      </c>
      <c r="E905" s="1" t="s">
        <v>7340</v>
      </c>
      <c r="F905" s="1" t="s">
        <v>7338</v>
      </c>
      <c r="G905" s="1"/>
      <c r="H905" s="1" t="s">
        <v>3945</v>
      </c>
      <c r="I905" s="1" t="s">
        <v>7341</v>
      </c>
      <c r="J905" s="1" t="s">
        <v>1123</v>
      </c>
      <c r="K905" s="1" t="s">
        <v>39</v>
      </c>
      <c r="L905" s="1" t="s">
        <v>7342</v>
      </c>
      <c r="M905" s="1" t="s">
        <v>141</v>
      </c>
      <c r="N905" s="1" t="s">
        <v>7343</v>
      </c>
      <c r="O905" s="1" t="s">
        <v>31</v>
      </c>
      <c r="P905" s="1"/>
      <c r="Q905" s="1"/>
      <c r="R905" s="1" t="s">
        <v>5480</v>
      </c>
      <c r="S905" s="1" t="s">
        <v>7344</v>
      </c>
      <c r="T905" s="15">
        <v>2024</v>
      </c>
      <c r="U905" s="3" t="s">
        <v>5765</v>
      </c>
      <c r="V905" s="13" t="s">
        <v>29</v>
      </c>
      <c r="X905" s="12">
        <v>15</v>
      </c>
      <c r="Z905" s="14" t="s">
        <v>2148</v>
      </c>
      <c r="AA905" s="12" t="s">
        <v>7365</v>
      </c>
      <c r="AB905" s="14" t="s">
        <v>3890</v>
      </c>
      <c r="AD905" s="12" t="s">
        <v>764</v>
      </c>
    </row>
    <row r="906" spans="1:30" ht="55.2" hidden="1" x14ac:dyDescent="0.3">
      <c r="A906" s="1" t="s">
        <v>7345</v>
      </c>
      <c r="B906" s="1" t="s">
        <v>7346</v>
      </c>
      <c r="C906" s="1" t="s">
        <v>124</v>
      </c>
      <c r="D906" s="1" t="s">
        <v>7347</v>
      </c>
      <c r="E906" s="1"/>
      <c r="F906" s="1" t="s">
        <v>7348</v>
      </c>
      <c r="G906" s="1"/>
      <c r="H906" s="1"/>
      <c r="I906" s="1"/>
      <c r="J906" s="1" t="s">
        <v>877</v>
      </c>
      <c r="K906" s="1" t="s">
        <v>39</v>
      </c>
      <c r="L906" s="1" t="s">
        <v>7349</v>
      </c>
      <c r="M906" s="1" t="s">
        <v>42</v>
      </c>
      <c r="N906" s="1"/>
      <c r="O906" s="1" t="s">
        <v>31</v>
      </c>
      <c r="P906" s="1"/>
      <c r="Q906" s="1"/>
      <c r="R906" s="1" t="s">
        <v>5359</v>
      </c>
      <c r="S906" s="1" t="s">
        <v>7350</v>
      </c>
      <c r="T906" s="15">
        <v>2024</v>
      </c>
      <c r="U906" s="3" t="s">
        <v>5765</v>
      </c>
      <c r="V906" s="13" t="s">
        <v>29</v>
      </c>
      <c r="X906" s="12">
        <v>5</v>
      </c>
      <c r="Z906" s="14" t="s">
        <v>3828</v>
      </c>
      <c r="AA906" s="12" t="s">
        <v>7366</v>
      </c>
      <c r="AB906" s="14" t="s">
        <v>3885</v>
      </c>
      <c r="AD906" s="12" t="s">
        <v>764</v>
      </c>
    </row>
    <row r="907" spans="1:30" ht="41.4" x14ac:dyDescent="0.3">
      <c r="A907" s="1" t="s">
        <v>7351</v>
      </c>
      <c r="B907" s="1" t="s">
        <v>7352</v>
      </c>
      <c r="C907" s="1" t="s">
        <v>1378</v>
      </c>
      <c r="D907" s="1" t="s">
        <v>7353</v>
      </c>
      <c r="E907" s="1"/>
      <c r="F907" s="2" t="s">
        <v>7354</v>
      </c>
      <c r="G907" s="1"/>
      <c r="H907" s="1" t="s">
        <v>3656</v>
      </c>
      <c r="I907" s="1" t="s">
        <v>7355</v>
      </c>
      <c r="J907" s="1" t="s">
        <v>4854</v>
      </c>
      <c r="K907" s="1" t="s">
        <v>39</v>
      </c>
      <c r="L907" s="1" t="s">
        <v>7356</v>
      </c>
      <c r="M907" s="1" t="s">
        <v>42</v>
      </c>
      <c r="N907" s="1"/>
      <c r="O907" s="1" t="s">
        <v>31</v>
      </c>
      <c r="P907" s="1"/>
      <c r="Q907" s="1"/>
      <c r="R907" s="1" t="s">
        <v>5655</v>
      </c>
      <c r="S907" s="1" t="s">
        <v>7357</v>
      </c>
      <c r="T907" s="15">
        <v>2024</v>
      </c>
      <c r="U907" s="3" t="s">
        <v>5765</v>
      </c>
      <c r="V907" s="13" t="s">
        <v>29</v>
      </c>
      <c r="Y907" s="44">
        <v>45899</v>
      </c>
      <c r="Z907" s="14" t="s">
        <v>3828</v>
      </c>
      <c r="AA907" s="12" t="s">
        <v>7367</v>
      </c>
      <c r="AB907" s="14" t="s">
        <v>3887</v>
      </c>
      <c r="AD907" s="12" t="s">
        <v>764</v>
      </c>
    </row>
    <row r="908" spans="1:30" hidden="1" x14ac:dyDescent="0.3">
      <c r="A908" s="1"/>
      <c r="B908" s="46" t="s">
        <v>1537</v>
      </c>
      <c r="C908" s="46" t="s">
        <v>1828</v>
      </c>
      <c r="D908" s="1" t="s">
        <v>7358</v>
      </c>
      <c r="E908" s="1" t="s">
        <v>7359</v>
      </c>
      <c r="F908" s="1" t="s">
        <v>7360</v>
      </c>
      <c r="G908" s="1"/>
      <c r="H908" s="1"/>
      <c r="I908" s="1"/>
      <c r="J908" s="1" t="s">
        <v>7361</v>
      </c>
      <c r="K908" s="1" t="s">
        <v>39</v>
      </c>
      <c r="L908" s="1" t="s">
        <v>7188</v>
      </c>
      <c r="M908" s="1" t="s">
        <v>141</v>
      </c>
      <c r="N908" s="1"/>
      <c r="O908" s="1" t="s">
        <v>31</v>
      </c>
      <c r="P908" s="1"/>
      <c r="Q908" s="1"/>
      <c r="R908" s="1" t="s">
        <v>5359</v>
      </c>
      <c r="S908" s="1" t="s">
        <v>7362</v>
      </c>
      <c r="T908" s="15">
        <v>2024</v>
      </c>
      <c r="U908" s="3" t="s">
        <v>5765</v>
      </c>
      <c r="V908" s="13" t="s">
        <v>29</v>
      </c>
      <c r="X908" s="12">
        <v>5</v>
      </c>
      <c r="Z908" s="14" t="s">
        <v>3828</v>
      </c>
      <c r="AA908" s="12" t="s">
        <v>7366</v>
      </c>
      <c r="AB908" s="14" t="s">
        <v>3885</v>
      </c>
      <c r="AD908" s="12" t="s">
        <v>764</v>
      </c>
    </row>
    <row r="909" spans="1:30" customFormat="1" hidden="1" x14ac:dyDescent="0.3">
      <c r="A909" s="1" t="s">
        <v>22</v>
      </c>
      <c r="B909" s="4" t="s">
        <v>7370</v>
      </c>
      <c r="C909" s="4" t="s">
        <v>1989</v>
      </c>
      <c r="D909" s="1" t="s">
        <v>7371</v>
      </c>
      <c r="E909" s="1" t="s">
        <v>7372</v>
      </c>
      <c r="F909" s="1" t="s">
        <v>7373</v>
      </c>
      <c r="G909" s="1" t="s">
        <v>7374</v>
      </c>
      <c r="H909" s="1" t="s">
        <v>7375</v>
      </c>
      <c r="I909" s="1" t="s">
        <v>3627</v>
      </c>
      <c r="J909" s="1" t="s">
        <v>7376</v>
      </c>
      <c r="K909" s="1" t="s">
        <v>39</v>
      </c>
      <c r="L909" s="1" t="s">
        <v>7377</v>
      </c>
      <c r="M909" s="1" t="s">
        <v>141</v>
      </c>
      <c r="N909" s="1"/>
      <c r="O909" s="1" t="s">
        <v>31</v>
      </c>
      <c r="P909" s="1"/>
      <c r="Q909" s="1"/>
      <c r="R909" s="1" t="s">
        <v>5429</v>
      </c>
      <c r="S909" s="1" t="s">
        <v>7378</v>
      </c>
      <c r="T909" s="15">
        <v>2024</v>
      </c>
      <c r="U909" s="3" t="s">
        <v>5765</v>
      </c>
      <c r="V909" s="13" t="s">
        <v>29</v>
      </c>
      <c r="X909" s="12">
        <v>5</v>
      </c>
      <c r="Z909" s="14" t="s">
        <v>3828</v>
      </c>
      <c r="AA909" s="12" t="s">
        <v>4011</v>
      </c>
      <c r="AB909" s="14" t="s">
        <v>3888</v>
      </c>
      <c r="AD909" s="12" t="s">
        <v>764</v>
      </c>
    </row>
    <row r="910" spans="1:30" customFormat="1" ht="27.6" hidden="1" x14ac:dyDescent="0.3">
      <c r="A910" s="1" t="s">
        <v>2039</v>
      </c>
      <c r="B910" s="1" t="s">
        <v>7379</v>
      </c>
      <c r="C910" s="1" t="s">
        <v>48</v>
      </c>
      <c r="D910" s="1" t="s">
        <v>7380</v>
      </c>
      <c r="E910" s="1" t="s">
        <v>7381</v>
      </c>
      <c r="F910" s="1" t="s">
        <v>7382</v>
      </c>
      <c r="G910" s="1" t="s">
        <v>7383</v>
      </c>
      <c r="H910" s="1" t="s">
        <v>7384</v>
      </c>
      <c r="I910" s="1" t="s">
        <v>7385</v>
      </c>
      <c r="J910" s="1" t="s">
        <v>72</v>
      </c>
      <c r="K910" s="1" t="s">
        <v>39</v>
      </c>
      <c r="L910" s="1" t="s">
        <v>7386</v>
      </c>
      <c r="M910" s="1" t="s">
        <v>141</v>
      </c>
      <c r="N910" s="1"/>
      <c r="O910" s="1" t="s">
        <v>31</v>
      </c>
      <c r="P910" s="1"/>
      <c r="Q910" s="1"/>
      <c r="R910" s="1" t="s">
        <v>5480</v>
      </c>
      <c r="S910" s="1" t="s">
        <v>7387</v>
      </c>
      <c r="T910" s="15">
        <v>2024</v>
      </c>
      <c r="U910" s="3" t="s">
        <v>5765</v>
      </c>
      <c r="V910" s="13" t="s">
        <v>29</v>
      </c>
      <c r="X910" s="12">
        <v>50</v>
      </c>
      <c r="Z910" s="14" t="s">
        <v>3835</v>
      </c>
      <c r="AA910" s="12" t="s">
        <v>7405</v>
      </c>
      <c r="AB910" s="14" t="s">
        <v>3884</v>
      </c>
      <c r="AD910" s="12" t="s">
        <v>764</v>
      </c>
    </row>
    <row r="911" spans="1:30" customFormat="1" ht="27.6" hidden="1" x14ac:dyDescent="0.3">
      <c r="A911" s="1" t="s">
        <v>7388</v>
      </c>
      <c r="B911" s="1" t="s">
        <v>7389</v>
      </c>
      <c r="C911" s="1" t="s">
        <v>1989</v>
      </c>
      <c r="D911" s="1" t="s">
        <v>7390</v>
      </c>
      <c r="E911" s="1" t="s">
        <v>7391</v>
      </c>
      <c r="F911" s="1" t="s">
        <v>7392</v>
      </c>
      <c r="G911" s="1" t="s">
        <v>7393</v>
      </c>
      <c r="H911" s="1"/>
      <c r="I911" s="1"/>
      <c r="J911" s="1" t="s">
        <v>7394</v>
      </c>
      <c r="K911" s="1" t="s">
        <v>39</v>
      </c>
      <c r="L911" s="1" t="s">
        <v>7395</v>
      </c>
      <c r="M911" s="1" t="s">
        <v>141</v>
      </c>
      <c r="N911" s="1"/>
      <c r="O911" s="1" t="s">
        <v>31</v>
      </c>
      <c r="P911" s="1"/>
      <c r="Q911" s="1"/>
      <c r="R911" s="1" t="s">
        <v>5429</v>
      </c>
      <c r="S911" s="1" t="s">
        <v>7396</v>
      </c>
      <c r="T911" s="15">
        <v>2024</v>
      </c>
      <c r="U911" s="3" t="s">
        <v>5765</v>
      </c>
      <c r="V911" s="13" t="s">
        <v>29</v>
      </c>
      <c r="X911" s="12">
        <v>10</v>
      </c>
      <c r="Z911" s="14" t="s">
        <v>3835</v>
      </c>
      <c r="AA911" s="12" t="s">
        <v>6392</v>
      </c>
      <c r="AB911" s="14" t="s">
        <v>3884</v>
      </c>
      <c r="AD911" s="12" t="s">
        <v>764</v>
      </c>
    </row>
    <row r="912" spans="1:30" customFormat="1" ht="41.4" hidden="1" x14ac:dyDescent="0.3">
      <c r="A912" s="1" t="s">
        <v>7397</v>
      </c>
      <c r="B912" s="1" t="s">
        <v>3591</v>
      </c>
      <c r="C912" s="1" t="s">
        <v>3159</v>
      </c>
      <c r="D912" s="1" t="s">
        <v>7398</v>
      </c>
      <c r="E912" s="1" t="s">
        <v>7399</v>
      </c>
      <c r="F912" s="1" t="s">
        <v>7400</v>
      </c>
      <c r="G912" s="1" t="s">
        <v>7401</v>
      </c>
      <c r="H912" s="1"/>
      <c r="I912" s="1"/>
      <c r="J912" s="1" t="s">
        <v>7402</v>
      </c>
      <c r="K912" s="1" t="s">
        <v>39</v>
      </c>
      <c r="L912" s="1" t="s">
        <v>7403</v>
      </c>
      <c r="M912" s="1" t="s">
        <v>42</v>
      </c>
      <c r="N912" s="1"/>
      <c r="O912" s="1" t="s">
        <v>31</v>
      </c>
      <c r="P912" s="1"/>
      <c r="Q912" s="1"/>
      <c r="R912" s="1" t="s">
        <v>6962</v>
      </c>
      <c r="S912" s="1" t="s">
        <v>7404</v>
      </c>
      <c r="T912" s="15">
        <v>2024</v>
      </c>
      <c r="U912" s="3" t="s">
        <v>5765</v>
      </c>
      <c r="V912" s="13" t="s">
        <v>29</v>
      </c>
      <c r="X912">
        <v>5</v>
      </c>
      <c r="Z912" s="14" t="s">
        <v>3828</v>
      </c>
      <c r="AA912" s="12" t="s">
        <v>7225</v>
      </c>
      <c r="AB912" s="14" t="s">
        <v>3885</v>
      </c>
      <c r="AD912" s="12" t="s">
        <v>764</v>
      </c>
    </row>
    <row r="913" spans="1:30" customFormat="1" hidden="1" x14ac:dyDescent="0.3">
      <c r="A913" s="1"/>
      <c r="B913" s="4" t="s">
        <v>7406</v>
      </c>
      <c r="C913" s="4" t="s">
        <v>7407</v>
      </c>
      <c r="D913" s="1" t="s">
        <v>7408</v>
      </c>
      <c r="E913" s="1" t="s">
        <v>7409</v>
      </c>
      <c r="F913" s="1" t="s">
        <v>7410</v>
      </c>
      <c r="G913" s="1"/>
      <c r="H913" s="1"/>
      <c r="I913" s="1"/>
      <c r="J913" s="1" t="s">
        <v>7411</v>
      </c>
      <c r="K913" s="1" t="s">
        <v>39</v>
      </c>
      <c r="L913" s="1" t="s">
        <v>7412</v>
      </c>
      <c r="M913" s="1" t="s">
        <v>42</v>
      </c>
      <c r="N913" s="1"/>
      <c r="O913" s="1" t="s">
        <v>31</v>
      </c>
      <c r="P913" s="1"/>
      <c r="Q913" s="1"/>
      <c r="R913" s="1" t="s">
        <v>5359</v>
      </c>
      <c r="S913" s="1" t="s">
        <v>7413</v>
      </c>
      <c r="T913" s="15">
        <v>2024</v>
      </c>
      <c r="U913" s="3" t="s">
        <v>7500</v>
      </c>
      <c r="V913" s="13" t="s">
        <v>376</v>
      </c>
      <c r="X913" s="12">
        <v>5</v>
      </c>
      <c r="Z913" s="14"/>
    </row>
    <row r="914" spans="1:30" customFormat="1" ht="27.6" hidden="1" x14ac:dyDescent="0.3">
      <c r="A914" s="1" t="s">
        <v>7414</v>
      </c>
      <c r="B914" s="1" t="s">
        <v>7415</v>
      </c>
      <c r="C914" s="1" t="s">
        <v>172</v>
      </c>
      <c r="D914" s="1" t="s">
        <v>7416</v>
      </c>
      <c r="E914" s="1" t="s">
        <v>7417</v>
      </c>
      <c r="F914" s="1" t="s">
        <v>7418</v>
      </c>
      <c r="G914" s="1"/>
      <c r="H914" s="1"/>
      <c r="I914" s="1"/>
      <c r="J914" s="1" t="s">
        <v>4272</v>
      </c>
      <c r="K914" s="1" t="s">
        <v>39</v>
      </c>
      <c r="L914" s="1" t="s">
        <v>7419</v>
      </c>
      <c r="M914" s="1" t="s">
        <v>141</v>
      </c>
      <c r="N914" s="1"/>
      <c r="O914" s="1" t="s">
        <v>31</v>
      </c>
      <c r="P914" s="1"/>
      <c r="Q914" s="1"/>
      <c r="R914" s="1" t="s">
        <v>6962</v>
      </c>
      <c r="S914" s="1" t="s">
        <v>7420</v>
      </c>
      <c r="T914" s="15">
        <v>2024</v>
      </c>
      <c r="U914" s="3" t="s">
        <v>5765</v>
      </c>
      <c r="V914" s="13" t="s">
        <v>29</v>
      </c>
      <c r="X914" s="12">
        <v>5</v>
      </c>
      <c r="Z914" s="14" t="s">
        <v>2148</v>
      </c>
      <c r="AA914" s="12" t="s">
        <v>520</v>
      </c>
      <c r="AB914" s="14" t="s">
        <v>3890</v>
      </c>
      <c r="AD914" s="12" t="s">
        <v>764</v>
      </c>
    </row>
    <row r="915" spans="1:30" customFormat="1" ht="27.6" hidden="1" x14ac:dyDescent="0.3">
      <c r="A915" s="1"/>
      <c r="B915" s="1" t="s">
        <v>1882</v>
      </c>
      <c r="C915" s="1" t="s">
        <v>124</v>
      </c>
      <c r="D915" s="1" t="s">
        <v>7421</v>
      </c>
      <c r="E915" s="1"/>
      <c r="F915" s="1" t="s">
        <v>7422</v>
      </c>
      <c r="G915" s="1"/>
      <c r="H915" s="1"/>
      <c r="I915" s="1"/>
      <c r="J915" s="1" t="s">
        <v>72</v>
      </c>
      <c r="K915" s="1" t="s">
        <v>39</v>
      </c>
      <c r="L915" s="1" t="s">
        <v>7423</v>
      </c>
      <c r="M915" s="1" t="s">
        <v>141</v>
      </c>
      <c r="N915" s="1" t="s">
        <v>7424</v>
      </c>
      <c r="O915" s="1" t="s">
        <v>31</v>
      </c>
      <c r="P915" s="1"/>
      <c r="Q915" s="1"/>
      <c r="R915" s="1" t="s">
        <v>5480</v>
      </c>
      <c r="S915" s="1" t="s">
        <v>7425</v>
      </c>
      <c r="T915" s="15">
        <v>2024</v>
      </c>
      <c r="U915" s="3" t="s">
        <v>5765</v>
      </c>
      <c r="V915" s="13" t="s">
        <v>29</v>
      </c>
      <c r="X915" s="12">
        <v>5</v>
      </c>
      <c r="Z915" s="14" t="s">
        <v>3835</v>
      </c>
      <c r="AA915" s="12" t="s">
        <v>4867</v>
      </c>
      <c r="AB915" s="14" t="s">
        <v>3884</v>
      </c>
      <c r="AD915" s="12" t="s">
        <v>764</v>
      </c>
    </row>
    <row r="916" spans="1:30" customFormat="1" ht="27.6" hidden="1" x14ac:dyDescent="0.3">
      <c r="A916" s="1"/>
      <c r="B916" s="1" t="s">
        <v>7426</v>
      </c>
      <c r="C916" s="1" t="s">
        <v>7427</v>
      </c>
      <c r="D916" s="1" t="s">
        <v>7428</v>
      </c>
      <c r="E916" s="1" t="s">
        <v>7429</v>
      </c>
      <c r="F916" s="1" t="s">
        <v>7430</v>
      </c>
      <c r="G916" s="2" t="s">
        <v>7431</v>
      </c>
      <c r="H916" s="1" t="s">
        <v>7432</v>
      </c>
      <c r="I916" s="1" t="s">
        <v>7433</v>
      </c>
      <c r="J916" s="1" t="s">
        <v>4924</v>
      </c>
      <c r="K916" s="1" t="s">
        <v>39</v>
      </c>
      <c r="L916" s="1" t="s">
        <v>7434</v>
      </c>
      <c r="M916" s="1" t="s">
        <v>141</v>
      </c>
      <c r="N916" s="1" t="s">
        <v>7435</v>
      </c>
      <c r="O916" s="1" t="s">
        <v>31</v>
      </c>
      <c r="P916" s="1"/>
      <c r="Q916" s="1"/>
      <c r="R916" s="1" t="s">
        <v>5429</v>
      </c>
      <c r="S916" s="1" t="s">
        <v>7436</v>
      </c>
      <c r="T916" s="15">
        <v>2024</v>
      </c>
      <c r="U916" s="3" t="s">
        <v>5765</v>
      </c>
      <c r="V916" s="13" t="s">
        <v>29</v>
      </c>
      <c r="X916" s="12">
        <v>5</v>
      </c>
      <c r="Z916" s="14" t="s">
        <v>3835</v>
      </c>
      <c r="AA916" s="12" t="s">
        <v>4867</v>
      </c>
      <c r="AB916" s="14" t="s">
        <v>3884</v>
      </c>
      <c r="AD916" s="12" t="s">
        <v>764</v>
      </c>
    </row>
    <row r="917" spans="1:30" customFormat="1" ht="41.4" x14ac:dyDescent="0.3">
      <c r="A917" s="1" t="s">
        <v>1388</v>
      </c>
      <c r="B917" s="1" t="s">
        <v>7437</v>
      </c>
      <c r="C917" s="1" t="s">
        <v>7438</v>
      </c>
      <c r="D917" s="1" t="s">
        <v>7439</v>
      </c>
      <c r="E917" s="1" t="s">
        <v>7440</v>
      </c>
      <c r="F917" s="1" t="s">
        <v>7441</v>
      </c>
      <c r="G917" s="1" t="s">
        <v>7442</v>
      </c>
      <c r="H917" s="1"/>
      <c r="I917" s="1"/>
      <c r="J917" s="1" t="s">
        <v>72</v>
      </c>
      <c r="K917" s="1" t="s">
        <v>39</v>
      </c>
      <c r="L917" s="1" t="s">
        <v>7443</v>
      </c>
      <c r="M917" s="1" t="s">
        <v>42</v>
      </c>
      <c r="N917" s="1"/>
      <c r="O917" s="1" t="s">
        <v>31</v>
      </c>
      <c r="P917" s="1"/>
      <c r="Q917" s="1"/>
      <c r="R917" s="1" t="s">
        <v>5359</v>
      </c>
      <c r="S917" s="1" t="s">
        <v>7444</v>
      </c>
      <c r="T917" s="15">
        <v>2024</v>
      </c>
      <c r="U917" s="3" t="s">
        <v>5765</v>
      </c>
      <c r="V917" s="13" t="s">
        <v>29</v>
      </c>
      <c r="Y917" s="44">
        <v>45899</v>
      </c>
      <c r="Z917" s="14" t="s">
        <v>3828</v>
      </c>
      <c r="AA917" s="12" t="s">
        <v>7497</v>
      </c>
      <c r="AB917" s="14" t="s">
        <v>3885</v>
      </c>
      <c r="AD917" s="12" t="s">
        <v>7498</v>
      </c>
    </row>
    <row r="918" spans="1:30" customFormat="1" hidden="1" x14ac:dyDescent="0.3">
      <c r="A918" s="1"/>
      <c r="B918" s="1" t="s">
        <v>7445</v>
      </c>
      <c r="C918" s="1" t="s">
        <v>1882</v>
      </c>
      <c r="D918" s="1" t="s">
        <v>7446</v>
      </c>
      <c r="E918" s="1" t="s">
        <v>7447</v>
      </c>
      <c r="F918" s="1" t="s">
        <v>7448</v>
      </c>
      <c r="G918" s="1" t="s">
        <v>7449</v>
      </c>
      <c r="H918" s="1"/>
      <c r="I918" s="1"/>
      <c r="J918" s="1" t="s">
        <v>7450</v>
      </c>
      <c r="K918" s="1" t="s">
        <v>39</v>
      </c>
      <c r="L918" s="1" t="s">
        <v>7451</v>
      </c>
      <c r="M918" s="1" t="s">
        <v>141</v>
      </c>
      <c r="N918" s="1" t="s">
        <v>7452</v>
      </c>
      <c r="O918" s="1" t="s">
        <v>31</v>
      </c>
      <c r="P918" s="1"/>
      <c r="Q918" s="1"/>
      <c r="R918" s="1" t="s">
        <v>5359</v>
      </c>
      <c r="S918" s="1" t="s">
        <v>7453</v>
      </c>
      <c r="T918" s="15">
        <v>2024</v>
      </c>
      <c r="U918" s="3" t="s">
        <v>5765</v>
      </c>
      <c r="V918" s="13" t="s">
        <v>29</v>
      </c>
      <c r="X918" s="12">
        <v>5</v>
      </c>
      <c r="Z918" s="14" t="s">
        <v>3828</v>
      </c>
      <c r="AA918" s="12" t="s">
        <v>4868</v>
      </c>
      <c r="AB918" s="14" t="s">
        <v>3888</v>
      </c>
      <c r="AD918" s="12" t="s">
        <v>764</v>
      </c>
    </row>
    <row r="919" spans="1:30" customFormat="1" hidden="1" x14ac:dyDescent="0.3">
      <c r="A919" s="1" t="s">
        <v>7454</v>
      </c>
      <c r="B919" s="1" t="s">
        <v>6280</v>
      </c>
      <c r="C919" s="1" t="s">
        <v>1742</v>
      </c>
      <c r="D919" s="1" t="s">
        <v>7455</v>
      </c>
      <c r="E919" s="1" t="s">
        <v>7456</v>
      </c>
      <c r="F919" s="1" t="s">
        <v>7457</v>
      </c>
      <c r="G919" s="1" t="s">
        <v>7458</v>
      </c>
      <c r="H919" s="1" t="s">
        <v>7459</v>
      </c>
      <c r="I919" s="1"/>
      <c r="J919" s="1" t="s">
        <v>72</v>
      </c>
      <c r="K919" s="1" t="s">
        <v>39</v>
      </c>
      <c r="L919" s="1" t="s">
        <v>7460</v>
      </c>
      <c r="M919" s="1" t="s">
        <v>42</v>
      </c>
      <c r="N919" s="1"/>
      <c r="O919" s="1" t="s">
        <v>31</v>
      </c>
      <c r="P919" s="1"/>
      <c r="Q919" s="1"/>
      <c r="R919" s="1" t="s">
        <v>6962</v>
      </c>
      <c r="S919" s="1" t="s">
        <v>7461</v>
      </c>
      <c r="T919" s="15">
        <v>2024</v>
      </c>
      <c r="U919" s="3" t="s">
        <v>5765</v>
      </c>
      <c r="V919" s="13" t="s">
        <v>29</v>
      </c>
      <c r="X919" s="12">
        <v>5</v>
      </c>
      <c r="Z919" s="14" t="s">
        <v>3828</v>
      </c>
      <c r="AA919" s="12" t="s">
        <v>4870</v>
      </c>
      <c r="AB919" s="14" t="s">
        <v>3888</v>
      </c>
      <c r="AD919" s="12" t="s">
        <v>764</v>
      </c>
    </row>
    <row r="920" spans="1:30" customFormat="1" hidden="1" x14ac:dyDescent="0.3">
      <c r="A920" s="1"/>
      <c r="B920" s="1" t="s">
        <v>7445</v>
      </c>
      <c r="C920" s="1" t="s">
        <v>1989</v>
      </c>
      <c r="D920" s="1" t="s">
        <v>7462</v>
      </c>
      <c r="E920" s="1" t="s">
        <v>7463</v>
      </c>
      <c r="F920" s="1" t="s">
        <v>7464</v>
      </c>
      <c r="G920" s="1" t="s">
        <v>7465</v>
      </c>
      <c r="H920" s="1"/>
      <c r="I920" s="1"/>
      <c r="J920" s="1" t="s">
        <v>7450</v>
      </c>
      <c r="K920" s="1" t="s">
        <v>39</v>
      </c>
      <c r="L920" s="1" t="s">
        <v>7466</v>
      </c>
      <c r="M920" s="1" t="s">
        <v>141</v>
      </c>
      <c r="N920" s="1" t="s">
        <v>7467</v>
      </c>
      <c r="O920" s="1" t="s">
        <v>31</v>
      </c>
      <c r="P920" s="1"/>
      <c r="Q920" s="1"/>
      <c r="R920" s="1" t="s">
        <v>5359</v>
      </c>
      <c r="S920" s="1" t="s">
        <v>7468</v>
      </c>
      <c r="T920" s="15">
        <v>2024</v>
      </c>
      <c r="U920" s="3" t="s">
        <v>5765</v>
      </c>
      <c r="V920" s="13" t="s">
        <v>29</v>
      </c>
      <c r="X920" s="12">
        <v>5</v>
      </c>
      <c r="Z920" s="14" t="s">
        <v>3828</v>
      </c>
      <c r="AA920" s="12" t="s">
        <v>4870</v>
      </c>
      <c r="AB920" s="14" t="s">
        <v>3888</v>
      </c>
      <c r="AD920" s="12" t="s">
        <v>764</v>
      </c>
    </row>
    <row r="921" spans="1:30" customFormat="1" ht="27.6" hidden="1" x14ac:dyDescent="0.3">
      <c r="A921" s="1" t="s">
        <v>22</v>
      </c>
      <c r="B921" s="1" t="s">
        <v>7469</v>
      </c>
      <c r="C921" s="1" t="s">
        <v>48</v>
      </c>
      <c r="D921" s="1" t="s">
        <v>7470</v>
      </c>
      <c r="E921" s="1" t="s">
        <v>7471</v>
      </c>
      <c r="F921" s="1" t="s">
        <v>7472</v>
      </c>
      <c r="G921" s="1" t="s">
        <v>7473</v>
      </c>
      <c r="H921" s="1" t="s">
        <v>7474</v>
      </c>
      <c r="I921" s="1" t="s">
        <v>7475</v>
      </c>
      <c r="J921" s="1" t="s">
        <v>7476</v>
      </c>
      <c r="K921" s="1" t="s">
        <v>39</v>
      </c>
      <c r="L921" s="1" t="s">
        <v>7477</v>
      </c>
      <c r="M921" s="1" t="s">
        <v>141</v>
      </c>
      <c r="N921" s="1"/>
      <c r="O921" s="1" t="s">
        <v>31</v>
      </c>
      <c r="P921" s="1"/>
      <c r="Q921" s="1"/>
      <c r="R921" s="1" t="s">
        <v>6962</v>
      </c>
      <c r="S921" s="1" t="s">
        <v>7478</v>
      </c>
      <c r="T921" s="15">
        <v>2024</v>
      </c>
      <c r="U921" s="3" t="s">
        <v>5765</v>
      </c>
      <c r="V921" s="13" t="s">
        <v>29</v>
      </c>
      <c r="X921">
        <v>5</v>
      </c>
      <c r="Z921" s="14" t="s">
        <v>3828</v>
      </c>
      <c r="AA921" s="12" t="s">
        <v>7499</v>
      </c>
      <c r="AB921" s="14" t="s">
        <v>3888</v>
      </c>
      <c r="AD921" s="12" t="s">
        <v>764</v>
      </c>
    </row>
    <row r="922" spans="1:30" customFormat="1" hidden="1" x14ac:dyDescent="0.3">
      <c r="A922" s="1" t="s">
        <v>22</v>
      </c>
      <c r="B922" s="1" t="s">
        <v>3484</v>
      </c>
      <c r="C922" s="1" t="s">
        <v>7479</v>
      </c>
      <c r="D922" s="1" t="s">
        <v>7480</v>
      </c>
      <c r="E922" s="1" t="s">
        <v>7481</v>
      </c>
      <c r="F922" s="1" t="s">
        <v>7482</v>
      </c>
      <c r="G922" s="1" t="s">
        <v>7483</v>
      </c>
      <c r="H922" s="1" t="s">
        <v>7484</v>
      </c>
      <c r="I922" s="1" t="s">
        <v>7485</v>
      </c>
      <c r="J922" s="1" t="s">
        <v>5850</v>
      </c>
      <c r="K922" s="1" t="s">
        <v>39</v>
      </c>
      <c r="L922" s="1" t="s">
        <v>7486</v>
      </c>
      <c r="M922" s="1" t="s">
        <v>141</v>
      </c>
      <c r="N922" s="1"/>
      <c r="O922" s="1" t="s">
        <v>31</v>
      </c>
      <c r="P922" s="1"/>
      <c r="Q922" s="1"/>
      <c r="R922" s="1" t="s">
        <v>5371</v>
      </c>
      <c r="S922" s="1" t="s">
        <v>7487</v>
      </c>
      <c r="T922" s="15">
        <v>2024</v>
      </c>
      <c r="U922" s="3" t="s">
        <v>5765</v>
      </c>
      <c r="V922" s="13" t="s">
        <v>29</v>
      </c>
      <c r="X922">
        <v>5</v>
      </c>
      <c r="Z922" s="14" t="s">
        <v>3835</v>
      </c>
      <c r="AA922" s="12" t="s">
        <v>4873</v>
      </c>
      <c r="AB922" s="14" t="s">
        <v>3884</v>
      </c>
      <c r="AD922" s="12" t="s">
        <v>764</v>
      </c>
    </row>
    <row r="923" spans="1:30" customFormat="1" hidden="1" x14ac:dyDescent="0.3">
      <c r="A923" s="1" t="s">
        <v>4040</v>
      </c>
      <c r="B923" s="1" t="s">
        <v>7488</v>
      </c>
      <c r="C923" s="1" t="s">
        <v>523</v>
      </c>
      <c r="D923" s="1" t="s">
        <v>7489</v>
      </c>
      <c r="E923" s="1" t="s">
        <v>7490</v>
      </c>
      <c r="F923" s="1" t="s">
        <v>7491</v>
      </c>
      <c r="G923" s="1" t="s">
        <v>7492</v>
      </c>
      <c r="H923" s="1" t="s">
        <v>7493</v>
      </c>
      <c r="I923" s="1" t="s">
        <v>7494</v>
      </c>
      <c r="J923" s="1" t="s">
        <v>7495</v>
      </c>
      <c r="K923" s="1" t="s">
        <v>39</v>
      </c>
      <c r="L923" s="1" t="s">
        <v>4758</v>
      </c>
      <c r="M923" s="1" t="s">
        <v>42</v>
      </c>
      <c r="N923" s="1"/>
      <c r="O923" s="1" t="s">
        <v>31</v>
      </c>
      <c r="P923" s="1"/>
      <c r="Q923" s="1"/>
      <c r="R923" s="1" t="s">
        <v>5429</v>
      </c>
      <c r="S923" s="1" t="s">
        <v>7496</v>
      </c>
      <c r="T923" s="15">
        <v>2024</v>
      </c>
      <c r="U923" s="3" t="s">
        <v>5765</v>
      </c>
      <c r="V923" s="13" t="s">
        <v>29</v>
      </c>
      <c r="X923" s="12">
        <v>5</v>
      </c>
      <c r="Z923" s="14" t="s">
        <v>3828</v>
      </c>
      <c r="AA923" s="12" t="s">
        <v>7499</v>
      </c>
      <c r="AB923" s="14" t="s">
        <v>3888</v>
      </c>
      <c r="AD923" s="12" t="s">
        <v>764</v>
      </c>
    </row>
    <row r="924" spans="1:30" customFormat="1" hidden="1" x14ac:dyDescent="0.3">
      <c r="A924" s="1"/>
      <c r="B924" s="4" t="s">
        <v>2252</v>
      </c>
      <c r="C924" s="4" t="s">
        <v>229</v>
      </c>
      <c r="D924" s="1" t="s">
        <v>7501</v>
      </c>
      <c r="E924" s="1" t="s">
        <v>7502</v>
      </c>
      <c r="F924" s="1" t="s">
        <v>7503</v>
      </c>
      <c r="G924" s="1"/>
      <c r="H924" s="1"/>
      <c r="I924" s="1"/>
      <c r="J924" s="1" t="s">
        <v>2926</v>
      </c>
      <c r="K924" s="1" t="s">
        <v>39</v>
      </c>
      <c r="L924" s="1" t="s">
        <v>1304</v>
      </c>
      <c r="M924" s="1" t="s">
        <v>42</v>
      </c>
      <c r="N924" s="1"/>
      <c r="O924" s="1" t="s">
        <v>31</v>
      </c>
      <c r="P924" s="1"/>
      <c r="Q924" s="1"/>
      <c r="R924" s="1" t="s">
        <v>5480</v>
      </c>
      <c r="S924" s="1" t="s">
        <v>7504</v>
      </c>
      <c r="T924" s="15">
        <v>2024</v>
      </c>
      <c r="U924" s="3" t="s">
        <v>5765</v>
      </c>
      <c r="V924" s="13" t="s">
        <v>29</v>
      </c>
      <c r="X924" s="12">
        <v>5</v>
      </c>
      <c r="Z924" s="14" t="s">
        <v>3828</v>
      </c>
      <c r="AA924" s="12" t="s">
        <v>4868</v>
      </c>
      <c r="AB924" s="14" t="s">
        <v>3888</v>
      </c>
      <c r="AD924" s="12" t="s">
        <v>764</v>
      </c>
    </row>
    <row r="925" spans="1:30" customFormat="1" hidden="1" x14ac:dyDescent="0.3">
      <c r="A925" s="1"/>
      <c r="B925" s="1" t="s">
        <v>7505</v>
      </c>
      <c r="C925" s="1" t="s">
        <v>3544</v>
      </c>
      <c r="D925" s="1" t="s">
        <v>7506</v>
      </c>
      <c r="E925" s="1" t="s">
        <v>7507</v>
      </c>
      <c r="F925" s="1" t="s">
        <v>7508</v>
      </c>
      <c r="G925" s="1"/>
      <c r="H925" s="1"/>
      <c r="I925" s="1"/>
      <c r="J925" s="1" t="s">
        <v>1929</v>
      </c>
      <c r="K925" s="1" t="s">
        <v>39</v>
      </c>
      <c r="L925" s="1" t="s">
        <v>1025</v>
      </c>
      <c r="M925" s="1" t="s">
        <v>42</v>
      </c>
      <c r="N925" s="1"/>
      <c r="O925" s="1" t="s">
        <v>31</v>
      </c>
      <c r="P925" s="1"/>
      <c r="Q925" s="1"/>
      <c r="R925" s="1" t="s">
        <v>5429</v>
      </c>
      <c r="S925" s="1" t="s">
        <v>7509</v>
      </c>
      <c r="T925" s="15">
        <v>2024</v>
      </c>
      <c r="U925" s="3" t="s">
        <v>5765</v>
      </c>
      <c r="V925" s="13" t="s">
        <v>29</v>
      </c>
      <c r="X925" s="12">
        <v>5</v>
      </c>
      <c r="Z925" s="14" t="s">
        <v>3828</v>
      </c>
      <c r="AA925" s="12" t="s">
        <v>7225</v>
      </c>
      <c r="AB925" s="14" t="s">
        <v>3885</v>
      </c>
      <c r="AD925" s="12" t="s">
        <v>764</v>
      </c>
    </row>
    <row r="926" spans="1:30" customFormat="1" ht="27.6" hidden="1" x14ac:dyDescent="0.3">
      <c r="A926" s="1" t="s">
        <v>2707</v>
      </c>
      <c r="B926" s="1" t="s">
        <v>7510</v>
      </c>
      <c r="C926" s="1" t="s">
        <v>7511</v>
      </c>
      <c r="D926" s="1" t="s">
        <v>7512</v>
      </c>
      <c r="E926" s="1" t="s">
        <v>7513</v>
      </c>
      <c r="F926" s="1" t="s">
        <v>7514</v>
      </c>
      <c r="G926" s="1"/>
      <c r="H926" s="1"/>
      <c r="I926" s="1"/>
      <c r="J926" s="1" t="s">
        <v>72</v>
      </c>
      <c r="K926" s="1" t="s">
        <v>39</v>
      </c>
      <c r="L926" s="1" t="s">
        <v>1304</v>
      </c>
      <c r="M926" s="1" t="s">
        <v>141</v>
      </c>
      <c r="N926" s="1"/>
      <c r="O926" s="1" t="s">
        <v>31</v>
      </c>
      <c r="P926" s="1"/>
      <c r="Q926" s="1"/>
      <c r="R926" s="1" t="s">
        <v>5359</v>
      </c>
      <c r="S926" s="1" t="s">
        <v>7515</v>
      </c>
      <c r="T926" s="15">
        <v>2024</v>
      </c>
      <c r="U926" s="3" t="s">
        <v>5765</v>
      </c>
      <c r="V926" s="13" t="s">
        <v>29</v>
      </c>
      <c r="X926" s="12">
        <v>5</v>
      </c>
      <c r="Z926" s="14" t="s">
        <v>6146</v>
      </c>
      <c r="AA926" s="12" t="s">
        <v>7522</v>
      </c>
      <c r="AB926" s="14" t="s">
        <v>3891</v>
      </c>
      <c r="AD926" s="12" t="s">
        <v>764</v>
      </c>
    </row>
    <row r="927" spans="1:30" customFormat="1" hidden="1" x14ac:dyDescent="0.3">
      <c r="A927" s="1"/>
      <c r="B927" s="1" t="s">
        <v>2800</v>
      </c>
      <c r="C927" s="1" t="s">
        <v>1076</v>
      </c>
      <c r="D927" s="1" t="s">
        <v>7516</v>
      </c>
      <c r="E927" s="1" t="s">
        <v>7517</v>
      </c>
      <c r="F927" s="1" t="s">
        <v>7518</v>
      </c>
      <c r="G927" s="1"/>
      <c r="H927" s="1" t="s">
        <v>6895</v>
      </c>
      <c r="I927" s="1" t="s">
        <v>7519</v>
      </c>
      <c r="J927" s="1" t="s">
        <v>72</v>
      </c>
      <c r="K927" s="1" t="s">
        <v>39</v>
      </c>
      <c r="L927" s="1" t="s">
        <v>7520</v>
      </c>
      <c r="M927" s="1" t="s">
        <v>152</v>
      </c>
      <c r="N927" s="1"/>
      <c r="O927" s="1" t="s">
        <v>31</v>
      </c>
      <c r="P927" s="1"/>
      <c r="Q927" s="1"/>
      <c r="R927" s="1" t="s">
        <v>5480</v>
      </c>
      <c r="S927" s="1" t="s">
        <v>7521</v>
      </c>
      <c r="T927" s="15">
        <v>2024</v>
      </c>
      <c r="U927" s="3" t="s">
        <v>6168</v>
      </c>
      <c r="V927" s="13" t="s">
        <v>6171</v>
      </c>
      <c r="X927" s="12" t="s">
        <v>7369</v>
      </c>
      <c r="Z927" s="14" t="s">
        <v>3828</v>
      </c>
      <c r="AD927" s="12" t="s">
        <v>764</v>
      </c>
    </row>
    <row r="928" spans="1:30" customFormat="1" ht="55.2" hidden="1" x14ac:dyDescent="0.3">
      <c r="A928" s="1" t="s">
        <v>7523</v>
      </c>
      <c r="B928" s="4" t="s">
        <v>7524</v>
      </c>
      <c r="C928" s="4" t="s">
        <v>1345</v>
      </c>
      <c r="D928" s="1" t="s">
        <v>7525</v>
      </c>
      <c r="E928" s="1" t="s">
        <v>7526</v>
      </c>
      <c r="F928" s="1" t="s">
        <v>7527</v>
      </c>
      <c r="G928" s="1" t="s">
        <v>7528</v>
      </c>
      <c r="H928" s="1" t="s">
        <v>7529</v>
      </c>
      <c r="I928" s="1" t="s">
        <v>7530</v>
      </c>
      <c r="J928" s="1" t="s">
        <v>7531</v>
      </c>
      <c r="K928" s="1" t="s">
        <v>39</v>
      </c>
      <c r="L928" s="1" t="s">
        <v>7532</v>
      </c>
      <c r="M928" s="1" t="s">
        <v>42</v>
      </c>
      <c r="N928" s="1"/>
      <c r="O928" s="1" t="s">
        <v>31</v>
      </c>
      <c r="P928" s="1"/>
      <c r="Q928" s="1"/>
      <c r="R928" s="1" t="s">
        <v>5480</v>
      </c>
      <c r="S928" s="1" t="s">
        <v>7533</v>
      </c>
      <c r="T928" s="15">
        <v>2024</v>
      </c>
      <c r="U928" s="3" t="s">
        <v>5765</v>
      </c>
      <c r="V928" s="13" t="s">
        <v>29</v>
      </c>
      <c r="X928" s="12">
        <v>5</v>
      </c>
      <c r="Z928" s="14" t="s">
        <v>3828</v>
      </c>
      <c r="AA928" s="12" t="s">
        <v>7037</v>
      </c>
      <c r="AB928" s="14" t="s">
        <v>3888</v>
      </c>
      <c r="AD928" s="12" t="s">
        <v>764</v>
      </c>
    </row>
    <row r="929" spans="1:30" customFormat="1" x14ac:dyDescent="0.3">
      <c r="A929" s="1"/>
      <c r="B929" s="1" t="s">
        <v>5031</v>
      </c>
      <c r="C929" s="1" t="s">
        <v>320</v>
      </c>
      <c r="D929" s="1" t="s">
        <v>7534</v>
      </c>
      <c r="E929" s="1" t="s">
        <v>5033</v>
      </c>
      <c r="F929" s="1" t="s">
        <v>5034</v>
      </c>
      <c r="G929" s="1" t="s">
        <v>7535</v>
      </c>
      <c r="H929" s="1"/>
      <c r="I929" s="1"/>
      <c r="J929" s="1" t="s">
        <v>72</v>
      </c>
      <c r="K929" s="1" t="s">
        <v>39</v>
      </c>
      <c r="L929" s="1" t="s">
        <v>1025</v>
      </c>
      <c r="M929" s="1" t="s">
        <v>141</v>
      </c>
      <c r="N929" s="1"/>
      <c r="O929" s="1" t="s">
        <v>31</v>
      </c>
      <c r="P929" s="1"/>
      <c r="Q929" s="1"/>
      <c r="R929" s="1" t="s">
        <v>5480</v>
      </c>
      <c r="S929" s="1" t="s">
        <v>7536</v>
      </c>
      <c r="T929" s="15">
        <v>2024</v>
      </c>
      <c r="U929" s="3" t="s">
        <v>5765</v>
      </c>
      <c r="V929" s="13" t="s">
        <v>29</v>
      </c>
      <c r="Y929" s="44">
        <v>45899</v>
      </c>
      <c r="Z929" s="14" t="s">
        <v>3835</v>
      </c>
      <c r="AA929" s="12" t="s">
        <v>6311</v>
      </c>
      <c r="AB929" s="14" t="s">
        <v>3884</v>
      </c>
      <c r="AD929" s="12" t="s">
        <v>764</v>
      </c>
    </row>
    <row r="930" spans="1:30" customFormat="1" hidden="1" x14ac:dyDescent="0.3">
      <c r="A930" s="1"/>
      <c r="B930" s="1" t="s">
        <v>7537</v>
      </c>
      <c r="C930" s="1" t="s">
        <v>938</v>
      </c>
      <c r="D930" s="1" t="s">
        <v>7538</v>
      </c>
      <c r="E930" s="1" t="s">
        <v>7539</v>
      </c>
      <c r="F930" s="1" t="s">
        <v>7540</v>
      </c>
      <c r="G930" s="1" t="s">
        <v>7541</v>
      </c>
      <c r="H930" s="1" t="s">
        <v>7542</v>
      </c>
      <c r="I930" s="1" t="s">
        <v>7543</v>
      </c>
      <c r="J930" s="1" t="s">
        <v>470</v>
      </c>
      <c r="K930" s="1" t="s">
        <v>39</v>
      </c>
      <c r="L930" s="1" t="s">
        <v>7544</v>
      </c>
      <c r="M930" s="1" t="s">
        <v>141</v>
      </c>
      <c r="N930" s="1"/>
      <c r="O930" s="1" t="s">
        <v>31</v>
      </c>
      <c r="P930" s="1"/>
      <c r="Q930" s="1"/>
      <c r="R930" s="1" t="s">
        <v>6962</v>
      </c>
      <c r="S930" s="1" t="s">
        <v>7545</v>
      </c>
      <c r="T930" s="15">
        <v>2024</v>
      </c>
      <c r="U930" s="3" t="s">
        <v>5765</v>
      </c>
      <c r="V930" s="13" t="s">
        <v>29</v>
      </c>
      <c r="X930">
        <v>5</v>
      </c>
      <c r="Z930" s="14" t="s">
        <v>3828</v>
      </c>
      <c r="AA930" s="12" t="s">
        <v>7553</v>
      </c>
      <c r="AB930" s="14" t="s">
        <v>3888</v>
      </c>
      <c r="AD930" s="12" t="s">
        <v>764</v>
      </c>
    </row>
    <row r="931" spans="1:30" customFormat="1" ht="27.6" hidden="1" x14ac:dyDescent="0.3">
      <c r="A931" s="1" t="s">
        <v>22</v>
      </c>
      <c r="B931" s="1" t="s">
        <v>7546</v>
      </c>
      <c r="C931" s="1" t="s">
        <v>124</v>
      </c>
      <c r="D931" s="1" t="s">
        <v>7547</v>
      </c>
      <c r="E931" s="1" t="s">
        <v>7548</v>
      </c>
      <c r="F931" s="1" t="s">
        <v>7549</v>
      </c>
      <c r="G931" s="1"/>
      <c r="H931" s="1"/>
      <c r="I931" s="1" t="s">
        <v>7550</v>
      </c>
      <c r="J931" s="1" t="s">
        <v>1060</v>
      </c>
      <c r="K931" s="1" t="s">
        <v>39</v>
      </c>
      <c r="L931" s="1" t="s">
        <v>7551</v>
      </c>
      <c r="M931" s="1" t="s">
        <v>42</v>
      </c>
      <c r="N931" s="1"/>
      <c r="O931" s="1" t="s">
        <v>31</v>
      </c>
      <c r="P931" s="1"/>
      <c r="Q931" s="1"/>
      <c r="R931" s="1" t="s">
        <v>5359</v>
      </c>
      <c r="S931" s="1" t="s">
        <v>7552</v>
      </c>
      <c r="T931" s="15">
        <v>2024</v>
      </c>
      <c r="U931" s="3" t="s">
        <v>7275</v>
      </c>
      <c r="V931" s="13" t="s">
        <v>29</v>
      </c>
      <c r="X931">
        <v>5</v>
      </c>
      <c r="Z931" s="14" t="s">
        <v>3870</v>
      </c>
      <c r="AA931" s="12" t="s">
        <v>7554</v>
      </c>
      <c r="AB931" s="14" t="s">
        <v>3886</v>
      </c>
      <c r="AD931" s="12" t="s">
        <v>764</v>
      </c>
    </row>
    <row r="932" spans="1:30" customFormat="1" hidden="1" x14ac:dyDescent="0.3">
      <c r="A932" s="1" t="s">
        <v>7555</v>
      </c>
      <c r="B932" s="4" t="s">
        <v>7556</v>
      </c>
      <c r="C932" s="4" t="s">
        <v>7557</v>
      </c>
      <c r="D932" s="1" t="s">
        <v>7558</v>
      </c>
      <c r="E932" s="1" t="s">
        <v>7559</v>
      </c>
      <c r="F932" s="1" t="s">
        <v>7560</v>
      </c>
      <c r="G932" s="1" t="s">
        <v>7561</v>
      </c>
      <c r="H932" s="1" t="s">
        <v>6465</v>
      </c>
      <c r="I932" s="1"/>
      <c r="J932" s="1" t="s">
        <v>1060</v>
      </c>
      <c r="K932" s="1" t="s">
        <v>39</v>
      </c>
      <c r="L932" s="1" t="s">
        <v>7562</v>
      </c>
      <c r="M932" s="1" t="s">
        <v>141</v>
      </c>
      <c r="N932" s="1"/>
      <c r="O932" s="1" t="s">
        <v>7563</v>
      </c>
      <c r="P932" s="1"/>
      <c r="Q932" s="1"/>
      <c r="R932" s="1" t="s">
        <v>5359</v>
      </c>
      <c r="S932" s="1" t="s">
        <v>7564</v>
      </c>
      <c r="T932" s="15">
        <v>2024</v>
      </c>
      <c r="U932" s="3" t="s">
        <v>7275</v>
      </c>
      <c r="V932" s="13" t="s">
        <v>29</v>
      </c>
      <c r="X932">
        <v>5</v>
      </c>
      <c r="Z932" s="14" t="s">
        <v>3835</v>
      </c>
      <c r="AA932" s="12" t="s">
        <v>4915</v>
      </c>
      <c r="AB932" s="14" t="s">
        <v>3884</v>
      </c>
      <c r="AD932" s="12" t="s">
        <v>764</v>
      </c>
    </row>
    <row r="933" spans="1:30" customFormat="1" ht="27.6" hidden="1" x14ac:dyDescent="0.3">
      <c r="A933" s="1"/>
      <c r="B933" s="1" t="s">
        <v>7565</v>
      </c>
      <c r="C933" s="1" t="s">
        <v>7566</v>
      </c>
      <c r="D933" s="1" t="s">
        <v>7567</v>
      </c>
      <c r="E933" s="1" t="s">
        <v>7568</v>
      </c>
      <c r="F933" s="1" t="s">
        <v>7569</v>
      </c>
      <c r="G933" s="1" t="s">
        <v>7570</v>
      </c>
      <c r="H933" s="1" t="s">
        <v>7571</v>
      </c>
      <c r="I933" s="1" t="s">
        <v>7572</v>
      </c>
      <c r="J933" s="1" t="s">
        <v>72</v>
      </c>
      <c r="K933" s="1" t="s">
        <v>39</v>
      </c>
      <c r="L933" s="1" t="s">
        <v>7573</v>
      </c>
      <c r="M933" s="1" t="s">
        <v>141</v>
      </c>
      <c r="N933" s="1"/>
      <c r="O933" s="1" t="s">
        <v>7563</v>
      </c>
      <c r="P933" s="1"/>
      <c r="Q933" s="1"/>
      <c r="R933" s="1" t="s">
        <v>5480</v>
      </c>
      <c r="S933" s="1" t="s">
        <v>7574</v>
      </c>
      <c r="T933" s="15">
        <v>2024</v>
      </c>
      <c r="U933" s="3" t="s">
        <v>5765</v>
      </c>
      <c r="V933" s="13" t="s">
        <v>29</v>
      </c>
      <c r="X933">
        <v>5</v>
      </c>
      <c r="Z933" s="14" t="s">
        <v>3828</v>
      </c>
      <c r="AA933" s="12" t="s">
        <v>7614</v>
      </c>
      <c r="AB933" s="14" t="s">
        <v>3887</v>
      </c>
      <c r="AD933" s="12" t="s">
        <v>7615</v>
      </c>
    </row>
    <row r="934" spans="1:30" customFormat="1" hidden="1" x14ac:dyDescent="0.3">
      <c r="A934" s="1" t="s">
        <v>5836</v>
      </c>
      <c r="B934" s="1" t="s">
        <v>7575</v>
      </c>
      <c r="C934" s="1" t="s">
        <v>7576</v>
      </c>
      <c r="D934" s="1" t="s">
        <v>7577</v>
      </c>
      <c r="E934" s="1" t="s">
        <v>7578</v>
      </c>
      <c r="F934" s="1" t="s">
        <v>7579</v>
      </c>
      <c r="G934" s="1" t="s">
        <v>7580</v>
      </c>
      <c r="H934" s="1" t="s">
        <v>3166</v>
      </c>
      <c r="I934" s="1"/>
      <c r="J934" s="1" t="s">
        <v>7581</v>
      </c>
      <c r="K934" s="1" t="s">
        <v>39</v>
      </c>
      <c r="L934" s="1" t="s">
        <v>7582</v>
      </c>
      <c r="M934" s="1" t="s">
        <v>141</v>
      </c>
      <c r="N934" s="1"/>
      <c r="O934" s="1" t="s">
        <v>7563</v>
      </c>
      <c r="P934" s="1"/>
      <c r="Q934" s="1"/>
      <c r="R934" s="1" t="s">
        <v>5359</v>
      </c>
      <c r="S934" s="1" t="s">
        <v>7583</v>
      </c>
      <c r="T934" s="15">
        <v>2024</v>
      </c>
      <c r="U934" s="3" t="s">
        <v>7275</v>
      </c>
      <c r="V934" s="13" t="s">
        <v>29</v>
      </c>
      <c r="X934" t="s">
        <v>9502</v>
      </c>
      <c r="Z934" s="14" t="s">
        <v>3835</v>
      </c>
      <c r="AA934" s="12" t="s">
        <v>4915</v>
      </c>
      <c r="AB934" s="14" t="s">
        <v>3884</v>
      </c>
      <c r="AD934" s="12" t="s">
        <v>764</v>
      </c>
    </row>
    <row r="935" spans="1:30" customFormat="1" hidden="1" x14ac:dyDescent="0.3">
      <c r="A935" s="1"/>
      <c r="B935" s="1" t="s">
        <v>7584</v>
      </c>
      <c r="C935" s="1" t="s">
        <v>354</v>
      </c>
      <c r="D935" s="1" t="s">
        <v>7585</v>
      </c>
      <c r="E935" s="1" t="s">
        <v>7586</v>
      </c>
      <c r="F935" s="1" t="s">
        <v>7587</v>
      </c>
      <c r="G935" s="1" t="s">
        <v>7588</v>
      </c>
      <c r="H935" s="1"/>
      <c r="I935" s="1"/>
      <c r="J935" s="1" t="s">
        <v>3968</v>
      </c>
      <c r="K935" s="1" t="s">
        <v>39</v>
      </c>
      <c r="L935" s="1" t="s">
        <v>7589</v>
      </c>
      <c r="M935" s="1" t="s">
        <v>141</v>
      </c>
      <c r="N935" s="1"/>
      <c r="O935" s="1" t="s">
        <v>7563</v>
      </c>
      <c r="P935" s="1"/>
      <c r="Q935" s="1"/>
      <c r="R935" s="1" t="s">
        <v>5480</v>
      </c>
      <c r="S935" s="1" t="s">
        <v>7590</v>
      </c>
      <c r="T935" s="15">
        <v>2024</v>
      </c>
      <c r="U935" s="3" t="s">
        <v>5765</v>
      </c>
      <c r="V935" s="13" t="s">
        <v>29</v>
      </c>
      <c r="X935">
        <v>5</v>
      </c>
      <c r="Z935" s="14" t="s">
        <v>3828</v>
      </c>
      <c r="AA935" s="12" t="s">
        <v>7616</v>
      </c>
      <c r="AB935" s="14" t="s">
        <v>3887</v>
      </c>
      <c r="AD935" s="12" t="s">
        <v>764</v>
      </c>
    </row>
    <row r="936" spans="1:30" customFormat="1" ht="41.4" hidden="1" x14ac:dyDescent="0.3">
      <c r="A936" s="1" t="s">
        <v>1482</v>
      </c>
      <c r="B936" s="1" t="s">
        <v>7591</v>
      </c>
      <c r="C936" s="1" t="s">
        <v>229</v>
      </c>
      <c r="D936" s="1" t="s">
        <v>7592</v>
      </c>
      <c r="E936" s="1" t="s">
        <v>7593</v>
      </c>
      <c r="F936" s="1" t="s">
        <v>7594</v>
      </c>
      <c r="G936" s="1" t="s">
        <v>7595</v>
      </c>
      <c r="H936" s="1"/>
      <c r="I936" s="1"/>
      <c r="J936" s="1" t="s">
        <v>7596</v>
      </c>
      <c r="K936" s="1" t="s">
        <v>39</v>
      </c>
      <c r="L936" s="1" t="s">
        <v>7597</v>
      </c>
      <c r="M936" s="1" t="s">
        <v>42</v>
      </c>
      <c r="N936" s="1"/>
      <c r="O936" s="1" t="s">
        <v>7563</v>
      </c>
      <c r="P936" s="1"/>
      <c r="Q936" s="1"/>
      <c r="R936" s="1" t="s">
        <v>5359</v>
      </c>
      <c r="S936" s="1" t="s">
        <v>7598</v>
      </c>
      <c r="T936" s="15">
        <v>2024</v>
      </c>
      <c r="U936" s="3" t="s">
        <v>5765</v>
      </c>
      <c r="V936" s="13" t="s">
        <v>29</v>
      </c>
      <c r="X936">
        <v>5</v>
      </c>
      <c r="Z936" s="14" t="s">
        <v>3870</v>
      </c>
      <c r="AA936" s="12" t="s">
        <v>1342</v>
      </c>
      <c r="AB936" s="14" t="s">
        <v>3886</v>
      </c>
      <c r="AD936" s="12" t="s">
        <v>764</v>
      </c>
    </row>
    <row r="937" spans="1:30" customFormat="1" ht="41.4" hidden="1" x14ac:dyDescent="0.3">
      <c r="A937" s="1" t="s">
        <v>7599</v>
      </c>
      <c r="B937" s="1" t="s">
        <v>7600</v>
      </c>
      <c r="C937" s="1" t="s">
        <v>7601</v>
      </c>
      <c r="D937" s="1" t="s">
        <v>7602</v>
      </c>
      <c r="E937" s="1" t="s">
        <v>7603</v>
      </c>
      <c r="F937" s="1" t="s">
        <v>7604</v>
      </c>
      <c r="G937" s="1" t="s">
        <v>7605</v>
      </c>
      <c r="H937" s="1" t="s">
        <v>7606</v>
      </c>
      <c r="I937" s="1" t="s">
        <v>7607</v>
      </c>
      <c r="J937" s="1" t="s">
        <v>284</v>
      </c>
      <c r="K937" s="1" t="s">
        <v>39</v>
      </c>
      <c r="L937" s="1" t="s">
        <v>6311</v>
      </c>
      <c r="M937" s="1" t="s">
        <v>42</v>
      </c>
      <c r="N937" s="1"/>
      <c r="O937" s="1" t="s">
        <v>7563</v>
      </c>
      <c r="P937" s="1"/>
      <c r="Q937" s="1"/>
      <c r="R937" s="1" t="s">
        <v>5359</v>
      </c>
      <c r="S937" s="1" t="s">
        <v>7608</v>
      </c>
      <c r="T937" s="15">
        <v>2024</v>
      </c>
      <c r="U937" s="3" t="s">
        <v>7275</v>
      </c>
      <c r="V937" s="13" t="s">
        <v>29</v>
      </c>
      <c r="X937">
        <v>10</v>
      </c>
      <c r="Z937" s="14" t="s">
        <v>3835</v>
      </c>
      <c r="AA937" s="12" t="s">
        <v>7617</v>
      </c>
      <c r="AB937" s="14" t="s">
        <v>3884</v>
      </c>
      <c r="AD937" s="12" t="s">
        <v>764</v>
      </c>
    </row>
    <row r="938" spans="1:30" customFormat="1" hidden="1" x14ac:dyDescent="0.3">
      <c r="A938" s="1"/>
      <c r="B938" s="1" t="s">
        <v>4997</v>
      </c>
      <c r="C938" s="1" t="s">
        <v>87</v>
      </c>
      <c r="D938" s="1" t="s">
        <v>7609</v>
      </c>
      <c r="E938" s="1" t="s">
        <v>7610</v>
      </c>
      <c r="F938" s="1" t="s">
        <v>7611</v>
      </c>
      <c r="G938" s="1"/>
      <c r="H938" s="1"/>
      <c r="I938" s="1"/>
      <c r="J938" s="1" t="s">
        <v>6382</v>
      </c>
      <c r="K938" s="1" t="s">
        <v>39</v>
      </c>
      <c r="L938" s="1" t="s">
        <v>7612</v>
      </c>
      <c r="M938" s="1" t="s">
        <v>141</v>
      </c>
      <c r="N938" s="1"/>
      <c r="O938" s="1" t="s">
        <v>7563</v>
      </c>
      <c r="P938" s="1"/>
      <c r="Q938" s="1"/>
      <c r="R938" s="1" t="s">
        <v>6962</v>
      </c>
      <c r="S938" s="1" t="s">
        <v>7613</v>
      </c>
      <c r="T938" s="15">
        <v>2024</v>
      </c>
      <c r="U938" s="3" t="s">
        <v>7275</v>
      </c>
      <c r="V938" s="13" t="s">
        <v>29</v>
      </c>
      <c r="X938">
        <v>5</v>
      </c>
      <c r="Z938" s="14" t="s">
        <v>3828</v>
      </c>
      <c r="AA938" s="12" t="s">
        <v>7364</v>
      </c>
      <c r="AB938" s="14" t="s">
        <v>3888</v>
      </c>
      <c r="AD938" s="12" t="s">
        <v>764</v>
      </c>
    </row>
    <row r="939" spans="1:30" customFormat="1" hidden="1" x14ac:dyDescent="0.3">
      <c r="A939" s="1"/>
      <c r="B939" s="4" t="s">
        <v>7618</v>
      </c>
      <c r="C939" s="4" t="s">
        <v>7619</v>
      </c>
      <c r="D939" s="1" t="s">
        <v>7620</v>
      </c>
      <c r="E939" s="1" t="s">
        <v>7621</v>
      </c>
      <c r="F939" s="1" t="s">
        <v>7622</v>
      </c>
      <c r="G939" s="1"/>
      <c r="H939" s="1"/>
      <c r="I939" s="1"/>
      <c r="J939" s="1" t="s">
        <v>7623</v>
      </c>
      <c r="K939" s="1" t="s">
        <v>39</v>
      </c>
      <c r="L939" s="1" t="s">
        <v>1144</v>
      </c>
      <c r="M939" s="1" t="s">
        <v>141</v>
      </c>
      <c r="N939" s="1"/>
      <c r="O939" s="1" t="s">
        <v>7563</v>
      </c>
      <c r="P939" s="1"/>
      <c r="Q939" s="1"/>
      <c r="R939" s="1" t="s">
        <v>5359</v>
      </c>
      <c r="S939" s="1" t="s">
        <v>7624</v>
      </c>
      <c r="T939" s="15">
        <v>2024</v>
      </c>
      <c r="U939" s="3" t="s">
        <v>7275</v>
      </c>
      <c r="V939" s="13" t="s">
        <v>29</v>
      </c>
      <c r="X939">
        <v>5</v>
      </c>
      <c r="Z939" s="14" t="s">
        <v>3835</v>
      </c>
      <c r="AA939" s="12" t="s">
        <v>6311</v>
      </c>
      <c r="AB939" s="14" t="s">
        <v>3884</v>
      </c>
      <c r="AD939" s="12" t="s">
        <v>764</v>
      </c>
    </row>
    <row r="940" spans="1:30" customFormat="1" hidden="1" x14ac:dyDescent="0.3">
      <c r="A940" s="1"/>
      <c r="B940" s="1" t="s">
        <v>7625</v>
      </c>
      <c r="C940" s="1" t="s">
        <v>60</v>
      </c>
      <c r="D940" s="1" t="s">
        <v>7626</v>
      </c>
      <c r="E940" s="1"/>
      <c r="F940" s="1" t="s">
        <v>7627</v>
      </c>
      <c r="G940" s="1"/>
      <c r="H940" s="1"/>
      <c r="I940" s="1"/>
      <c r="J940" s="1" t="s">
        <v>7623</v>
      </c>
      <c r="K940" s="1" t="s">
        <v>39</v>
      </c>
      <c r="L940" s="1" t="s">
        <v>7499</v>
      </c>
      <c r="M940" s="1" t="s">
        <v>141</v>
      </c>
      <c r="N940" s="1"/>
      <c r="O940" s="1" t="s">
        <v>7563</v>
      </c>
      <c r="P940" s="1"/>
      <c r="Q940" s="1"/>
      <c r="R940" s="1" t="s">
        <v>5359</v>
      </c>
      <c r="S940" s="1" t="s">
        <v>7628</v>
      </c>
      <c r="T940" s="15">
        <v>2024</v>
      </c>
      <c r="U940" s="3" t="s">
        <v>7275</v>
      </c>
      <c r="V940" s="13" t="s">
        <v>29</v>
      </c>
      <c r="X940">
        <v>5</v>
      </c>
      <c r="Z940" s="14" t="s">
        <v>3828</v>
      </c>
      <c r="AA940" s="12" t="s">
        <v>7364</v>
      </c>
      <c r="AB940" s="14" t="s">
        <v>3888</v>
      </c>
      <c r="AD940" s="12" t="s">
        <v>764</v>
      </c>
    </row>
    <row r="941" spans="1:30" customFormat="1" hidden="1" x14ac:dyDescent="0.3">
      <c r="A941" s="1" t="s">
        <v>1838</v>
      </c>
      <c r="B941" s="1" t="s">
        <v>7629</v>
      </c>
      <c r="C941" s="1" t="s">
        <v>7630</v>
      </c>
      <c r="D941" s="1" t="s">
        <v>7631</v>
      </c>
      <c r="E941" s="1"/>
      <c r="F941" s="1" t="s">
        <v>7632</v>
      </c>
      <c r="G941" s="1"/>
      <c r="H941" s="1"/>
      <c r="I941" s="1"/>
      <c r="J941" s="1" t="s">
        <v>7633</v>
      </c>
      <c r="K941" s="1" t="s">
        <v>39</v>
      </c>
      <c r="L941" s="1" t="s">
        <v>7634</v>
      </c>
      <c r="M941" s="1" t="s">
        <v>42</v>
      </c>
      <c r="N941" s="1"/>
      <c r="O941" s="1" t="s">
        <v>7563</v>
      </c>
      <c r="P941" s="1"/>
      <c r="Q941" s="1"/>
      <c r="R941" s="1" t="s">
        <v>5480</v>
      </c>
      <c r="S941" s="1" t="s">
        <v>7635</v>
      </c>
      <c r="T941" s="15">
        <v>2024</v>
      </c>
      <c r="U941" s="3" t="s">
        <v>7275</v>
      </c>
      <c r="V941" s="13" t="s">
        <v>29</v>
      </c>
      <c r="X941">
        <v>5</v>
      </c>
      <c r="Z941" s="14" t="s">
        <v>3828</v>
      </c>
      <c r="AA941" s="12" t="s">
        <v>4118</v>
      </c>
      <c r="AB941" s="14" t="s">
        <v>3885</v>
      </c>
      <c r="AD941" s="12" t="s">
        <v>764</v>
      </c>
    </row>
    <row r="942" spans="1:30" customFormat="1" hidden="1" x14ac:dyDescent="0.3">
      <c r="A942" s="1" t="s">
        <v>2635</v>
      </c>
      <c r="B942" s="1" t="s">
        <v>7636</v>
      </c>
      <c r="C942" s="1" t="s">
        <v>7637</v>
      </c>
      <c r="D942" s="1" t="s">
        <v>7638</v>
      </c>
      <c r="E942" s="1" t="s">
        <v>7639</v>
      </c>
      <c r="F942" s="1" t="s">
        <v>7640</v>
      </c>
      <c r="G942" s="1"/>
      <c r="H942" s="1" t="s">
        <v>5028</v>
      </c>
      <c r="I942" s="1"/>
      <c r="J942" s="1" t="s">
        <v>1123</v>
      </c>
      <c r="K942" s="1" t="s">
        <v>39</v>
      </c>
      <c r="L942" s="1" t="s">
        <v>7641</v>
      </c>
      <c r="M942" s="1" t="s">
        <v>141</v>
      </c>
      <c r="N942" s="1"/>
      <c r="O942" s="1" t="s">
        <v>7563</v>
      </c>
      <c r="P942" s="1"/>
      <c r="Q942" s="1"/>
      <c r="R942" s="1" t="s">
        <v>5359</v>
      </c>
      <c r="S942" s="1" t="s">
        <v>7642</v>
      </c>
      <c r="T942" s="15">
        <v>2024</v>
      </c>
      <c r="U942" s="3" t="s">
        <v>7275</v>
      </c>
      <c r="V942" s="13" t="s">
        <v>29</v>
      </c>
      <c r="X942">
        <v>5</v>
      </c>
      <c r="Z942" s="14" t="s">
        <v>3870</v>
      </c>
      <c r="AA942" s="12" t="s">
        <v>1342</v>
      </c>
      <c r="AB942" s="14" t="s">
        <v>3886</v>
      </c>
      <c r="AD942" s="12" t="s">
        <v>764</v>
      </c>
    </row>
    <row r="943" spans="1:30" customFormat="1" ht="19.95" hidden="1" customHeight="1" x14ac:dyDescent="0.3">
      <c r="A943" s="1"/>
      <c r="B943" s="1" t="s">
        <v>7643</v>
      </c>
      <c r="C943" s="1" t="s">
        <v>229</v>
      </c>
      <c r="D943" s="1" t="s">
        <v>7644</v>
      </c>
      <c r="E943" s="1" t="s">
        <v>7645</v>
      </c>
      <c r="F943" s="1" t="s">
        <v>7646</v>
      </c>
      <c r="G943" s="1"/>
      <c r="H943" s="1"/>
      <c r="I943" s="1"/>
      <c r="J943" s="1" t="s">
        <v>72</v>
      </c>
      <c r="K943" s="1" t="s">
        <v>39</v>
      </c>
      <c r="L943" s="1" t="s">
        <v>7647</v>
      </c>
      <c r="M943" s="1" t="s">
        <v>42</v>
      </c>
      <c r="N943" s="1" t="s">
        <v>7648</v>
      </c>
      <c r="O943" s="1" t="s">
        <v>7563</v>
      </c>
      <c r="P943" s="1"/>
      <c r="Q943" s="1"/>
      <c r="R943" s="1" t="s">
        <v>5359</v>
      </c>
      <c r="S943" s="1" t="s">
        <v>7642</v>
      </c>
      <c r="T943" s="15">
        <v>2024</v>
      </c>
      <c r="U943" s="3" t="s">
        <v>7275</v>
      </c>
      <c r="V943" s="13" t="s">
        <v>29</v>
      </c>
      <c r="X943">
        <v>5</v>
      </c>
      <c r="Z943" s="14" t="s">
        <v>2148</v>
      </c>
      <c r="AA943" s="12" t="s">
        <v>7649</v>
      </c>
      <c r="AB943" s="14" t="s">
        <v>3891</v>
      </c>
      <c r="AD943" s="12" t="s">
        <v>764</v>
      </c>
    </row>
    <row r="944" spans="1:30" customFormat="1" ht="55.2" hidden="1" x14ac:dyDescent="0.3">
      <c r="A944" s="1" t="s">
        <v>7707</v>
      </c>
      <c r="B944" s="4" t="s">
        <v>5941</v>
      </c>
      <c r="C944" s="4" t="s">
        <v>5942</v>
      </c>
      <c r="D944" s="1" t="s">
        <v>5943</v>
      </c>
      <c r="E944" s="1" t="s">
        <v>7708</v>
      </c>
      <c r="F944" s="2" t="s">
        <v>5944</v>
      </c>
      <c r="G944" s="1" t="s">
        <v>5945</v>
      </c>
      <c r="H944" s="1" t="s">
        <v>7709</v>
      </c>
      <c r="I944" s="1"/>
      <c r="J944" s="1" t="s">
        <v>1391</v>
      </c>
      <c r="K944" s="1" t="s">
        <v>39</v>
      </c>
      <c r="L944" s="1" t="s">
        <v>7710</v>
      </c>
      <c r="M944" s="1" t="s">
        <v>141</v>
      </c>
      <c r="N944" s="1"/>
      <c r="O944" s="1" t="s">
        <v>7563</v>
      </c>
      <c r="P944" s="1"/>
      <c r="Q944" s="1" t="s">
        <v>7651</v>
      </c>
      <c r="R944" s="1" t="s">
        <v>5359</v>
      </c>
      <c r="S944" s="1" t="s">
        <v>7711</v>
      </c>
      <c r="T944" s="15">
        <v>2024</v>
      </c>
      <c r="U944" s="3" t="s">
        <v>7275</v>
      </c>
      <c r="V944" s="13" t="s">
        <v>29</v>
      </c>
      <c r="X944" t="s">
        <v>7276</v>
      </c>
      <c r="Z944" s="14" t="s">
        <v>3835</v>
      </c>
      <c r="AA944" s="12" t="s">
        <v>7712</v>
      </c>
      <c r="AB944" s="14" t="s">
        <v>3884</v>
      </c>
      <c r="AD944" s="12" t="s">
        <v>764</v>
      </c>
    </row>
    <row r="945" spans="1:30" customFormat="1" ht="69" hidden="1" x14ac:dyDescent="0.3">
      <c r="A945" s="1" t="s">
        <v>7652</v>
      </c>
      <c r="B945" s="4" t="s">
        <v>7653</v>
      </c>
      <c r="C945" s="4" t="s">
        <v>6225</v>
      </c>
      <c r="D945" s="1" t="s">
        <v>7654</v>
      </c>
      <c r="E945" s="1" t="s">
        <v>7655</v>
      </c>
      <c r="F945" s="1" t="s">
        <v>7656</v>
      </c>
      <c r="G945" s="1" t="s">
        <v>7657</v>
      </c>
      <c r="H945" s="1"/>
      <c r="I945" s="1"/>
      <c r="J945" s="1" t="s">
        <v>1060</v>
      </c>
      <c r="K945" s="1" t="s">
        <v>39</v>
      </c>
      <c r="L945" s="1" t="s">
        <v>7658</v>
      </c>
      <c r="M945" s="1" t="s">
        <v>42</v>
      </c>
      <c r="N945" s="1"/>
      <c r="O945" s="1" t="s">
        <v>7563</v>
      </c>
      <c r="P945" s="1"/>
      <c r="Q945" s="1" t="s">
        <v>7651</v>
      </c>
      <c r="R945" s="1" t="s">
        <v>5359</v>
      </c>
      <c r="S945" s="1" t="s">
        <v>7659</v>
      </c>
      <c r="T945" s="15">
        <v>2024</v>
      </c>
      <c r="U945" s="3" t="s">
        <v>45</v>
      </c>
      <c r="V945" s="13" t="s">
        <v>29</v>
      </c>
      <c r="X945">
        <v>5</v>
      </c>
      <c r="Z945" s="14" t="s">
        <v>2148</v>
      </c>
      <c r="AA945" s="12" t="s">
        <v>7702</v>
      </c>
      <c r="AB945" s="14" t="s">
        <v>3890</v>
      </c>
      <c r="AD945" s="12" t="s">
        <v>764</v>
      </c>
    </row>
    <row r="946" spans="1:30" customFormat="1" ht="55.2" hidden="1" x14ac:dyDescent="0.3">
      <c r="A946" s="1" t="s">
        <v>7660</v>
      </c>
      <c r="B946" s="1" t="s">
        <v>7661</v>
      </c>
      <c r="C946" s="1" t="s">
        <v>7662</v>
      </c>
      <c r="D946" s="1" t="s">
        <v>7663</v>
      </c>
      <c r="E946" s="1" t="s">
        <v>7664</v>
      </c>
      <c r="F946" s="1" t="s">
        <v>7665</v>
      </c>
      <c r="G946" s="1"/>
      <c r="H946" s="1" t="s">
        <v>7666</v>
      </c>
      <c r="I946" s="1" t="s">
        <v>7667</v>
      </c>
      <c r="J946" s="1" t="s">
        <v>3939</v>
      </c>
      <c r="K946" s="1" t="s">
        <v>39</v>
      </c>
      <c r="L946" s="1" t="s">
        <v>1025</v>
      </c>
      <c r="M946" s="1" t="s">
        <v>42</v>
      </c>
      <c r="N946" s="1"/>
      <c r="O946" s="1" t="s">
        <v>7563</v>
      </c>
      <c r="P946" s="1"/>
      <c r="Q946" s="1" t="s">
        <v>7651</v>
      </c>
      <c r="R946" s="1" t="s">
        <v>5359</v>
      </c>
      <c r="S946" s="1" t="s">
        <v>7668</v>
      </c>
      <c r="T946" s="15">
        <v>2024</v>
      </c>
      <c r="U946" s="3" t="s">
        <v>45</v>
      </c>
      <c r="V946" s="13" t="s">
        <v>29</v>
      </c>
      <c r="X946">
        <v>5</v>
      </c>
      <c r="Z946" s="14" t="s">
        <v>3828</v>
      </c>
      <c r="AA946" s="12" t="s">
        <v>7225</v>
      </c>
      <c r="AB946" s="14" t="s">
        <v>3885</v>
      </c>
      <c r="AD946" s="12" t="s">
        <v>764</v>
      </c>
    </row>
    <row r="947" spans="1:30" customFormat="1" ht="41.4" hidden="1" x14ac:dyDescent="0.3">
      <c r="A947" s="1" t="s">
        <v>7669</v>
      </c>
      <c r="B947" s="1" t="s">
        <v>7670</v>
      </c>
      <c r="C947" s="1" t="s">
        <v>7671</v>
      </c>
      <c r="D947" s="1" t="s">
        <v>7672</v>
      </c>
      <c r="E947" s="1" t="s">
        <v>7673</v>
      </c>
      <c r="F947" s="1" t="s">
        <v>7674</v>
      </c>
      <c r="G947" s="1"/>
      <c r="H947" s="1"/>
      <c r="I947" s="1"/>
      <c r="J947" s="1" t="s">
        <v>7675</v>
      </c>
      <c r="K947" s="1" t="s">
        <v>39</v>
      </c>
      <c r="L947" s="1" t="s">
        <v>7676</v>
      </c>
      <c r="M947" s="1" t="s">
        <v>42</v>
      </c>
      <c r="N947" s="1"/>
      <c r="O947" s="1" t="s">
        <v>7563</v>
      </c>
      <c r="P947" s="1"/>
      <c r="Q947" s="1" t="s">
        <v>7651</v>
      </c>
      <c r="R947" s="1" t="s">
        <v>5429</v>
      </c>
      <c r="S947" s="1" t="s">
        <v>7677</v>
      </c>
      <c r="T947" s="15">
        <v>2024</v>
      </c>
      <c r="U947" s="3" t="s">
        <v>45</v>
      </c>
      <c r="V947" s="13" t="s">
        <v>29</v>
      </c>
      <c r="X947">
        <v>5</v>
      </c>
      <c r="Z947" s="14" t="s">
        <v>3835</v>
      </c>
      <c r="AA947" s="12" t="s">
        <v>7703</v>
      </c>
      <c r="AB947" s="14" t="s">
        <v>3884</v>
      </c>
      <c r="AD947" s="12" t="s">
        <v>764</v>
      </c>
    </row>
    <row r="948" spans="1:30" customFormat="1" x14ac:dyDescent="0.3">
      <c r="A948" s="1" t="s">
        <v>4713</v>
      </c>
      <c r="B948" s="1" t="s">
        <v>7678</v>
      </c>
      <c r="C948" s="1" t="s">
        <v>7679</v>
      </c>
      <c r="D948" s="1" t="s">
        <v>7680</v>
      </c>
      <c r="E948" s="1" t="s">
        <v>7681</v>
      </c>
      <c r="F948" s="1" t="s">
        <v>7682</v>
      </c>
      <c r="G948" s="1" t="s">
        <v>7683</v>
      </c>
      <c r="H948" s="1"/>
      <c r="I948" s="1"/>
      <c r="J948" s="1" t="s">
        <v>7684</v>
      </c>
      <c r="K948" s="1" t="s">
        <v>39</v>
      </c>
      <c r="L948" s="1" t="s">
        <v>7685</v>
      </c>
      <c r="M948" s="1" t="s">
        <v>42</v>
      </c>
      <c r="N948" s="1"/>
      <c r="O948" s="1" t="s">
        <v>7563</v>
      </c>
      <c r="P948" s="1"/>
      <c r="Q948" s="1" t="s">
        <v>7651</v>
      </c>
      <c r="R948" s="1" t="s">
        <v>5429</v>
      </c>
      <c r="S948" s="1" t="s">
        <v>7686</v>
      </c>
      <c r="T948" s="15">
        <v>2024</v>
      </c>
      <c r="U948" s="3" t="s">
        <v>45</v>
      </c>
      <c r="V948" s="13" t="s">
        <v>29</v>
      </c>
      <c r="Y948" s="44">
        <v>45899</v>
      </c>
      <c r="Z948" s="14" t="s">
        <v>3828</v>
      </c>
      <c r="AA948" s="12" t="s">
        <v>7037</v>
      </c>
      <c r="AB948" s="14" t="s">
        <v>3888</v>
      </c>
      <c r="AD948" s="12" t="s">
        <v>7704</v>
      </c>
    </row>
    <row r="949" spans="1:30" customFormat="1" hidden="1" x14ac:dyDescent="0.3">
      <c r="A949" s="1"/>
      <c r="B949" s="1" t="s">
        <v>6290</v>
      </c>
      <c r="C949" s="1" t="s">
        <v>116</v>
      </c>
      <c r="D949" s="1" t="s">
        <v>7687</v>
      </c>
      <c r="E949" s="1" t="s">
        <v>7688</v>
      </c>
      <c r="F949" s="1" t="s">
        <v>7689</v>
      </c>
      <c r="G949" s="1" t="s">
        <v>2965</v>
      </c>
      <c r="H949" s="1" t="s">
        <v>7690</v>
      </c>
      <c r="I949" s="1" t="s">
        <v>7691</v>
      </c>
      <c r="J949" s="1" t="s">
        <v>2965</v>
      </c>
      <c r="K949" s="1" t="s">
        <v>39</v>
      </c>
      <c r="L949" s="1" t="s">
        <v>7692</v>
      </c>
      <c r="M949" s="1" t="s">
        <v>141</v>
      </c>
      <c r="N949" s="1"/>
      <c r="O949" s="1" t="s">
        <v>7563</v>
      </c>
      <c r="P949" s="1"/>
      <c r="Q949" s="1" t="s">
        <v>7651</v>
      </c>
      <c r="R949" s="1" t="s">
        <v>6962</v>
      </c>
      <c r="S949" s="1" t="s">
        <v>7693</v>
      </c>
      <c r="T949" s="15">
        <v>2024</v>
      </c>
      <c r="U949" s="3" t="s">
        <v>45</v>
      </c>
      <c r="V949" s="13" t="s">
        <v>29</v>
      </c>
      <c r="X949">
        <v>10</v>
      </c>
      <c r="Z949" s="14" t="s">
        <v>3835</v>
      </c>
      <c r="AA949" s="12" t="s">
        <v>7705</v>
      </c>
      <c r="AB949" s="14" t="s">
        <v>3884</v>
      </c>
      <c r="AD949" s="12" t="s">
        <v>764</v>
      </c>
    </row>
    <row r="950" spans="1:30" customFormat="1" ht="41.4" hidden="1" x14ac:dyDescent="0.3">
      <c r="A950" s="1"/>
      <c r="B950" s="1" t="s">
        <v>7694</v>
      </c>
      <c r="C950" s="1" t="s">
        <v>3312</v>
      </c>
      <c r="D950" s="1" t="s">
        <v>7695</v>
      </c>
      <c r="E950" s="1" t="s">
        <v>7696</v>
      </c>
      <c r="F950" s="1" t="s">
        <v>7697</v>
      </c>
      <c r="G950" s="1" t="s">
        <v>7698</v>
      </c>
      <c r="H950" s="1" t="s">
        <v>1846</v>
      </c>
      <c r="I950" s="1" t="s">
        <v>7699</v>
      </c>
      <c r="J950" s="1" t="s">
        <v>3939</v>
      </c>
      <c r="K950" s="1" t="s">
        <v>39</v>
      </c>
      <c r="L950" s="1" t="s">
        <v>7700</v>
      </c>
      <c r="M950" s="1" t="s">
        <v>42</v>
      </c>
      <c r="N950" s="1"/>
      <c r="O950" s="1" t="s">
        <v>7563</v>
      </c>
      <c r="P950" s="1"/>
      <c r="Q950" s="1" t="s">
        <v>7651</v>
      </c>
      <c r="R950" s="1" t="s">
        <v>5359</v>
      </c>
      <c r="S950" s="1" t="s">
        <v>7701</v>
      </c>
      <c r="T950" s="15">
        <v>2024</v>
      </c>
      <c r="U950" s="3" t="s">
        <v>45</v>
      </c>
      <c r="V950" s="13" t="s">
        <v>29</v>
      </c>
      <c r="X950">
        <v>5</v>
      </c>
      <c r="Z950" s="14" t="s">
        <v>3828</v>
      </c>
      <c r="AA950" s="12" t="s">
        <v>7706</v>
      </c>
      <c r="AB950" s="14" t="s">
        <v>3885</v>
      </c>
      <c r="AD950" s="12" t="s">
        <v>764</v>
      </c>
    </row>
    <row r="951" spans="1:30" customFormat="1" hidden="1" x14ac:dyDescent="0.3">
      <c r="A951" s="47" t="s">
        <v>7713</v>
      </c>
      <c r="B951" s="49" t="s">
        <v>7714</v>
      </c>
      <c r="C951" s="49" t="s">
        <v>7715</v>
      </c>
      <c r="D951" s="47" t="s">
        <v>7716</v>
      </c>
      <c r="E951" s="47" t="s">
        <v>7717</v>
      </c>
      <c r="F951" s="47" t="s">
        <v>7718</v>
      </c>
      <c r="G951" s="47" t="s">
        <v>7719</v>
      </c>
      <c r="H951" s="47" t="s">
        <v>7720</v>
      </c>
      <c r="I951" s="47" t="s">
        <v>7721</v>
      </c>
      <c r="J951" s="47" t="s">
        <v>5810</v>
      </c>
      <c r="K951" s="47" t="s">
        <v>39</v>
      </c>
      <c r="L951" s="47" t="s">
        <v>7722</v>
      </c>
      <c r="M951" s="47" t="s">
        <v>141</v>
      </c>
      <c r="N951" s="47" t="s">
        <v>7723</v>
      </c>
      <c r="O951" s="47" t="s">
        <v>7563</v>
      </c>
      <c r="P951" s="47" t="s">
        <v>7724</v>
      </c>
      <c r="Q951" s="47"/>
      <c r="R951" s="47" t="s">
        <v>6962</v>
      </c>
      <c r="S951" s="47" t="s">
        <v>7725</v>
      </c>
      <c r="T951" s="15">
        <v>2024</v>
      </c>
      <c r="U951" s="3" t="s">
        <v>45</v>
      </c>
      <c r="V951" s="13" t="s">
        <v>29</v>
      </c>
      <c r="X951">
        <v>5</v>
      </c>
      <c r="Y951" s="44">
        <v>45899</v>
      </c>
      <c r="Z951" s="14" t="s">
        <v>3828</v>
      </c>
      <c r="AA951" s="12" t="s">
        <v>7784</v>
      </c>
      <c r="AB951" s="14" t="s">
        <v>3888</v>
      </c>
      <c r="AD951" s="12" t="s">
        <v>764</v>
      </c>
    </row>
    <row r="952" spans="1:30" customFormat="1" hidden="1" x14ac:dyDescent="0.3">
      <c r="A952" s="47"/>
      <c r="B952" s="49" t="s">
        <v>7726</v>
      </c>
      <c r="C952" s="49" t="s">
        <v>3120</v>
      </c>
      <c r="D952" s="47" t="s">
        <v>7727</v>
      </c>
      <c r="E952" s="48" t="s">
        <v>7787</v>
      </c>
      <c r="F952" s="50" t="s">
        <v>7728</v>
      </c>
      <c r="G952" s="47" t="s">
        <v>7729</v>
      </c>
      <c r="H952" s="47"/>
      <c r="I952" s="47"/>
      <c r="J952" s="47" t="s">
        <v>72</v>
      </c>
      <c r="K952" s="47" t="s">
        <v>39</v>
      </c>
      <c r="L952" s="47" t="s">
        <v>4295</v>
      </c>
      <c r="M952" s="47" t="s">
        <v>141</v>
      </c>
      <c r="N952" s="47" t="s">
        <v>7730</v>
      </c>
      <c r="O952" s="47" t="s">
        <v>7563</v>
      </c>
      <c r="P952" s="47"/>
      <c r="Q952" s="47" t="s">
        <v>7651</v>
      </c>
      <c r="R952" s="47" t="s">
        <v>5359</v>
      </c>
      <c r="S952" s="47" t="s">
        <v>7731</v>
      </c>
      <c r="T952" s="15">
        <v>2024</v>
      </c>
      <c r="U952" s="3" t="s">
        <v>376</v>
      </c>
      <c r="V952" s="13" t="s">
        <v>376</v>
      </c>
      <c r="X952">
        <v>5</v>
      </c>
      <c r="Z952" s="14"/>
      <c r="AB952" s="14"/>
      <c r="AD952" s="12"/>
    </row>
    <row r="953" spans="1:30" customFormat="1" hidden="1" x14ac:dyDescent="0.3">
      <c r="A953" s="47"/>
      <c r="B953" s="47" t="s">
        <v>7732</v>
      </c>
      <c r="C953" s="47" t="s">
        <v>7181</v>
      </c>
      <c r="D953" s="47" t="s">
        <v>7733</v>
      </c>
      <c r="E953" s="47" t="s">
        <v>7734</v>
      </c>
      <c r="F953" s="47" t="s">
        <v>7735</v>
      </c>
      <c r="G953" s="47"/>
      <c r="H953" s="47"/>
      <c r="I953" s="47"/>
      <c r="J953" s="47" t="s">
        <v>7736</v>
      </c>
      <c r="K953" s="47" t="s">
        <v>39</v>
      </c>
      <c r="L953" s="47" t="s">
        <v>1276</v>
      </c>
      <c r="M953" s="47" t="s">
        <v>141</v>
      </c>
      <c r="N953" s="47"/>
      <c r="O953" s="47" t="s">
        <v>7563</v>
      </c>
      <c r="P953" s="47"/>
      <c r="Q953" s="47" t="s">
        <v>7651</v>
      </c>
      <c r="R953" s="47" t="s">
        <v>5359</v>
      </c>
      <c r="S953" s="47" t="s">
        <v>7737</v>
      </c>
      <c r="T953" s="15">
        <v>2024</v>
      </c>
      <c r="U953" s="3" t="s">
        <v>45</v>
      </c>
      <c r="V953" s="13" t="s">
        <v>29</v>
      </c>
      <c r="X953">
        <v>5</v>
      </c>
      <c r="Z953" s="14" t="s">
        <v>2148</v>
      </c>
      <c r="AA953" t="s">
        <v>1276</v>
      </c>
      <c r="AB953" s="14" t="s">
        <v>3891</v>
      </c>
      <c r="AD953" s="12" t="s">
        <v>764</v>
      </c>
    </row>
    <row r="954" spans="1:30" customFormat="1" hidden="1" x14ac:dyDescent="0.3">
      <c r="A954" s="47" t="s">
        <v>7738</v>
      </c>
      <c r="B954" s="47" t="s">
        <v>7739</v>
      </c>
      <c r="C954" s="47" t="s">
        <v>7740</v>
      </c>
      <c r="D954" s="47" t="s">
        <v>7741</v>
      </c>
      <c r="E954" s="47"/>
      <c r="F954" s="47" t="s">
        <v>7742</v>
      </c>
      <c r="G954" s="47"/>
      <c r="H954" s="47" t="s">
        <v>1664</v>
      </c>
      <c r="I954" s="47"/>
      <c r="J954" s="47" t="s">
        <v>72</v>
      </c>
      <c r="K954" s="47" t="s">
        <v>39</v>
      </c>
      <c r="L954" s="47" t="s">
        <v>7743</v>
      </c>
      <c r="M954" s="47" t="s">
        <v>141</v>
      </c>
      <c r="N954" s="47" t="s">
        <v>7744</v>
      </c>
      <c r="O954" s="47" t="s">
        <v>7563</v>
      </c>
      <c r="P954" s="47"/>
      <c r="Q954" s="47" t="s">
        <v>7651</v>
      </c>
      <c r="R954" s="47" t="s">
        <v>5359</v>
      </c>
      <c r="S954" s="47" t="s">
        <v>7745</v>
      </c>
      <c r="T954" s="15">
        <v>2024</v>
      </c>
      <c r="U954" s="3" t="s">
        <v>45</v>
      </c>
      <c r="V954" s="13" t="s">
        <v>29</v>
      </c>
      <c r="X954">
        <v>5</v>
      </c>
      <c r="Z954" s="12" t="s">
        <v>3835</v>
      </c>
      <c r="AA954" t="s">
        <v>4586</v>
      </c>
      <c r="AB954" s="14" t="s">
        <v>3884</v>
      </c>
      <c r="AD954" s="12" t="s">
        <v>764</v>
      </c>
    </row>
    <row r="955" spans="1:30" customFormat="1" hidden="1" x14ac:dyDescent="0.3">
      <c r="A955" s="47"/>
      <c r="B955" s="47" t="s">
        <v>7746</v>
      </c>
      <c r="C955" s="47" t="s">
        <v>172</v>
      </c>
      <c r="D955" s="47" t="s">
        <v>7747</v>
      </c>
      <c r="E955" s="47" t="s">
        <v>7748</v>
      </c>
      <c r="F955" s="47" t="s">
        <v>7749</v>
      </c>
      <c r="G955" s="47" t="s">
        <v>7750</v>
      </c>
      <c r="H955" s="47" t="s">
        <v>7751</v>
      </c>
      <c r="I955" s="47" t="s">
        <v>7752</v>
      </c>
      <c r="J955" s="47" t="s">
        <v>7753</v>
      </c>
      <c r="K955" s="47" t="s">
        <v>39</v>
      </c>
      <c r="L955" s="47" t="s">
        <v>7754</v>
      </c>
      <c r="M955" s="47" t="s">
        <v>141</v>
      </c>
      <c r="N955" s="47"/>
      <c r="O955" s="47" t="s">
        <v>7563</v>
      </c>
      <c r="P955" s="47"/>
      <c r="Q955" s="47" t="s">
        <v>7651</v>
      </c>
      <c r="R955" s="47" t="s">
        <v>5480</v>
      </c>
      <c r="S955" s="47" t="s">
        <v>7755</v>
      </c>
      <c r="T955" s="15">
        <v>2024</v>
      </c>
      <c r="U955" s="3" t="s">
        <v>45</v>
      </c>
      <c r="V955" s="13" t="s">
        <v>29</v>
      </c>
      <c r="X955">
        <v>5</v>
      </c>
      <c r="Z955" s="12" t="s">
        <v>3828</v>
      </c>
      <c r="AA955" s="12" t="s">
        <v>7784</v>
      </c>
      <c r="AB955" s="14" t="s">
        <v>3888</v>
      </c>
      <c r="AD955" s="12" t="s">
        <v>764</v>
      </c>
    </row>
    <row r="956" spans="1:30" customFormat="1" hidden="1" x14ac:dyDescent="0.3">
      <c r="A956" s="47"/>
      <c r="B956" s="47" t="s">
        <v>7756</v>
      </c>
      <c r="C956" s="47" t="s">
        <v>7757</v>
      </c>
      <c r="D956" s="47" t="s">
        <v>7758</v>
      </c>
      <c r="E956" s="47" t="s">
        <v>7759</v>
      </c>
      <c r="F956" s="47" t="s">
        <v>7760</v>
      </c>
      <c r="G956" s="47"/>
      <c r="H956" s="47"/>
      <c r="I956" s="47"/>
      <c r="J956" s="47" t="s">
        <v>284</v>
      </c>
      <c r="K956" s="47" t="s">
        <v>39</v>
      </c>
      <c r="L956" s="47" t="s">
        <v>7761</v>
      </c>
      <c r="M956" s="47" t="s">
        <v>141</v>
      </c>
      <c r="N956" s="47"/>
      <c r="O956" s="47" t="s">
        <v>7563</v>
      </c>
      <c r="P956" s="47"/>
      <c r="Q956" s="47" t="s">
        <v>7651</v>
      </c>
      <c r="R956" s="47" t="s">
        <v>5359</v>
      </c>
      <c r="S956" s="47" t="s">
        <v>7762</v>
      </c>
      <c r="T956" s="15">
        <v>2024</v>
      </c>
      <c r="U956" s="3" t="s">
        <v>45</v>
      </c>
      <c r="V956" s="13" t="s">
        <v>29</v>
      </c>
      <c r="X956">
        <v>5</v>
      </c>
      <c r="Z956" s="12" t="s">
        <v>3835</v>
      </c>
      <c r="AA956" t="s">
        <v>4598</v>
      </c>
      <c r="AB956" s="14" t="s">
        <v>3884</v>
      </c>
      <c r="AD956" s="12" t="s">
        <v>764</v>
      </c>
    </row>
    <row r="957" spans="1:30" customFormat="1" hidden="1" x14ac:dyDescent="0.3">
      <c r="A957" s="47"/>
      <c r="B957" s="47" t="s">
        <v>7763</v>
      </c>
      <c r="C957" s="47" t="s">
        <v>7764</v>
      </c>
      <c r="D957" s="47" t="s">
        <v>7765</v>
      </c>
      <c r="E957" s="47" t="s">
        <v>7766</v>
      </c>
      <c r="F957" s="47" t="s">
        <v>7767</v>
      </c>
      <c r="G957" s="47" t="s">
        <v>7768</v>
      </c>
      <c r="H957" s="47" t="s">
        <v>2533</v>
      </c>
      <c r="I957" s="47" t="s">
        <v>7769</v>
      </c>
      <c r="J957" s="47" t="s">
        <v>7770</v>
      </c>
      <c r="K957" s="47" t="s">
        <v>2743</v>
      </c>
      <c r="L957" s="47" t="s">
        <v>566</v>
      </c>
      <c r="M957" s="47" t="s">
        <v>42</v>
      </c>
      <c r="N957" s="47"/>
      <c r="O957" s="47" t="s">
        <v>7563</v>
      </c>
      <c r="P957" s="47"/>
      <c r="Q957" s="47" t="s">
        <v>7651</v>
      </c>
      <c r="R957" s="47" t="s">
        <v>5371</v>
      </c>
      <c r="S957" s="47" t="s">
        <v>7771</v>
      </c>
      <c r="T957" s="15">
        <v>2024</v>
      </c>
      <c r="U957" s="3" t="s">
        <v>45</v>
      </c>
      <c r="V957" s="13" t="s">
        <v>29</v>
      </c>
      <c r="X957">
        <v>5</v>
      </c>
      <c r="Z957" s="12" t="s">
        <v>3828</v>
      </c>
      <c r="AA957" t="s">
        <v>7785</v>
      </c>
      <c r="AB957" s="14" t="s">
        <v>3887</v>
      </c>
      <c r="AD957" s="12" t="s">
        <v>764</v>
      </c>
    </row>
    <row r="958" spans="1:30" customFormat="1" hidden="1" x14ac:dyDescent="0.3">
      <c r="A958" s="47" t="s">
        <v>7772</v>
      </c>
      <c r="B958" s="47" t="s">
        <v>7773</v>
      </c>
      <c r="C958" s="47" t="s">
        <v>7774</v>
      </c>
      <c r="D958" s="47" t="s">
        <v>7775</v>
      </c>
      <c r="E958" s="47" t="s">
        <v>7776</v>
      </c>
      <c r="F958" s="47" t="s">
        <v>7777</v>
      </c>
      <c r="G958" s="47" t="s">
        <v>7778</v>
      </c>
      <c r="H958" s="47" t="s">
        <v>7779</v>
      </c>
      <c r="I958" s="47" t="s">
        <v>7780</v>
      </c>
      <c r="J958" s="47" t="s">
        <v>7781</v>
      </c>
      <c r="K958" s="47" t="s">
        <v>39</v>
      </c>
      <c r="L958" s="47" t="s">
        <v>7782</v>
      </c>
      <c r="M958" s="47" t="s">
        <v>141</v>
      </c>
      <c r="N958" s="47"/>
      <c r="O958" s="47" t="s">
        <v>7563</v>
      </c>
      <c r="P958" s="47"/>
      <c r="Q958" s="47" t="s">
        <v>7651</v>
      </c>
      <c r="R958" s="47" t="s">
        <v>5480</v>
      </c>
      <c r="S958" s="47" t="s">
        <v>7783</v>
      </c>
      <c r="T958" s="15">
        <v>2024</v>
      </c>
      <c r="U958" s="3" t="s">
        <v>45</v>
      </c>
      <c r="V958" s="13" t="s">
        <v>29</v>
      </c>
      <c r="X958">
        <v>5</v>
      </c>
      <c r="Z958" s="12" t="s">
        <v>3835</v>
      </c>
      <c r="AA958" t="s">
        <v>7786</v>
      </c>
      <c r="AB958" s="14" t="s">
        <v>3884</v>
      </c>
      <c r="AD958" s="12" t="s">
        <v>764</v>
      </c>
    </row>
    <row r="959" spans="1:30" customFormat="1" hidden="1" x14ac:dyDescent="0.3">
      <c r="A959" s="1" t="s">
        <v>254</v>
      </c>
      <c r="B959" s="4" t="s">
        <v>7792</v>
      </c>
      <c r="C959" s="4" t="s">
        <v>2198</v>
      </c>
      <c r="D959" s="1" t="s">
        <v>7793</v>
      </c>
      <c r="E959" s="1" t="s">
        <v>7794</v>
      </c>
      <c r="F959" s="1" t="s">
        <v>7795</v>
      </c>
      <c r="G959" s="1"/>
      <c r="H959" s="1" t="s">
        <v>7796</v>
      </c>
      <c r="I959" s="1" t="s">
        <v>7797</v>
      </c>
      <c r="J959" s="1" t="s">
        <v>72</v>
      </c>
      <c r="K959" s="1" t="s">
        <v>39</v>
      </c>
      <c r="L959" s="1" t="s">
        <v>7798</v>
      </c>
      <c r="M959" s="1" t="s">
        <v>141</v>
      </c>
      <c r="N959" s="1" t="s">
        <v>7799</v>
      </c>
      <c r="O959" s="1" t="s">
        <v>7563</v>
      </c>
      <c r="P959" s="1"/>
      <c r="Q959" s="1" t="s">
        <v>7651</v>
      </c>
      <c r="R959" s="1" t="s">
        <v>5480</v>
      </c>
      <c r="S959" s="1" t="s">
        <v>7800</v>
      </c>
      <c r="T959" s="15">
        <v>2024</v>
      </c>
      <c r="U959" s="3" t="s">
        <v>5765</v>
      </c>
      <c r="V959" s="56" t="s">
        <v>29</v>
      </c>
      <c r="X959">
        <v>25</v>
      </c>
      <c r="Z959" s="12" t="s">
        <v>2148</v>
      </c>
      <c r="AA959" t="s">
        <v>7036</v>
      </c>
      <c r="AB959" s="14" t="s">
        <v>3891</v>
      </c>
      <c r="AD959" s="12" t="s">
        <v>764</v>
      </c>
    </row>
    <row r="960" spans="1:30" customFormat="1" hidden="1" x14ac:dyDescent="0.3">
      <c r="A960" s="1"/>
      <c r="B960" s="1" t="s">
        <v>7801</v>
      </c>
      <c r="C960" s="1" t="s">
        <v>7802</v>
      </c>
      <c r="D960" s="1" t="s">
        <v>7803</v>
      </c>
      <c r="E960" s="1"/>
      <c r="F960" s="1" t="s">
        <v>7804</v>
      </c>
      <c r="G960" s="1"/>
      <c r="H960" s="1"/>
      <c r="I960" s="1"/>
      <c r="J960" s="1" t="s">
        <v>72</v>
      </c>
      <c r="K960" s="1" t="s">
        <v>39</v>
      </c>
      <c r="L960" s="1" t="s">
        <v>7805</v>
      </c>
      <c r="M960" s="1" t="s">
        <v>141</v>
      </c>
      <c r="N960" s="1"/>
      <c r="O960" s="1" t="s">
        <v>7563</v>
      </c>
      <c r="P960" s="1"/>
      <c r="Q960" s="1" t="s">
        <v>7651</v>
      </c>
      <c r="R960" s="1" t="s">
        <v>5359</v>
      </c>
      <c r="S960" s="1" t="s">
        <v>7806</v>
      </c>
      <c r="T960" s="15">
        <v>2024</v>
      </c>
      <c r="U960" s="3" t="s">
        <v>5765</v>
      </c>
      <c r="V960" s="56" t="s">
        <v>29</v>
      </c>
      <c r="X960">
        <v>5</v>
      </c>
      <c r="Z960" s="12" t="s">
        <v>3828</v>
      </c>
      <c r="AA960" t="s">
        <v>7886</v>
      </c>
      <c r="AB960" s="14" t="s">
        <v>3888</v>
      </c>
      <c r="AD960" s="12" t="s">
        <v>764</v>
      </c>
    </row>
    <row r="961" spans="1:30" customFormat="1" hidden="1" x14ac:dyDescent="0.3">
      <c r="A961" s="1"/>
      <c r="B961" s="1" t="s">
        <v>7807</v>
      </c>
      <c r="C961" s="1" t="s">
        <v>7808</v>
      </c>
      <c r="D961" s="1" t="s">
        <v>7809</v>
      </c>
      <c r="E961" s="1" t="s">
        <v>7810</v>
      </c>
      <c r="F961" s="1" t="s">
        <v>7811</v>
      </c>
      <c r="G961" s="1" t="s">
        <v>7812</v>
      </c>
      <c r="H961" s="1"/>
      <c r="I961" s="1"/>
      <c r="J961" s="1" t="s">
        <v>1060</v>
      </c>
      <c r="K961" s="1" t="s">
        <v>39</v>
      </c>
      <c r="L961" s="1" t="s">
        <v>7813</v>
      </c>
      <c r="M961" s="1" t="s">
        <v>42</v>
      </c>
      <c r="N961" s="1"/>
      <c r="O961" s="1" t="s">
        <v>7563</v>
      </c>
      <c r="P961" s="1"/>
      <c r="Q961" s="1" t="s">
        <v>7651</v>
      </c>
      <c r="R961" s="1" t="s">
        <v>5480</v>
      </c>
      <c r="S961" s="1" t="s">
        <v>7814</v>
      </c>
      <c r="T961" s="15">
        <v>2024</v>
      </c>
      <c r="U961" s="3" t="s">
        <v>5765</v>
      </c>
      <c r="V961" s="56" t="s">
        <v>29</v>
      </c>
      <c r="X961">
        <v>5</v>
      </c>
      <c r="Z961" s="12" t="s">
        <v>3828</v>
      </c>
      <c r="AA961" t="s">
        <v>7887</v>
      </c>
      <c r="AB961" s="14" t="s">
        <v>3888</v>
      </c>
      <c r="AD961" s="12" t="s">
        <v>764</v>
      </c>
    </row>
    <row r="962" spans="1:30" customFormat="1" hidden="1" x14ac:dyDescent="0.3">
      <c r="A962" s="1" t="s">
        <v>22</v>
      </c>
      <c r="B962" s="1" t="s">
        <v>7815</v>
      </c>
      <c r="C962" s="1" t="s">
        <v>523</v>
      </c>
      <c r="D962" s="1" t="s">
        <v>7816</v>
      </c>
      <c r="E962" s="1" t="s">
        <v>7817</v>
      </c>
      <c r="F962" s="1" t="s">
        <v>7818</v>
      </c>
      <c r="G962" s="1"/>
      <c r="H962" s="1"/>
      <c r="I962" s="1"/>
      <c r="J962" s="1" t="s">
        <v>504</v>
      </c>
      <c r="K962" s="1" t="s">
        <v>39</v>
      </c>
      <c r="L962" s="1" t="s">
        <v>4169</v>
      </c>
      <c r="M962" s="1" t="s">
        <v>42</v>
      </c>
      <c r="N962" s="1"/>
      <c r="O962" s="1" t="s">
        <v>7563</v>
      </c>
      <c r="P962" s="1"/>
      <c r="Q962" s="1" t="s">
        <v>7651</v>
      </c>
      <c r="R962" s="1" t="s">
        <v>5359</v>
      </c>
      <c r="S962" s="1" t="s">
        <v>7819</v>
      </c>
      <c r="T962" s="15">
        <v>2024</v>
      </c>
      <c r="U962" s="3" t="s">
        <v>5765</v>
      </c>
      <c r="V962" s="56" t="s">
        <v>29</v>
      </c>
      <c r="X962">
        <v>5</v>
      </c>
      <c r="Z962" s="12" t="s">
        <v>3835</v>
      </c>
      <c r="AA962" t="s">
        <v>7712</v>
      </c>
      <c r="AB962" s="14" t="s">
        <v>3884</v>
      </c>
      <c r="AD962" s="12" t="s">
        <v>764</v>
      </c>
    </row>
    <row r="963" spans="1:30" customFormat="1" hidden="1" x14ac:dyDescent="0.3">
      <c r="A963" s="1" t="s">
        <v>7820</v>
      </c>
      <c r="B963" s="1" t="s">
        <v>7821</v>
      </c>
      <c r="C963" s="1" t="s">
        <v>523</v>
      </c>
      <c r="D963" s="1" t="s">
        <v>7822</v>
      </c>
      <c r="E963" s="1" t="s">
        <v>7823</v>
      </c>
      <c r="F963" s="1" t="s">
        <v>7824</v>
      </c>
      <c r="G963" s="1"/>
      <c r="H963" s="1"/>
      <c r="I963" s="1"/>
      <c r="J963" s="1" t="s">
        <v>7825</v>
      </c>
      <c r="K963" s="1" t="s">
        <v>39</v>
      </c>
      <c r="L963" s="1" t="s">
        <v>1304</v>
      </c>
      <c r="M963" s="1" t="s">
        <v>42</v>
      </c>
      <c r="N963" s="1"/>
      <c r="O963" s="1" t="s">
        <v>7563</v>
      </c>
      <c r="P963" s="1"/>
      <c r="Q963" s="1" t="s">
        <v>7651</v>
      </c>
      <c r="R963" s="1" t="s">
        <v>5429</v>
      </c>
      <c r="S963" s="1" t="s">
        <v>7826</v>
      </c>
      <c r="T963" s="15">
        <v>2024</v>
      </c>
      <c r="U963" s="3" t="s">
        <v>5765</v>
      </c>
      <c r="V963" s="56" t="s">
        <v>29</v>
      </c>
      <c r="X963">
        <v>5</v>
      </c>
      <c r="Z963" s="12" t="s">
        <v>3828</v>
      </c>
      <c r="AA963" t="s">
        <v>7887</v>
      </c>
      <c r="AB963" s="14" t="s">
        <v>3888</v>
      </c>
      <c r="AD963" s="12" t="s">
        <v>764</v>
      </c>
    </row>
    <row r="964" spans="1:30" customFormat="1" x14ac:dyDescent="0.3">
      <c r="A964" s="1" t="s">
        <v>7827</v>
      </c>
      <c r="B964" s="1" t="s">
        <v>7828</v>
      </c>
      <c r="C964" s="1" t="s">
        <v>1120</v>
      </c>
      <c r="D964" s="1" t="s">
        <v>7829</v>
      </c>
      <c r="E964" s="1" t="s">
        <v>7830</v>
      </c>
      <c r="F964" s="1" t="s">
        <v>7831</v>
      </c>
      <c r="G964" s="1"/>
      <c r="H964" s="1"/>
      <c r="I964" s="1"/>
      <c r="J964" s="1" t="s">
        <v>7832</v>
      </c>
      <c r="K964" s="1" t="s">
        <v>39</v>
      </c>
      <c r="L964" s="1" t="s">
        <v>1099</v>
      </c>
      <c r="M964" s="1" t="s">
        <v>42</v>
      </c>
      <c r="N964" s="1"/>
      <c r="O964" s="1" t="s">
        <v>7563</v>
      </c>
      <c r="P964" s="1"/>
      <c r="Q964" s="1" t="s">
        <v>7651</v>
      </c>
      <c r="R964" s="1" t="s">
        <v>5480</v>
      </c>
      <c r="S964" s="1" t="s">
        <v>7833</v>
      </c>
      <c r="T964" s="15">
        <v>2024</v>
      </c>
      <c r="U964" s="3" t="s">
        <v>5765</v>
      </c>
      <c r="V964" s="56" t="s">
        <v>29</v>
      </c>
      <c r="Y964" s="44">
        <v>45899</v>
      </c>
      <c r="Z964" s="12" t="s">
        <v>3835</v>
      </c>
      <c r="AA964" t="s">
        <v>7617</v>
      </c>
      <c r="AB964" s="14" t="s">
        <v>3884</v>
      </c>
      <c r="AD964" s="12" t="s">
        <v>764</v>
      </c>
    </row>
    <row r="965" spans="1:30" customFormat="1" hidden="1" x14ac:dyDescent="0.3">
      <c r="A965" s="1" t="s">
        <v>274</v>
      </c>
      <c r="B965" s="1" t="s">
        <v>6290</v>
      </c>
      <c r="C965" s="1" t="s">
        <v>336</v>
      </c>
      <c r="D965" s="1" t="s">
        <v>7834</v>
      </c>
      <c r="E965" s="1" t="s">
        <v>7835</v>
      </c>
      <c r="F965" s="2" t="s">
        <v>7888</v>
      </c>
      <c r="G965" s="1"/>
      <c r="H965" s="1" t="s">
        <v>876</v>
      </c>
      <c r="I965" s="1" t="s">
        <v>191</v>
      </c>
      <c r="J965" s="1" t="s">
        <v>7836</v>
      </c>
      <c r="K965" s="1" t="s">
        <v>39</v>
      </c>
      <c r="L965" s="1" t="s">
        <v>7837</v>
      </c>
      <c r="M965" s="1" t="s">
        <v>42</v>
      </c>
      <c r="N965" s="1"/>
      <c r="O965" s="1" t="s">
        <v>7563</v>
      </c>
      <c r="P965" s="1"/>
      <c r="Q965" s="1" t="s">
        <v>7651</v>
      </c>
      <c r="R965" s="1" t="s">
        <v>5359</v>
      </c>
      <c r="S965" s="1" t="s">
        <v>7838</v>
      </c>
      <c r="T965" s="15">
        <v>2024</v>
      </c>
      <c r="U965" s="3" t="s">
        <v>5765</v>
      </c>
      <c r="V965" s="56" t="s">
        <v>29</v>
      </c>
      <c r="X965">
        <v>5</v>
      </c>
      <c r="Z965" s="12" t="s">
        <v>3828</v>
      </c>
      <c r="AA965" t="s">
        <v>6777</v>
      </c>
      <c r="AB965" s="14" t="s">
        <v>3887</v>
      </c>
      <c r="AD965" s="12" t="s">
        <v>764</v>
      </c>
    </row>
    <row r="966" spans="1:30" customFormat="1" ht="41.4" hidden="1" x14ac:dyDescent="0.3">
      <c r="A966" s="1" t="s">
        <v>5590</v>
      </c>
      <c r="B966" s="1" t="s">
        <v>7839</v>
      </c>
      <c r="C966" s="1" t="s">
        <v>4801</v>
      </c>
      <c r="D966" s="1" t="s">
        <v>7840</v>
      </c>
      <c r="E966" s="1" t="s">
        <v>7841</v>
      </c>
      <c r="F966" s="1" t="s">
        <v>7842</v>
      </c>
      <c r="G966" s="1" t="s">
        <v>7843</v>
      </c>
      <c r="H966" s="1" t="s">
        <v>7844</v>
      </c>
      <c r="I966" s="1" t="s">
        <v>7845</v>
      </c>
      <c r="J966" s="1" t="s">
        <v>72</v>
      </c>
      <c r="K966" s="1" t="s">
        <v>39</v>
      </c>
      <c r="L966" s="1" t="s">
        <v>7846</v>
      </c>
      <c r="M966" s="1" t="s">
        <v>42</v>
      </c>
      <c r="N966" s="1"/>
      <c r="O966" s="1" t="s">
        <v>7563</v>
      </c>
      <c r="P966" s="1"/>
      <c r="Q966" s="1" t="s">
        <v>7651</v>
      </c>
      <c r="R966" s="1" t="s">
        <v>5359</v>
      </c>
      <c r="S966" s="1" t="s">
        <v>7847</v>
      </c>
      <c r="T966" s="15">
        <v>2024</v>
      </c>
      <c r="U966" s="3" t="s">
        <v>5765</v>
      </c>
      <c r="V966" s="56" t="s">
        <v>29</v>
      </c>
      <c r="X966">
        <v>10</v>
      </c>
      <c r="Z966" s="12" t="s">
        <v>3835</v>
      </c>
      <c r="AA966" t="s">
        <v>7617</v>
      </c>
      <c r="AB966" s="14" t="s">
        <v>3884</v>
      </c>
      <c r="AD966" s="12" t="s">
        <v>764</v>
      </c>
    </row>
    <row r="967" spans="1:30" customFormat="1" hidden="1" x14ac:dyDescent="0.3">
      <c r="A967" s="1"/>
      <c r="B967" s="1" t="s">
        <v>7848</v>
      </c>
      <c r="C967" s="1" t="s">
        <v>1111</v>
      </c>
      <c r="D967" s="1" t="s">
        <v>7849</v>
      </c>
      <c r="E967" s="1" t="s">
        <v>7850</v>
      </c>
      <c r="F967" s="1" t="s">
        <v>7851</v>
      </c>
      <c r="G967" s="1"/>
      <c r="H967" s="1"/>
      <c r="I967" s="1"/>
      <c r="J967" s="1" t="s">
        <v>7852</v>
      </c>
      <c r="K967" s="1" t="s">
        <v>39</v>
      </c>
      <c r="L967" s="1" t="s">
        <v>7853</v>
      </c>
      <c r="M967" s="1" t="s">
        <v>42</v>
      </c>
      <c r="N967" s="1"/>
      <c r="O967" s="1" t="s">
        <v>7563</v>
      </c>
      <c r="P967" s="1"/>
      <c r="Q967" s="1" t="s">
        <v>7651</v>
      </c>
      <c r="R967" s="1" t="s">
        <v>5359</v>
      </c>
      <c r="S967" s="1" t="s">
        <v>7854</v>
      </c>
      <c r="T967" s="15">
        <v>2024</v>
      </c>
      <c r="U967" s="3" t="s">
        <v>5765</v>
      </c>
      <c r="V967" s="56" t="s">
        <v>29</v>
      </c>
      <c r="X967">
        <v>5</v>
      </c>
      <c r="Z967" s="12" t="s">
        <v>3828</v>
      </c>
      <c r="AA967" t="s">
        <v>4868</v>
      </c>
      <c r="AB967" s="14" t="s">
        <v>3888</v>
      </c>
      <c r="AD967" s="12" t="s">
        <v>764</v>
      </c>
    </row>
    <row r="968" spans="1:30" customFormat="1" hidden="1" x14ac:dyDescent="0.3">
      <c r="A968" s="1"/>
      <c r="B968" s="1" t="s">
        <v>7855</v>
      </c>
      <c r="C968" s="1" t="s">
        <v>7856</v>
      </c>
      <c r="D968" s="1" t="s">
        <v>7857</v>
      </c>
      <c r="E968" s="1" t="s">
        <v>7858</v>
      </c>
      <c r="F968" s="1" t="s">
        <v>7859</v>
      </c>
      <c r="G968" s="1"/>
      <c r="H968" s="1" t="s">
        <v>1756</v>
      </c>
      <c r="I968" s="1"/>
      <c r="J968" s="1" t="s">
        <v>6438</v>
      </c>
      <c r="K968" s="1" t="s">
        <v>39</v>
      </c>
      <c r="L968" s="1" t="s">
        <v>7860</v>
      </c>
      <c r="M968" s="1" t="s">
        <v>141</v>
      </c>
      <c r="N968" s="1"/>
      <c r="O968" s="1" t="s">
        <v>7563</v>
      </c>
      <c r="P968" s="1"/>
      <c r="Q968" s="1" t="s">
        <v>7651</v>
      </c>
      <c r="R968" s="1" t="s">
        <v>5480</v>
      </c>
      <c r="S968" s="1" t="s">
        <v>7861</v>
      </c>
      <c r="T968" s="15">
        <v>2024</v>
      </c>
      <c r="U968" s="3" t="s">
        <v>5765</v>
      </c>
      <c r="V968" s="56" t="s">
        <v>29</v>
      </c>
      <c r="X968">
        <v>10</v>
      </c>
      <c r="Z968" s="12" t="s">
        <v>3835</v>
      </c>
      <c r="AA968" t="s">
        <v>7712</v>
      </c>
      <c r="AB968" s="14" t="s">
        <v>3884</v>
      </c>
      <c r="AD968" s="12" t="s">
        <v>764</v>
      </c>
    </row>
    <row r="969" spans="1:30" customFormat="1" hidden="1" x14ac:dyDescent="0.3">
      <c r="A969" s="1"/>
      <c r="B969" s="1" t="s">
        <v>2037</v>
      </c>
      <c r="C969" s="1" t="s">
        <v>2065</v>
      </c>
      <c r="D969" s="1" t="s">
        <v>7862</v>
      </c>
      <c r="E969" s="1" t="s">
        <v>7863</v>
      </c>
      <c r="F969" s="1" t="s">
        <v>7864</v>
      </c>
      <c r="G969" s="1"/>
      <c r="H969" s="1"/>
      <c r="I969" s="1"/>
      <c r="J969" s="1" t="s">
        <v>687</v>
      </c>
      <c r="K969" s="1" t="s">
        <v>39</v>
      </c>
      <c r="L969" s="1" t="s">
        <v>7865</v>
      </c>
      <c r="M969" s="1" t="s">
        <v>42</v>
      </c>
      <c r="N969" s="1"/>
      <c r="O969" s="1" t="s">
        <v>7563</v>
      </c>
      <c r="P969" s="1"/>
      <c r="Q969" s="1" t="s">
        <v>7651</v>
      </c>
      <c r="R969" s="1" t="s">
        <v>5480</v>
      </c>
      <c r="S969" s="1" t="s">
        <v>7866</v>
      </c>
      <c r="T969" s="15">
        <v>2024</v>
      </c>
      <c r="U969" s="3" t="s">
        <v>5765</v>
      </c>
      <c r="V969" s="56" t="s">
        <v>29</v>
      </c>
      <c r="X969">
        <v>5</v>
      </c>
      <c r="Z969" s="12" t="s">
        <v>3835</v>
      </c>
      <c r="AA969" t="s">
        <v>7712</v>
      </c>
      <c r="AB969" s="14" t="s">
        <v>3884</v>
      </c>
      <c r="AD969" s="12" t="s">
        <v>764</v>
      </c>
    </row>
    <row r="970" spans="1:30" customFormat="1" ht="25.95" hidden="1" customHeight="1" x14ac:dyDescent="0.3">
      <c r="A970" s="1" t="s">
        <v>7867</v>
      </c>
      <c r="B970" s="1" t="s">
        <v>4041</v>
      </c>
      <c r="C970" s="1" t="s">
        <v>423</v>
      </c>
      <c r="D970" s="1" t="s">
        <v>7868</v>
      </c>
      <c r="E970" s="1" t="s">
        <v>7869</v>
      </c>
      <c r="F970" s="1" t="s">
        <v>7870</v>
      </c>
      <c r="G970" s="1" t="s">
        <v>7871</v>
      </c>
      <c r="H970" s="1" t="s">
        <v>7872</v>
      </c>
      <c r="I970" s="1" t="s">
        <v>7873</v>
      </c>
      <c r="J970" s="1" t="s">
        <v>7874</v>
      </c>
      <c r="K970" s="1" t="s">
        <v>39</v>
      </c>
      <c r="L970" s="1" t="s">
        <v>7875</v>
      </c>
      <c r="M970" s="1" t="s">
        <v>141</v>
      </c>
      <c r="N970" s="1" t="s">
        <v>7876</v>
      </c>
      <c r="O970" s="1" t="s">
        <v>7563</v>
      </c>
      <c r="P970" s="1"/>
      <c r="Q970" s="1" t="s">
        <v>7651</v>
      </c>
      <c r="R970" s="1" t="s">
        <v>5359</v>
      </c>
      <c r="S970" s="1" t="s">
        <v>7877</v>
      </c>
      <c r="T970" s="15">
        <v>2024</v>
      </c>
      <c r="U970" s="3" t="s">
        <v>5765</v>
      </c>
      <c r="V970" s="56" t="s">
        <v>29</v>
      </c>
      <c r="X970">
        <v>5</v>
      </c>
      <c r="Z970" s="12" t="s">
        <v>3835</v>
      </c>
      <c r="AA970" t="s">
        <v>7617</v>
      </c>
      <c r="AB970" s="14" t="s">
        <v>3884</v>
      </c>
      <c r="AD970" s="12" t="s">
        <v>764</v>
      </c>
    </row>
    <row r="971" spans="1:30" customFormat="1" ht="27.6" x14ac:dyDescent="0.3">
      <c r="A971" s="1" t="s">
        <v>1482</v>
      </c>
      <c r="B971" s="1" t="s">
        <v>7878</v>
      </c>
      <c r="C971" s="1" t="s">
        <v>466</v>
      </c>
      <c r="D971" s="1" t="s">
        <v>7879</v>
      </c>
      <c r="E971" s="1" t="s">
        <v>7880</v>
      </c>
      <c r="F971" s="1" t="s">
        <v>7881</v>
      </c>
      <c r="G971" s="1" t="s">
        <v>7882</v>
      </c>
      <c r="H971" s="1" t="s">
        <v>310</v>
      </c>
      <c r="I971" s="1" t="s">
        <v>7883</v>
      </c>
      <c r="J971" s="1" t="s">
        <v>72</v>
      </c>
      <c r="K971" s="1" t="s">
        <v>39</v>
      </c>
      <c r="L971" s="1" t="s">
        <v>7884</v>
      </c>
      <c r="M971" s="1" t="s">
        <v>42</v>
      </c>
      <c r="N971" s="1"/>
      <c r="O971" s="1" t="s">
        <v>7563</v>
      </c>
      <c r="P971" s="1"/>
      <c r="Q971" s="1" t="s">
        <v>7651</v>
      </c>
      <c r="R971" s="1" t="s">
        <v>5480</v>
      </c>
      <c r="S971" s="1" t="s">
        <v>7885</v>
      </c>
      <c r="T971" s="15">
        <v>2024</v>
      </c>
      <c r="U971" s="3" t="s">
        <v>5765</v>
      </c>
      <c r="V971" s="56" t="s">
        <v>29</v>
      </c>
      <c r="Y971" s="44">
        <v>45899</v>
      </c>
      <c r="Z971" s="12" t="s">
        <v>3835</v>
      </c>
      <c r="AA971" t="s">
        <v>4915</v>
      </c>
      <c r="AB971" s="14" t="s">
        <v>3884</v>
      </c>
      <c r="AD971" s="12" t="s">
        <v>764</v>
      </c>
    </row>
    <row r="972" spans="1:30" customFormat="1" hidden="1" x14ac:dyDescent="0.3">
      <c r="A972" s="1"/>
      <c r="B972" s="4" t="s">
        <v>7890</v>
      </c>
      <c r="C972" s="4" t="s">
        <v>7891</v>
      </c>
      <c r="D972" s="1" t="s">
        <v>7892</v>
      </c>
      <c r="E972" s="1" t="s">
        <v>7893</v>
      </c>
      <c r="F972" s="1" t="s">
        <v>7894</v>
      </c>
      <c r="G972" s="1" t="s">
        <v>7895</v>
      </c>
      <c r="H972" s="1"/>
      <c r="I972" s="1"/>
      <c r="J972" s="1" t="s">
        <v>2262</v>
      </c>
      <c r="K972" s="1" t="s">
        <v>39</v>
      </c>
      <c r="L972" s="1" t="s">
        <v>7896</v>
      </c>
      <c r="M972" s="1" t="s">
        <v>141</v>
      </c>
      <c r="N972" s="1"/>
      <c r="O972" s="1" t="s">
        <v>7563</v>
      </c>
      <c r="P972" s="1"/>
      <c r="Q972" s="1" t="s">
        <v>7651</v>
      </c>
      <c r="R972" s="1" t="s">
        <v>5359</v>
      </c>
      <c r="S972" s="1" t="s">
        <v>7897</v>
      </c>
      <c r="T972" s="15">
        <v>2024</v>
      </c>
      <c r="U972" s="3" t="s">
        <v>5765</v>
      </c>
      <c r="V972" s="56" t="s">
        <v>29</v>
      </c>
      <c r="X972">
        <v>5</v>
      </c>
      <c r="Z972" s="12" t="s">
        <v>3828</v>
      </c>
      <c r="AA972" t="s">
        <v>7225</v>
      </c>
      <c r="AB972" s="14" t="s">
        <v>3885</v>
      </c>
      <c r="AD972" s="12" t="s">
        <v>764</v>
      </c>
    </row>
    <row r="973" spans="1:30" customFormat="1" hidden="1" x14ac:dyDescent="0.3">
      <c r="A973" s="1"/>
      <c r="B973" s="1" t="s">
        <v>7739</v>
      </c>
      <c r="C973" s="1" t="s">
        <v>1989</v>
      </c>
      <c r="D973" s="1" t="s">
        <v>7898</v>
      </c>
      <c r="E973" s="1" t="s">
        <v>7899</v>
      </c>
      <c r="F973" s="1" t="s">
        <v>7900</v>
      </c>
      <c r="G973" s="1"/>
      <c r="H973" s="1"/>
      <c r="I973" s="1"/>
      <c r="J973" s="1" t="s">
        <v>72</v>
      </c>
      <c r="K973" s="1" t="s">
        <v>39</v>
      </c>
      <c r="L973" s="1" t="s">
        <v>5892</v>
      </c>
      <c r="M973" s="1" t="s">
        <v>42</v>
      </c>
      <c r="N973" s="1"/>
      <c r="O973" s="1" t="s">
        <v>7563</v>
      </c>
      <c r="P973" s="1"/>
      <c r="Q973" s="1" t="s">
        <v>7651</v>
      </c>
      <c r="R973" s="1" t="s">
        <v>5359</v>
      </c>
      <c r="S973" s="1" t="s">
        <v>7901</v>
      </c>
      <c r="T973" s="15">
        <v>2024</v>
      </c>
      <c r="U973" s="3" t="s">
        <v>5765</v>
      </c>
      <c r="V973" s="56" t="s">
        <v>29</v>
      </c>
      <c r="X973">
        <v>5</v>
      </c>
      <c r="Z973" s="12" t="s">
        <v>3835</v>
      </c>
      <c r="AA973" t="s">
        <v>7926</v>
      </c>
      <c r="AB973" s="14" t="s">
        <v>3884</v>
      </c>
      <c r="AD973" s="12" t="s">
        <v>764</v>
      </c>
    </row>
    <row r="974" spans="1:30" customFormat="1" hidden="1" x14ac:dyDescent="0.3">
      <c r="A974" s="1" t="s">
        <v>1482</v>
      </c>
      <c r="B974" s="1" t="s">
        <v>7902</v>
      </c>
      <c r="C974" s="1" t="s">
        <v>4920</v>
      </c>
      <c r="D974" s="1" t="s">
        <v>7903</v>
      </c>
      <c r="E974" s="1"/>
      <c r="F974" s="1" t="s">
        <v>7904</v>
      </c>
      <c r="G974" s="1"/>
      <c r="H974" s="1" t="s">
        <v>7905</v>
      </c>
      <c r="I974" s="1" t="s">
        <v>81</v>
      </c>
      <c r="J974" s="1" t="s">
        <v>2926</v>
      </c>
      <c r="K974" s="1" t="s">
        <v>39</v>
      </c>
      <c r="L974" s="1" t="s">
        <v>7906</v>
      </c>
      <c r="M974" s="1" t="s">
        <v>42</v>
      </c>
      <c r="N974" s="1"/>
      <c r="O974" s="1" t="s">
        <v>7563</v>
      </c>
      <c r="P974" s="1"/>
      <c r="Q974" s="1" t="s">
        <v>7651</v>
      </c>
      <c r="R974" s="1" t="s">
        <v>5480</v>
      </c>
      <c r="S974" s="1" t="s">
        <v>7907</v>
      </c>
      <c r="T974" s="15">
        <v>2024</v>
      </c>
      <c r="U974" s="3" t="s">
        <v>5765</v>
      </c>
      <c r="V974" s="56" t="s">
        <v>29</v>
      </c>
      <c r="X974">
        <v>5</v>
      </c>
      <c r="Z974" s="12" t="s">
        <v>3835</v>
      </c>
      <c r="AA974" t="s">
        <v>7926</v>
      </c>
      <c r="AB974" s="14" t="s">
        <v>3884</v>
      </c>
      <c r="AD974" s="12" t="s">
        <v>764</v>
      </c>
    </row>
    <row r="975" spans="1:30" customFormat="1" ht="27.6" hidden="1" x14ac:dyDescent="0.3">
      <c r="A975" s="1" t="s">
        <v>7908</v>
      </c>
      <c r="B975" s="1" t="s">
        <v>7909</v>
      </c>
      <c r="C975" s="1" t="s">
        <v>3515</v>
      </c>
      <c r="D975" s="1" t="s">
        <v>7910</v>
      </c>
      <c r="E975" s="1" t="s">
        <v>7911</v>
      </c>
      <c r="F975" s="1" t="s">
        <v>7912</v>
      </c>
      <c r="G975" s="1"/>
      <c r="H975" s="1"/>
      <c r="I975" s="1"/>
      <c r="J975" s="1" t="s">
        <v>4823</v>
      </c>
      <c r="K975" s="1" t="s">
        <v>39</v>
      </c>
      <c r="L975" s="1" t="s">
        <v>731</v>
      </c>
      <c r="M975" s="1" t="s">
        <v>42</v>
      </c>
      <c r="N975" s="1"/>
      <c r="O975" s="1" t="s">
        <v>7563</v>
      </c>
      <c r="P975" s="1" t="s">
        <v>7724</v>
      </c>
      <c r="Q975" s="1" t="s">
        <v>7651</v>
      </c>
      <c r="R975" s="1" t="s">
        <v>5480</v>
      </c>
      <c r="S975" s="1" t="s">
        <v>7913</v>
      </c>
      <c r="T975" s="15">
        <v>2024</v>
      </c>
      <c r="U975" s="3" t="s">
        <v>5765</v>
      </c>
      <c r="V975" s="56" t="s">
        <v>29</v>
      </c>
      <c r="X975">
        <v>5</v>
      </c>
      <c r="Z975" s="12" t="s">
        <v>3870</v>
      </c>
      <c r="AA975" t="s">
        <v>1342</v>
      </c>
      <c r="AB975" s="14" t="s">
        <v>3886</v>
      </c>
      <c r="AD975" s="12" t="s">
        <v>764</v>
      </c>
    </row>
    <row r="976" spans="1:30" customFormat="1" hidden="1" x14ac:dyDescent="0.3">
      <c r="A976" s="1"/>
      <c r="B976" s="1" t="s">
        <v>7914</v>
      </c>
      <c r="C976" s="1" t="s">
        <v>181</v>
      </c>
      <c r="D976" s="1" t="s">
        <v>7915</v>
      </c>
      <c r="E976" s="1"/>
      <c r="F976" s="1" t="s">
        <v>7916</v>
      </c>
      <c r="G976" s="1"/>
      <c r="H976" s="1" t="s">
        <v>4293</v>
      </c>
      <c r="I976" s="1" t="s">
        <v>7917</v>
      </c>
      <c r="J976" s="1" t="s">
        <v>72</v>
      </c>
      <c r="K976" s="1" t="s">
        <v>39</v>
      </c>
      <c r="L976" s="1" t="s">
        <v>7918</v>
      </c>
      <c r="M976" s="1" t="s">
        <v>141</v>
      </c>
      <c r="N976" s="1"/>
      <c r="O976" s="1" t="s">
        <v>7563</v>
      </c>
      <c r="P976" s="1"/>
      <c r="Q976" s="1" t="s">
        <v>7651</v>
      </c>
      <c r="R976" s="1" t="s">
        <v>5480</v>
      </c>
      <c r="S976" s="1" t="s">
        <v>7919</v>
      </c>
      <c r="T976" s="15">
        <v>2024</v>
      </c>
      <c r="U976" s="3" t="s">
        <v>5765</v>
      </c>
      <c r="V976" s="56" t="s">
        <v>29</v>
      </c>
      <c r="X976">
        <v>5</v>
      </c>
      <c r="Z976" s="12" t="s">
        <v>2148</v>
      </c>
      <c r="AA976" t="s">
        <v>7927</v>
      </c>
      <c r="AB976" s="14" t="s">
        <v>3891</v>
      </c>
      <c r="AD976" s="12" t="s">
        <v>764</v>
      </c>
    </row>
    <row r="977" spans="1:30" customFormat="1" hidden="1" x14ac:dyDescent="0.3">
      <c r="A977" s="1" t="s">
        <v>2635</v>
      </c>
      <c r="B977" s="1" t="s">
        <v>703</v>
      </c>
      <c r="C977" s="1" t="s">
        <v>7920</v>
      </c>
      <c r="D977" s="1" t="s">
        <v>7921</v>
      </c>
      <c r="E977" s="1" t="s">
        <v>7922</v>
      </c>
      <c r="F977" s="1" t="s">
        <v>7923</v>
      </c>
      <c r="G977" s="1"/>
      <c r="H977" s="1"/>
      <c r="I977" s="1"/>
      <c r="J977" s="1" t="s">
        <v>72</v>
      </c>
      <c r="K977" s="1" t="s">
        <v>39</v>
      </c>
      <c r="L977" s="1" t="s">
        <v>7924</v>
      </c>
      <c r="M977" s="1" t="s">
        <v>141</v>
      </c>
      <c r="N977" s="1"/>
      <c r="O977" s="1" t="s">
        <v>7563</v>
      </c>
      <c r="P977" s="1"/>
      <c r="Q977" s="1" t="s">
        <v>7651</v>
      </c>
      <c r="R977" s="1" t="s">
        <v>5480</v>
      </c>
      <c r="S977" s="1" t="s">
        <v>7925</v>
      </c>
      <c r="T977" s="15">
        <v>2024</v>
      </c>
      <c r="U977" s="3" t="s">
        <v>5765</v>
      </c>
      <c r="V977" s="56" t="s">
        <v>29</v>
      </c>
      <c r="X977">
        <v>5</v>
      </c>
      <c r="Z977" s="12" t="s">
        <v>3870</v>
      </c>
      <c r="AA977" t="s">
        <v>5775</v>
      </c>
      <c r="AB977" s="14" t="s">
        <v>3886</v>
      </c>
      <c r="AD977" s="12" t="s">
        <v>764</v>
      </c>
    </row>
    <row r="978" spans="1:30" customFormat="1" ht="27.6" hidden="1" x14ac:dyDescent="0.3">
      <c r="A978" s="1" t="s">
        <v>4506</v>
      </c>
      <c r="B978" s="57" t="s">
        <v>7828</v>
      </c>
      <c r="C978" s="57" t="s">
        <v>7928</v>
      </c>
      <c r="D978" s="1" t="s">
        <v>7929</v>
      </c>
      <c r="E978" s="1" t="s">
        <v>7930</v>
      </c>
      <c r="F978" s="1" t="s">
        <v>10297</v>
      </c>
      <c r="G978" s="1"/>
      <c r="H978" s="1" t="s">
        <v>7931</v>
      </c>
      <c r="I978" s="1"/>
      <c r="J978" s="1" t="s">
        <v>7932</v>
      </c>
      <c r="K978" s="1" t="s">
        <v>39</v>
      </c>
      <c r="L978" s="1" t="s">
        <v>7933</v>
      </c>
      <c r="M978" s="1" t="s">
        <v>141</v>
      </c>
      <c r="N978" s="1"/>
      <c r="O978" s="1" t="s">
        <v>7563</v>
      </c>
      <c r="P978" s="1"/>
      <c r="Q978" s="1" t="s">
        <v>7651</v>
      </c>
      <c r="R978" s="1" t="s">
        <v>5480</v>
      </c>
      <c r="S978" s="1" t="s">
        <v>7934</v>
      </c>
      <c r="T978" s="15">
        <v>2024</v>
      </c>
      <c r="U978" s="3" t="s">
        <v>5765</v>
      </c>
      <c r="V978" s="56" t="s">
        <v>29</v>
      </c>
      <c r="X978">
        <v>5</v>
      </c>
      <c r="Z978" s="12" t="s">
        <v>3835</v>
      </c>
      <c r="AA978" t="s">
        <v>4915</v>
      </c>
      <c r="AB978" s="14" t="s">
        <v>3884</v>
      </c>
      <c r="AD978" s="12" t="s">
        <v>764</v>
      </c>
    </row>
    <row r="979" spans="1:30" customFormat="1" hidden="1" x14ac:dyDescent="0.3">
      <c r="A979" s="1"/>
      <c r="B979" s="1" t="s">
        <v>7935</v>
      </c>
      <c r="C979" s="1" t="s">
        <v>523</v>
      </c>
      <c r="D979" s="1" t="s">
        <v>7936</v>
      </c>
      <c r="E979" s="1" t="s">
        <v>7937</v>
      </c>
      <c r="F979" s="1" t="s">
        <v>7938</v>
      </c>
      <c r="G979" s="1"/>
      <c r="H979" s="1"/>
      <c r="I979" s="1"/>
      <c r="J979" s="1" t="s">
        <v>72</v>
      </c>
      <c r="K979" s="1" t="s">
        <v>39</v>
      </c>
      <c r="L979" s="1" t="s">
        <v>7939</v>
      </c>
      <c r="M979" s="1" t="s">
        <v>42</v>
      </c>
      <c r="N979" s="1"/>
      <c r="O979" s="1" t="s">
        <v>7563</v>
      </c>
      <c r="P979" s="1"/>
      <c r="Q979" s="1" t="s">
        <v>7651</v>
      </c>
      <c r="R979" s="1" t="s">
        <v>5359</v>
      </c>
      <c r="S979" s="1" t="s">
        <v>7940</v>
      </c>
      <c r="T979" s="15">
        <v>2024</v>
      </c>
      <c r="U979" s="3" t="s">
        <v>5765</v>
      </c>
      <c r="V979" s="56" t="s">
        <v>29</v>
      </c>
      <c r="X979">
        <v>5</v>
      </c>
      <c r="Z979" s="12" t="s">
        <v>3828</v>
      </c>
      <c r="AA979" t="s">
        <v>7956</v>
      </c>
      <c r="AB979" s="14" t="s">
        <v>3887</v>
      </c>
      <c r="AD979" s="12" t="s">
        <v>764</v>
      </c>
    </row>
    <row r="980" spans="1:30" customFormat="1" hidden="1" x14ac:dyDescent="0.3">
      <c r="A980" s="1"/>
      <c r="B980" s="1" t="s">
        <v>6556</v>
      </c>
      <c r="C980" s="1" t="s">
        <v>6808</v>
      </c>
      <c r="D980" s="1" t="s">
        <v>7941</v>
      </c>
      <c r="E980" s="1" t="s">
        <v>7942</v>
      </c>
      <c r="F980" s="1" t="s">
        <v>7943</v>
      </c>
      <c r="G980" s="1"/>
      <c r="H980" s="1"/>
      <c r="I980" s="1"/>
      <c r="J980" s="1" t="s">
        <v>5469</v>
      </c>
      <c r="K980" s="1" t="s">
        <v>39</v>
      </c>
      <c r="L980" s="1" t="s">
        <v>7944</v>
      </c>
      <c r="M980" s="1" t="s">
        <v>141</v>
      </c>
      <c r="N980" s="1"/>
      <c r="O980" s="1" t="s">
        <v>7563</v>
      </c>
      <c r="P980" s="1"/>
      <c r="Q980" s="1" t="s">
        <v>7651</v>
      </c>
      <c r="R980" s="1" t="s">
        <v>5480</v>
      </c>
      <c r="S980" s="1" t="s">
        <v>7945</v>
      </c>
      <c r="T980" s="15">
        <v>2024</v>
      </c>
      <c r="U980" s="3" t="s">
        <v>5765</v>
      </c>
      <c r="V980" s="56" t="s">
        <v>29</v>
      </c>
      <c r="X980">
        <v>5</v>
      </c>
      <c r="Z980" s="12" t="s">
        <v>3835</v>
      </c>
      <c r="AA980" t="s">
        <v>7703</v>
      </c>
      <c r="AB980" s="14" t="s">
        <v>3884</v>
      </c>
      <c r="AD980" s="12" t="s">
        <v>764</v>
      </c>
    </row>
    <row r="981" spans="1:30" customFormat="1" ht="27.6" x14ac:dyDescent="0.3">
      <c r="A981" s="1" t="s">
        <v>7946</v>
      </c>
      <c r="B981" s="1" t="s">
        <v>3978</v>
      </c>
      <c r="C981" s="1" t="s">
        <v>3712</v>
      </c>
      <c r="D981" s="1" t="s">
        <v>7947</v>
      </c>
      <c r="E981" s="1" t="s">
        <v>7948</v>
      </c>
      <c r="F981" s="2" t="s">
        <v>10296</v>
      </c>
      <c r="G981" s="1"/>
      <c r="H981" s="1"/>
      <c r="I981" s="1"/>
      <c r="J981" s="1" t="s">
        <v>470</v>
      </c>
      <c r="K981" s="1" t="s">
        <v>39</v>
      </c>
      <c r="L981" s="1" t="s">
        <v>7949</v>
      </c>
      <c r="M981" s="1" t="s">
        <v>141</v>
      </c>
      <c r="N981" s="1"/>
      <c r="O981" s="1" t="s">
        <v>7563</v>
      </c>
      <c r="P981" s="1"/>
      <c r="Q981" s="1" t="s">
        <v>7651</v>
      </c>
      <c r="R981" s="1" t="s">
        <v>5480</v>
      </c>
      <c r="S981" s="1" t="s">
        <v>7950</v>
      </c>
      <c r="T981" s="15">
        <v>2024</v>
      </c>
      <c r="U981" s="3" t="s">
        <v>5765</v>
      </c>
      <c r="V981" s="56" t="s">
        <v>29</v>
      </c>
      <c r="Y981" s="44">
        <v>45899</v>
      </c>
      <c r="Z981" s="12" t="s">
        <v>2148</v>
      </c>
      <c r="AA981" t="s">
        <v>7957</v>
      </c>
      <c r="AB981" s="14" t="s">
        <v>3891</v>
      </c>
      <c r="AD981" s="12" t="s">
        <v>764</v>
      </c>
    </row>
    <row r="982" spans="1:30" customFormat="1" hidden="1" x14ac:dyDescent="0.3">
      <c r="A982" s="1"/>
      <c r="B982" s="1" t="s">
        <v>3286</v>
      </c>
      <c r="C982" s="1" t="s">
        <v>7951</v>
      </c>
      <c r="D982" s="1" t="s">
        <v>7952</v>
      </c>
      <c r="E982" s="1"/>
      <c r="F982" s="1" t="s">
        <v>7953</v>
      </c>
      <c r="G982" s="1"/>
      <c r="H982" s="1"/>
      <c r="I982" s="1"/>
      <c r="J982" s="1" t="s">
        <v>72</v>
      </c>
      <c r="K982" s="1" t="s">
        <v>39</v>
      </c>
      <c r="L982" s="1" t="s">
        <v>7954</v>
      </c>
      <c r="M982" s="1" t="s">
        <v>141</v>
      </c>
      <c r="N982" s="1"/>
      <c r="O982" s="1" t="s">
        <v>7563</v>
      </c>
      <c r="P982" s="1"/>
      <c r="Q982" s="1" t="s">
        <v>7651</v>
      </c>
      <c r="R982" s="1" t="s">
        <v>5480</v>
      </c>
      <c r="S982" s="1" t="s">
        <v>7955</v>
      </c>
      <c r="T982" s="15">
        <v>2024</v>
      </c>
      <c r="U982" s="3" t="s">
        <v>5765</v>
      </c>
      <c r="V982" s="56" t="s">
        <v>29</v>
      </c>
      <c r="X982">
        <v>5</v>
      </c>
      <c r="Z982" s="12" t="s">
        <v>6146</v>
      </c>
      <c r="AA982" t="s">
        <v>7958</v>
      </c>
      <c r="AB982" s="14" t="s">
        <v>3891</v>
      </c>
      <c r="AD982" s="12" t="s">
        <v>764</v>
      </c>
    </row>
    <row r="983" spans="1:30" customFormat="1" ht="27.6" hidden="1" x14ac:dyDescent="0.3">
      <c r="A983" s="1" t="s">
        <v>49</v>
      </c>
      <c r="B983" s="57" t="s">
        <v>8351</v>
      </c>
      <c r="C983" s="57" t="s">
        <v>8352</v>
      </c>
      <c r="D983" s="1" t="s">
        <v>8353</v>
      </c>
      <c r="E983" s="1" t="s">
        <v>8354</v>
      </c>
      <c r="F983" s="1" t="s">
        <v>8355</v>
      </c>
      <c r="G983" s="1" t="s">
        <v>8356</v>
      </c>
      <c r="H983" s="1" t="s">
        <v>8357</v>
      </c>
      <c r="I983" s="1" t="s">
        <v>8358</v>
      </c>
      <c r="J983" s="1" t="s">
        <v>72</v>
      </c>
      <c r="K983" s="1" t="s">
        <v>39</v>
      </c>
      <c r="L983" s="1" t="s">
        <v>8359</v>
      </c>
      <c r="M983" s="1" t="s">
        <v>152</v>
      </c>
      <c r="N983" s="1"/>
      <c r="O983" s="1" t="s">
        <v>7563</v>
      </c>
      <c r="P983" s="1"/>
      <c r="Q983" s="1" t="s">
        <v>7651</v>
      </c>
      <c r="R983" s="1" t="s">
        <v>5359</v>
      </c>
      <c r="S983" s="1" t="s">
        <v>8360</v>
      </c>
      <c r="T983" s="15">
        <v>2024</v>
      </c>
      <c r="U983" s="3" t="s">
        <v>5765</v>
      </c>
      <c r="V983" s="3" t="s">
        <v>29</v>
      </c>
      <c r="W983" s="3" t="s">
        <v>6170</v>
      </c>
      <c r="X983" s="3" t="s">
        <v>7369</v>
      </c>
      <c r="Z983" s="12" t="s">
        <v>3828</v>
      </c>
      <c r="AA983" t="s">
        <v>8340</v>
      </c>
      <c r="AB983" s="14" t="s">
        <v>3885</v>
      </c>
      <c r="AD983" s="12" t="s">
        <v>764</v>
      </c>
    </row>
    <row r="984" spans="1:30" customFormat="1" hidden="1" x14ac:dyDescent="0.3">
      <c r="A984" s="1" t="s">
        <v>49</v>
      </c>
      <c r="B984" s="4" t="s">
        <v>7959</v>
      </c>
      <c r="C984" s="4" t="s">
        <v>354</v>
      </c>
      <c r="D984" s="1" t="s">
        <v>7960</v>
      </c>
      <c r="E984" s="1" t="s">
        <v>7961</v>
      </c>
      <c r="F984" s="1" t="s">
        <v>7962</v>
      </c>
      <c r="G984" s="1"/>
      <c r="H984" s="1"/>
      <c r="I984" s="1"/>
      <c r="J984" s="1" t="s">
        <v>284</v>
      </c>
      <c r="K984" s="1" t="s">
        <v>39</v>
      </c>
      <c r="L984" s="1" t="s">
        <v>965</v>
      </c>
      <c r="M984" s="1" t="s">
        <v>152</v>
      </c>
      <c r="N984" s="1"/>
      <c r="O984" s="1" t="s">
        <v>7563</v>
      </c>
      <c r="P984" s="1"/>
      <c r="Q984" s="1" t="s">
        <v>7651</v>
      </c>
      <c r="R984" s="1" t="s">
        <v>6962</v>
      </c>
      <c r="S984" s="1" t="s">
        <v>7963</v>
      </c>
      <c r="T984" s="15">
        <v>2024</v>
      </c>
      <c r="U984" s="3" t="s">
        <v>6168</v>
      </c>
      <c r="V984" s="3" t="s">
        <v>708</v>
      </c>
      <c r="W984" t="s">
        <v>6170</v>
      </c>
      <c r="X984" s="3" t="s">
        <v>7369</v>
      </c>
      <c r="Z984" s="12" t="s">
        <v>3828</v>
      </c>
      <c r="AA984" s="12"/>
      <c r="AB984" s="14" t="s">
        <v>3888</v>
      </c>
    </row>
    <row r="985" spans="1:30" customFormat="1" ht="27.6" hidden="1" x14ac:dyDescent="0.3">
      <c r="A985" s="1" t="s">
        <v>5445</v>
      </c>
      <c r="B985" s="1" t="s">
        <v>7964</v>
      </c>
      <c r="C985" s="1" t="s">
        <v>466</v>
      </c>
      <c r="D985" s="1" t="s">
        <v>7965</v>
      </c>
      <c r="E985" s="1"/>
      <c r="F985" s="1" t="s">
        <v>7966</v>
      </c>
      <c r="G985" s="1"/>
      <c r="H985" s="1" t="s">
        <v>5445</v>
      </c>
      <c r="I985" s="1" t="s">
        <v>7967</v>
      </c>
      <c r="J985" s="1" t="s">
        <v>6082</v>
      </c>
      <c r="K985" s="1" t="s">
        <v>39</v>
      </c>
      <c r="L985" s="1" t="s">
        <v>7968</v>
      </c>
      <c r="M985" s="1" t="s">
        <v>152</v>
      </c>
      <c r="N985" s="1" t="s">
        <v>7969</v>
      </c>
      <c r="O985" s="1" t="s">
        <v>7563</v>
      </c>
      <c r="P985" s="1"/>
      <c r="Q985" s="1" t="s">
        <v>7651</v>
      </c>
      <c r="R985" s="1" t="s">
        <v>5359</v>
      </c>
      <c r="S985" s="1" t="s">
        <v>7970</v>
      </c>
      <c r="T985" s="15">
        <v>2024</v>
      </c>
      <c r="U985" s="3" t="s">
        <v>6168</v>
      </c>
      <c r="V985" s="3" t="s">
        <v>708</v>
      </c>
      <c r="W985" t="s">
        <v>8344</v>
      </c>
      <c r="X985" s="3" t="s">
        <v>7369</v>
      </c>
      <c r="Z985" s="12" t="s">
        <v>3828</v>
      </c>
      <c r="AA985" s="12"/>
      <c r="AB985" s="14" t="s">
        <v>3888</v>
      </c>
    </row>
    <row r="986" spans="1:30" customFormat="1" hidden="1" x14ac:dyDescent="0.3">
      <c r="A986" s="1" t="s">
        <v>292</v>
      </c>
      <c r="B986" s="1" t="s">
        <v>7971</v>
      </c>
      <c r="C986" s="1" t="s">
        <v>7972</v>
      </c>
      <c r="D986" s="1" t="s">
        <v>7973</v>
      </c>
      <c r="E986" s="1" t="s">
        <v>7974</v>
      </c>
      <c r="F986" s="1" t="s">
        <v>7975</v>
      </c>
      <c r="G986" s="1" t="s">
        <v>7976</v>
      </c>
      <c r="H986" s="1"/>
      <c r="I986" s="1"/>
      <c r="J986" s="1" t="s">
        <v>1060</v>
      </c>
      <c r="K986" s="1" t="s">
        <v>39</v>
      </c>
      <c r="L986" s="1" t="s">
        <v>1902</v>
      </c>
      <c r="M986" s="1" t="s">
        <v>141</v>
      </c>
      <c r="N986" s="1"/>
      <c r="O986" s="1" t="s">
        <v>7563</v>
      </c>
      <c r="P986" s="1" t="s">
        <v>7724</v>
      </c>
      <c r="Q986" s="1"/>
      <c r="R986" s="1" t="s">
        <v>5359</v>
      </c>
      <c r="S986" s="1" t="s">
        <v>7977</v>
      </c>
      <c r="T986" s="15">
        <v>2024</v>
      </c>
      <c r="U986" s="3" t="s">
        <v>6168</v>
      </c>
      <c r="V986" s="3" t="s">
        <v>708</v>
      </c>
      <c r="W986" t="s">
        <v>8343</v>
      </c>
      <c r="X986" s="3" t="s">
        <v>7369</v>
      </c>
      <c r="Z986" s="12" t="s">
        <v>3835</v>
      </c>
      <c r="AA986" s="12"/>
      <c r="AB986" s="14" t="s">
        <v>3884</v>
      </c>
    </row>
    <row r="987" spans="1:30" customFormat="1" hidden="1" x14ac:dyDescent="0.3">
      <c r="A987" s="1"/>
      <c r="B987" s="1" t="s">
        <v>7978</v>
      </c>
      <c r="C987" s="1" t="s">
        <v>7979</v>
      </c>
      <c r="D987" s="1" t="s">
        <v>7980</v>
      </c>
      <c r="E987" s="1" t="s">
        <v>7981</v>
      </c>
      <c r="F987" s="1" t="s">
        <v>7982</v>
      </c>
      <c r="G987" s="1"/>
      <c r="H987" s="1" t="s">
        <v>7983</v>
      </c>
      <c r="I987" s="1" t="s">
        <v>62</v>
      </c>
      <c r="J987" s="1" t="s">
        <v>2965</v>
      </c>
      <c r="K987" s="1" t="s">
        <v>39</v>
      </c>
      <c r="L987" s="1" t="s">
        <v>7984</v>
      </c>
      <c r="M987" s="1" t="s">
        <v>152</v>
      </c>
      <c r="N987" s="1" t="s">
        <v>7985</v>
      </c>
      <c r="O987" s="1" t="s">
        <v>7563</v>
      </c>
      <c r="P987" s="1"/>
      <c r="Q987" s="1" t="s">
        <v>7651</v>
      </c>
      <c r="R987" s="1" t="s">
        <v>5429</v>
      </c>
      <c r="S987" s="1" t="s">
        <v>7986</v>
      </c>
      <c r="T987" s="15">
        <v>2024</v>
      </c>
      <c r="U987" s="3" t="s">
        <v>5765</v>
      </c>
      <c r="V987" s="3" t="s">
        <v>29</v>
      </c>
      <c r="W987" s="3" t="s">
        <v>8341</v>
      </c>
      <c r="X987" s="3" t="s">
        <v>7369</v>
      </c>
      <c r="Z987" s="12" t="s">
        <v>3835</v>
      </c>
      <c r="AA987" t="s">
        <v>4603</v>
      </c>
      <c r="AB987" s="14" t="s">
        <v>3884</v>
      </c>
      <c r="AD987" s="14" t="s">
        <v>764</v>
      </c>
    </row>
    <row r="988" spans="1:30" customFormat="1" x14ac:dyDescent="0.3">
      <c r="A988" s="1" t="s">
        <v>5125</v>
      </c>
      <c r="B988" s="1" t="s">
        <v>7987</v>
      </c>
      <c r="C988" s="1" t="s">
        <v>7988</v>
      </c>
      <c r="D988" s="1" t="s">
        <v>7989</v>
      </c>
      <c r="E988" s="1" t="s">
        <v>7990</v>
      </c>
      <c r="F988" s="1" t="s">
        <v>7991</v>
      </c>
      <c r="G988" s="1"/>
      <c r="H988" s="1"/>
      <c r="I988" s="1"/>
      <c r="J988" s="1" t="s">
        <v>7992</v>
      </c>
      <c r="K988" s="1" t="s">
        <v>39</v>
      </c>
      <c r="L988" s="1" t="s">
        <v>7993</v>
      </c>
      <c r="M988" s="1" t="s">
        <v>42</v>
      </c>
      <c r="N988" s="1"/>
      <c r="O988" s="1" t="s">
        <v>7563</v>
      </c>
      <c r="P988" s="1"/>
      <c r="Q988" s="1" t="s">
        <v>7651</v>
      </c>
      <c r="R988" s="1" t="s">
        <v>5480</v>
      </c>
      <c r="S988" s="1" t="s">
        <v>7994</v>
      </c>
      <c r="T988" s="15">
        <v>2024</v>
      </c>
      <c r="U988" s="3" t="s">
        <v>5765</v>
      </c>
      <c r="V988" s="3" t="s">
        <v>29</v>
      </c>
      <c r="Y988" s="44">
        <v>45899</v>
      </c>
      <c r="Z988" s="12" t="s">
        <v>3835</v>
      </c>
      <c r="AA988" t="s">
        <v>8335</v>
      </c>
      <c r="AB988" s="14" t="s">
        <v>3884</v>
      </c>
      <c r="AD988" s="14" t="s">
        <v>764</v>
      </c>
    </row>
    <row r="989" spans="1:30" customFormat="1" ht="41.4" hidden="1" x14ac:dyDescent="0.3">
      <c r="A989" s="1" t="s">
        <v>292</v>
      </c>
      <c r="B989" s="1" t="s">
        <v>7995</v>
      </c>
      <c r="C989" s="1" t="s">
        <v>7996</v>
      </c>
      <c r="D989" s="1" t="s">
        <v>7997</v>
      </c>
      <c r="E989" s="1"/>
      <c r="F989" s="1" t="s">
        <v>7998</v>
      </c>
      <c r="G989" s="1" t="s">
        <v>7999</v>
      </c>
      <c r="H989" s="1" t="s">
        <v>8000</v>
      </c>
      <c r="I989" s="1" t="s">
        <v>191</v>
      </c>
      <c r="J989" s="1" t="s">
        <v>72</v>
      </c>
      <c r="K989" s="1" t="s">
        <v>39</v>
      </c>
      <c r="L989" s="1" t="s">
        <v>8001</v>
      </c>
      <c r="M989" s="1" t="s">
        <v>152</v>
      </c>
      <c r="N989" s="1"/>
      <c r="O989" s="1" t="s">
        <v>7563</v>
      </c>
      <c r="P989" s="1"/>
      <c r="Q989" s="1" t="s">
        <v>7651</v>
      </c>
      <c r="R989" s="1" t="s">
        <v>6962</v>
      </c>
      <c r="S989" s="1" t="s">
        <v>8002</v>
      </c>
      <c r="T989" s="15">
        <v>2024</v>
      </c>
      <c r="U989" s="3" t="s">
        <v>6168</v>
      </c>
      <c r="V989" s="3" t="s">
        <v>708</v>
      </c>
      <c r="W989" t="s">
        <v>8344</v>
      </c>
      <c r="X989" s="3" t="s">
        <v>7369</v>
      </c>
      <c r="Z989" s="12" t="s">
        <v>3828</v>
      </c>
      <c r="AA989" s="12"/>
      <c r="AB989" s="14" t="s">
        <v>3885</v>
      </c>
    </row>
    <row r="990" spans="1:30" customFormat="1" hidden="1" x14ac:dyDescent="0.3">
      <c r="A990" s="1" t="s">
        <v>8003</v>
      </c>
      <c r="B990" s="1" t="s">
        <v>8004</v>
      </c>
      <c r="C990" s="1" t="s">
        <v>8005</v>
      </c>
      <c r="D990" s="1" t="s">
        <v>8006</v>
      </c>
      <c r="E990" s="1" t="s">
        <v>8007</v>
      </c>
      <c r="F990" s="1" t="s">
        <v>8008</v>
      </c>
      <c r="G990" s="1"/>
      <c r="H990" s="1"/>
      <c r="I990" s="1"/>
      <c r="J990" s="1" t="s">
        <v>8009</v>
      </c>
      <c r="K990" s="1" t="s">
        <v>39</v>
      </c>
      <c r="L990" s="1" t="s">
        <v>8010</v>
      </c>
      <c r="M990" s="1" t="s">
        <v>42</v>
      </c>
      <c r="N990" s="1"/>
      <c r="O990" s="1" t="s">
        <v>7563</v>
      </c>
      <c r="P990" s="1"/>
      <c r="Q990" s="1" t="s">
        <v>7651</v>
      </c>
      <c r="R990" s="1" t="s">
        <v>5480</v>
      </c>
      <c r="S990" s="1" t="s">
        <v>8011</v>
      </c>
      <c r="T990" s="15">
        <v>2024</v>
      </c>
      <c r="U990" s="3" t="s">
        <v>5765</v>
      </c>
      <c r="V990" s="3" t="s">
        <v>29</v>
      </c>
      <c r="X990">
        <v>5</v>
      </c>
      <c r="Z990" s="12" t="s">
        <v>3828</v>
      </c>
      <c r="AA990" t="s">
        <v>8361</v>
      </c>
      <c r="AB990" s="14" t="s">
        <v>3887</v>
      </c>
      <c r="AD990" s="14" t="s">
        <v>764</v>
      </c>
    </row>
    <row r="991" spans="1:30" customFormat="1" ht="27.6" hidden="1" x14ac:dyDescent="0.3">
      <c r="A991" s="1" t="s">
        <v>2707</v>
      </c>
      <c r="B991" s="1" t="s">
        <v>8012</v>
      </c>
      <c r="C991" s="1" t="s">
        <v>8013</v>
      </c>
      <c r="D991" s="1" t="s">
        <v>8014</v>
      </c>
      <c r="E991" s="1" t="s">
        <v>8015</v>
      </c>
      <c r="F991" s="1" t="s">
        <v>8016</v>
      </c>
      <c r="G991" s="1" t="s">
        <v>8017</v>
      </c>
      <c r="H991" s="1" t="s">
        <v>8018</v>
      </c>
      <c r="I991" s="1" t="s">
        <v>191</v>
      </c>
      <c r="J991" s="1" t="s">
        <v>72</v>
      </c>
      <c r="K991" s="1" t="s">
        <v>39</v>
      </c>
      <c r="L991" s="1" t="s">
        <v>8019</v>
      </c>
      <c r="M991" s="1" t="s">
        <v>152</v>
      </c>
      <c r="N991" s="1"/>
      <c r="O991" s="1" t="s">
        <v>7563</v>
      </c>
      <c r="P991" s="1"/>
      <c r="Q991" s="1" t="s">
        <v>7651</v>
      </c>
      <c r="R991" s="1" t="s">
        <v>5359</v>
      </c>
      <c r="S991" s="1" t="s">
        <v>8020</v>
      </c>
      <c r="T991" s="15">
        <v>2024</v>
      </c>
      <c r="U991" s="3" t="s">
        <v>6168</v>
      </c>
      <c r="V991" s="3" t="s">
        <v>708</v>
      </c>
      <c r="W991" t="s">
        <v>8341</v>
      </c>
      <c r="X991" s="3" t="s">
        <v>7369</v>
      </c>
      <c r="AA991" s="12"/>
    </row>
    <row r="992" spans="1:30" customFormat="1" hidden="1" x14ac:dyDescent="0.3">
      <c r="A992" s="1" t="s">
        <v>2707</v>
      </c>
      <c r="B992" s="1" t="s">
        <v>438</v>
      </c>
      <c r="C992" s="1" t="s">
        <v>8021</v>
      </c>
      <c r="D992" s="1" t="s">
        <v>8022</v>
      </c>
      <c r="E992" s="1"/>
      <c r="F992" s="1" t="s">
        <v>8023</v>
      </c>
      <c r="G992" s="1"/>
      <c r="H992" s="1" t="s">
        <v>502</v>
      </c>
      <c r="I992" s="1" t="s">
        <v>191</v>
      </c>
      <c r="J992" s="1" t="s">
        <v>72</v>
      </c>
      <c r="K992" s="1" t="s">
        <v>39</v>
      </c>
      <c r="L992" s="1" t="s">
        <v>8024</v>
      </c>
      <c r="M992" s="1" t="s">
        <v>152</v>
      </c>
      <c r="N992" s="1"/>
      <c r="O992" s="1" t="s">
        <v>7563</v>
      </c>
      <c r="P992" s="1"/>
      <c r="Q992" s="1" t="s">
        <v>7651</v>
      </c>
      <c r="R992" s="1" t="s">
        <v>5359</v>
      </c>
      <c r="S992" s="1" t="s">
        <v>8025</v>
      </c>
      <c r="T992" s="15">
        <v>2024</v>
      </c>
      <c r="U992" s="3" t="s">
        <v>5765</v>
      </c>
      <c r="V992" s="3" t="s">
        <v>29</v>
      </c>
      <c r="W992" s="3" t="s">
        <v>8341</v>
      </c>
      <c r="X992" s="3" t="s">
        <v>7369</v>
      </c>
      <c r="Z992" s="12" t="s">
        <v>2148</v>
      </c>
      <c r="AA992" t="s">
        <v>8336</v>
      </c>
      <c r="AB992" s="14" t="s">
        <v>4594</v>
      </c>
      <c r="AD992" s="14" t="s">
        <v>764</v>
      </c>
    </row>
    <row r="993" spans="1:30" customFormat="1" hidden="1" x14ac:dyDescent="0.3">
      <c r="A993" s="1"/>
      <c r="B993" s="1" t="s">
        <v>8026</v>
      </c>
      <c r="C993" s="1" t="s">
        <v>79</v>
      </c>
      <c r="D993" s="1" t="s">
        <v>8027</v>
      </c>
      <c r="E993" s="1"/>
      <c r="F993" s="1" t="s">
        <v>8028</v>
      </c>
      <c r="G993" s="1"/>
      <c r="H993" s="1" t="s">
        <v>8029</v>
      </c>
      <c r="I993" s="1"/>
      <c r="J993" s="1" t="s">
        <v>284</v>
      </c>
      <c r="K993" s="1" t="s">
        <v>39</v>
      </c>
      <c r="L993" s="1" t="s">
        <v>965</v>
      </c>
      <c r="M993" s="1" t="s">
        <v>152</v>
      </c>
      <c r="N993" s="1"/>
      <c r="O993" s="1" t="s">
        <v>7563</v>
      </c>
      <c r="P993" s="1"/>
      <c r="Q993" s="1" t="s">
        <v>7651</v>
      </c>
      <c r="R993" s="1" t="s">
        <v>5359</v>
      </c>
      <c r="S993" s="1" t="s">
        <v>8030</v>
      </c>
      <c r="T993" s="15">
        <v>2024</v>
      </c>
      <c r="U993" s="3" t="s">
        <v>6168</v>
      </c>
      <c r="V993" s="3" t="s">
        <v>708</v>
      </c>
      <c r="W993" t="s">
        <v>8345</v>
      </c>
      <c r="X993" s="3" t="s">
        <v>7369</v>
      </c>
      <c r="Z993" s="12" t="s">
        <v>3835</v>
      </c>
      <c r="AA993" s="12"/>
      <c r="AB993" s="14" t="s">
        <v>3884</v>
      </c>
    </row>
    <row r="994" spans="1:30" customFormat="1" hidden="1" x14ac:dyDescent="0.3">
      <c r="A994" s="1" t="s">
        <v>49</v>
      </c>
      <c r="B994" s="1" t="s">
        <v>8031</v>
      </c>
      <c r="C994" s="1" t="s">
        <v>8032</v>
      </c>
      <c r="D994" s="1" t="s">
        <v>8033</v>
      </c>
      <c r="E994" s="1" t="s">
        <v>8034</v>
      </c>
      <c r="F994" s="1" t="s">
        <v>8035</v>
      </c>
      <c r="G994" s="1"/>
      <c r="H994" s="1" t="s">
        <v>355</v>
      </c>
      <c r="I994" s="1"/>
      <c r="J994" s="1" t="s">
        <v>8036</v>
      </c>
      <c r="K994" s="1" t="s">
        <v>39</v>
      </c>
      <c r="L994" s="1" t="s">
        <v>965</v>
      </c>
      <c r="M994" s="1" t="s">
        <v>152</v>
      </c>
      <c r="N994" s="1"/>
      <c r="O994" s="1" t="s">
        <v>7563</v>
      </c>
      <c r="P994" s="1"/>
      <c r="Q994" s="1" t="s">
        <v>7651</v>
      </c>
      <c r="R994" s="1" t="s">
        <v>6962</v>
      </c>
      <c r="S994" s="1" t="s">
        <v>8037</v>
      </c>
      <c r="T994" s="15">
        <v>2024</v>
      </c>
      <c r="U994" s="3" t="s">
        <v>6168</v>
      </c>
      <c r="V994" s="3" t="s">
        <v>708</v>
      </c>
      <c r="W994" t="s">
        <v>8344</v>
      </c>
      <c r="X994" s="3" t="s">
        <v>7369</v>
      </c>
      <c r="Z994" s="12" t="s">
        <v>2148</v>
      </c>
      <c r="AA994" s="12"/>
      <c r="AB994" s="14" t="s">
        <v>3891</v>
      </c>
    </row>
    <row r="995" spans="1:30" customFormat="1" hidden="1" x14ac:dyDescent="0.3">
      <c r="A995" s="1" t="s">
        <v>5445</v>
      </c>
      <c r="B995" s="1" t="s">
        <v>8038</v>
      </c>
      <c r="C995" s="1" t="s">
        <v>447</v>
      </c>
      <c r="D995" s="1" t="s">
        <v>8039</v>
      </c>
      <c r="E995" s="1" t="s">
        <v>8040</v>
      </c>
      <c r="F995" s="1" t="s">
        <v>8041</v>
      </c>
      <c r="G995" s="1"/>
      <c r="H995" s="1"/>
      <c r="I995" s="1"/>
      <c r="J995" s="1" t="s">
        <v>7531</v>
      </c>
      <c r="K995" s="1" t="s">
        <v>39</v>
      </c>
      <c r="L995" s="1" t="s">
        <v>965</v>
      </c>
      <c r="M995" s="1" t="s">
        <v>152</v>
      </c>
      <c r="N995" s="1"/>
      <c r="O995" s="1" t="s">
        <v>7563</v>
      </c>
      <c r="P995" s="1"/>
      <c r="Q995" s="1" t="s">
        <v>7651</v>
      </c>
      <c r="R995" s="1" t="s">
        <v>5359</v>
      </c>
      <c r="S995" s="1" t="s">
        <v>8042</v>
      </c>
      <c r="T995" s="15">
        <v>2024</v>
      </c>
      <c r="U995" s="3" t="s">
        <v>5765</v>
      </c>
      <c r="V995" s="3" t="s">
        <v>29</v>
      </c>
      <c r="W995" s="3" t="s">
        <v>8344</v>
      </c>
      <c r="X995" s="3" t="s">
        <v>7369</v>
      </c>
      <c r="Z995" s="12" t="s">
        <v>5921</v>
      </c>
      <c r="AA995" t="s">
        <v>8361</v>
      </c>
      <c r="AB995" s="14" t="s">
        <v>3887</v>
      </c>
      <c r="AD995" s="14" t="s">
        <v>764</v>
      </c>
    </row>
    <row r="996" spans="1:30" customFormat="1" ht="27.6" hidden="1" x14ac:dyDescent="0.3">
      <c r="A996" s="1" t="s">
        <v>2635</v>
      </c>
      <c r="B996" s="1" t="s">
        <v>8043</v>
      </c>
      <c r="C996" s="1" t="s">
        <v>282</v>
      </c>
      <c r="D996" s="1" t="s">
        <v>8044</v>
      </c>
      <c r="E996" s="1"/>
      <c r="F996" s="1" t="s">
        <v>8045</v>
      </c>
      <c r="G996" s="1"/>
      <c r="H996" s="1" t="s">
        <v>8046</v>
      </c>
      <c r="I996" s="1"/>
      <c r="J996" s="1" t="s">
        <v>1900</v>
      </c>
      <c r="K996" s="1" t="s">
        <v>39</v>
      </c>
      <c r="L996" s="1" t="s">
        <v>8047</v>
      </c>
      <c r="M996" s="1" t="s">
        <v>152</v>
      </c>
      <c r="N996" s="1"/>
      <c r="O996" s="1" t="s">
        <v>7563</v>
      </c>
      <c r="P996" s="1"/>
      <c r="Q996" s="1" t="s">
        <v>7651</v>
      </c>
      <c r="R996" s="1" t="s">
        <v>5359</v>
      </c>
      <c r="S996" s="1" t="s">
        <v>8048</v>
      </c>
      <c r="T996" s="15">
        <v>2024</v>
      </c>
      <c r="U996" s="3" t="s">
        <v>5765</v>
      </c>
      <c r="V996" s="3" t="s">
        <v>29</v>
      </c>
      <c r="W996" s="3" t="s">
        <v>8345</v>
      </c>
      <c r="X996" s="3" t="s">
        <v>7369</v>
      </c>
      <c r="Z996" s="12" t="s">
        <v>3870</v>
      </c>
      <c r="AA996" t="s">
        <v>1342</v>
      </c>
      <c r="AB996" s="14" t="s">
        <v>3886</v>
      </c>
      <c r="AD996" s="14" t="s">
        <v>764</v>
      </c>
    </row>
    <row r="997" spans="1:30" customFormat="1" hidden="1" x14ac:dyDescent="0.3">
      <c r="A997" s="1" t="s">
        <v>49</v>
      </c>
      <c r="B997" s="1" t="s">
        <v>8049</v>
      </c>
      <c r="C997" s="1" t="s">
        <v>1361</v>
      </c>
      <c r="D997" s="1" t="s">
        <v>8050</v>
      </c>
      <c r="E997" s="1" t="s">
        <v>8051</v>
      </c>
      <c r="F997" s="1" t="s">
        <v>8052</v>
      </c>
      <c r="G997" s="1"/>
      <c r="H997" s="1" t="s">
        <v>8053</v>
      </c>
      <c r="I997" s="1" t="s">
        <v>191</v>
      </c>
      <c r="J997" s="1" t="s">
        <v>3554</v>
      </c>
      <c r="K997" s="1" t="s">
        <v>39</v>
      </c>
      <c r="L997" s="1" t="s">
        <v>8054</v>
      </c>
      <c r="M997" s="1" t="s">
        <v>152</v>
      </c>
      <c r="N997" s="1"/>
      <c r="O997" s="1" t="s">
        <v>7563</v>
      </c>
      <c r="P997" s="1"/>
      <c r="Q997" s="1" t="s">
        <v>7651</v>
      </c>
      <c r="R997" s="1" t="s">
        <v>6962</v>
      </c>
      <c r="S997" s="1" t="s">
        <v>8055</v>
      </c>
      <c r="T997" s="15">
        <v>2024</v>
      </c>
      <c r="U997" s="3" t="s">
        <v>6168</v>
      </c>
      <c r="V997" s="3" t="s">
        <v>708</v>
      </c>
      <c r="W997" s="3" t="s">
        <v>6170</v>
      </c>
      <c r="X997" s="3" t="s">
        <v>7369</v>
      </c>
      <c r="Z997" s="12" t="s">
        <v>2148</v>
      </c>
      <c r="AB997" s="14" t="s">
        <v>3890</v>
      </c>
    </row>
    <row r="998" spans="1:30" customFormat="1" hidden="1" x14ac:dyDescent="0.3">
      <c r="A998" s="1" t="s">
        <v>6157</v>
      </c>
      <c r="B998" s="1" t="s">
        <v>2150</v>
      </c>
      <c r="C998" s="1" t="s">
        <v>8056</v>
      </c>
      <c r="D998" s="1" t="s">
        <v>8057</v>
      </c>
      <c r="E998" s="1" t="s">
        <v>8058</v>
      </c>
      <c r="F998" s="1" t="s">
        <v>8059</v>
      </c>
      <c r="G998" s="1" t="s">
        <v>8060</v>
      </c>
      <c r="H998" s="1" t="s">
        <v>8061</v>
      </c>
      <c r="I998" s="1" t="s">
        <v>191</v>
      </c>
      <c r="J998" s="1" t="s">
        <v>5932</v>
      </c>
      <c r="K998" s="1" t="s">
        <v>39</v>
      </c>
      <c r="L998" s="1" t="s">
        <v>8062</v>
      </c>
      <c r="M998" s="1" t="s">
        <v>152</v>
      </c>
      <c r="N998" s="1"/>
      <c r="O998" s="1" t="s">
        <v>7563</v>
      </c>
      <c r="P998" s="1"/>
      <c r="Q998" s="1" t="s">
        <v>7651</v>
      </c>
      <c r="R998" s="1" t="s">
        <v>6962</v>
      </c>
      <c r="S998" s="1" t="s">
        <v>8063</v>
      </c>
      <c r="T998" s="15">
        <v>2024</v>
      </c>
      <c r="U998" s="3" t="s">
        <v>6168</v>
      </c>
      <c r="V998" s="3" t="s">
        <v>708</v>
      </c>
      <c r="W998" t="s">
        <v>8344</v>
      </c>
      <c r="X998" s="3" t="s">
        <v>7369</v>
      </c>
      <c r="Z998" s="12" t="s">
        <v>3828</v>
      </c>
      <c r="AA998" s="12"/>
      <c r="AB998" s="14" t="s">
        <v>3885</v>
      </c>
    </row>
    <row r="999" spans="1:30" customFormat="1" hidden="1" x14ac:dyDescent="0.3">
      <c r="A999" s="1" t="s">
        <v>2635</v>
      </c>
      <c r="B999" s="1" t="s">
        <v>8064</v>
      </c>
      <c r="C999" s="1" t="s">
        <v>6808</v>
      </c>
      <c r="D999" s="1" t="s">
        <v>8065</v>
      </c>
      <c r="E999" s="1" t="s">
        <v>8066</v>
      </c>
      <c r="F999" s="1" t="s">
        <v>8067</v>
      </c>
      <c r="G999" s="1"/>
      <c r="H999" s="1" t="s">
        <v>8068</v>
      </c>
      <c r="I999" s="1" t="s">
        <v>1652</v>
      </c>
      <c r="J999" s="1" t="s">
        <v>1265</v>
      </c>
      <c r="K999" s="1" t="s">
        <v>39</v>
      </c>
      <c r="L999" s="1" t="s">
        <v>8069</v>
      </c>
      <c r="M999" s="1" t="s">
        <v>152</v>
      </c>
      <c r="N999" s="1"/>
      <c r="O999" s="1" t="s">
        <v>7563</v>
      </c>
      <c r="P999" s="1"/>
      <c r="Q999" s="1" t="s">
        <v>7651</v>
      </c>
      <c r="R999" s="1" t="s">
        <v>6962</v>
      </c>
      <c r="S999" s="1" t="s">
        <v>8070</v>
      </c>
      <c r="T999" s="15">
        <v>2024</v>
      </c>
      <c r="U999" s="3" t="s">
        <v>6168</v>
      </c>
      <c r="V999" s="3" t="s">
        <v>708</v>
      </c>
      <c r="W999" s="3" t="s">
        <v>8345</v>
      </c>
      <c r="X999" s="3" t="s">
        <v>7369</v>
      </c>
      <c r="Z999" s="12" t="s">
        <v>3835</v>
      </c>
      <c r="AB999" s="14" t="s">
        <v>3884</v>
      </c>
    </row>
    <row r="1000" spans="1:30" customFormat="1" hidden="1" x14ac:dyDescent="0.3">
      <c r="A1000" s="1" t="s">
        <v>5048</v>
      </c>
      <c r="B1000" s="1" t="s">
        <v>8071</v>
      </c>
      <c r="C1000" s="1" t="s">
        <v>124</v>
      </c>
      <c r="D1000" s="1" t="s">
        <v>8072</v>
      </c>
      <c r="E1000" s="1" t="s">
        <v>8073</v>
      </c>
      <c r="F1000" s="1" t="s">
        <v>8074</v>
      </c>
      <c r="G1000" s="1" t="s">
        <v>8075</v>
      </c>
      <c r="H1000" s="1" t="s">
        <v>8053</v>
      </c>
      <c r="I1000" s="1" t="s">
        <v>1966</v>
      </c>
      <c r="J1000" s="1" t="s">
        <v>4879</v>
      </c>
      <c r="K1000" s="1" t="s">
        <v>39</v>
      </c>
      <c r="L1000" s="1" t="s">
        <v>8076</v>
      </c>
      <c r="M1000" s="1" t="s">
        <v>152</v>
      </c>
      <c r="N1000" s="1"/>
      <c r="O1000" s="1" t="s">
        <v>7563</v>
      </c>
      <c r="P1000" s="1" t="s">
        <v>7724</v>
      </c>
      <c r="Q1000" s="1" t="s">
        <v>7651</v>
      </c>
      <c r="R1000" s="1" t="s">
        <v>5359</v>
      </c>
      <c r="S1000" s="1" t="s">
        <v>8077</v>
      </c>
      <c r="T1000" s="15">
        <v>2024</v>
      </c>
      <c r="U1000" s="3" t="s">
        <v>5765</v>
      </c>
      <c r="V1000" s="3" t="s">
        <v>29</v>
      </c>
      <c r="W1000" s="3" t="s">
        <v>6170</v>
      </c>
      <c r="X1000" s="3" t="s">
        <v>7369</v>
      </c>
      <c r="Z1000" s="12" t="s">
        <v>3828</v>
      </c>
      <c r="AA1000" t="s">
        <v>8337</v>
      </c>
      <c r="AB1000" s="14" t="s">
        <v>3888</v>
      </c>
      <c r="AD1000" s="14" t="s">
        <v>764</v>
      </c>
    </row>
    <row r="1001" spans="1:30" customFormat="1" hidden="1" x14ac:dyDescent="0.3">
      <c r="A1001" s="1" t="s">
        <v>292</v>
      </c>
      <c r="B1001" s="1" t="s">
        <v>8078</v>
      </c>
      <c r="C1001" s="1" t="s">
        <v>2973</v>
      </c>
      <c r="D1001" s="1" t="s">
        <v>8079</v>
      </c>
      <c r="E1001" s="1" t="s">
        <v>8080</v>
      </c>
      <c r="F1001" s="1" t="s">
        <v>8081</v>
      </c>
      <c r="G1001" s="1" t="s">
        <v>8082</v>
      </c>
      <c r="H1001" s="1" t="s">
        <v>8083</v>
      </c>
      <c r="I1001" s="1" t="s">
        <v>62</v>
      </c>
      <c r="J1001" s="1" t="s">
        <v>72</v>
      </c>
      <c r="K1001" s="1" t="s">
        <v>39</v>
      </c>
      <c r="L1001" s="1" t="s">
        <v>8084</v>
      </c>
      <c r="M1001" s="1" t="s">
        <v>152</v>
      </c>
      <c r="N1001" s="1"/>
      <c r="O1001" s="1" t="s">
        <v>7563</v>
      </c>
      <c r="P1001" s="1"/>
      <c r="Q1001" s="1" t="s">
        <v>7651</v>
      </c>
      <c r="R1001" s="1" t="s">
        <v>5359</v>
      </c>
      <c r="S1001" s="1" t="s">
        <v>8085</v>
      </c>
      <c r="T1001" s="15">
        <v>2024</v>
      </c>
      <c r="U1001" s="3" t="s">
        <v>6168</v>
      </c>
      <c r="V1001" s="3" t="s">
        <v>708</v>
      </c>
      <c r="W1001" t="s">
        <v>8344</v>
      </c>
      <c r="X1001" s="3" t="s">
        <v>7369</v>
      </c>
      <c r="Z1001" s="12" t="s">
        <v>2148</v>
      </c>
      <c r="AA1001" s="12"/>
      <c r="AB1001" s="14" t="s">
        <v>4594</v>
      </c>
    </row>
    <row r="1002" spans="1:30" customFormat="1" hidden="1" x14ac:dyDescent="0.3">
      <c r="A1002" s="1"/>
      <c r="B1002" s="1" t="s">
        <v>8086</v>
      </c>
      <c r="C1002" s="1" t="s">
        <v>5684</v>
      </c>
      <c r="D1002" s="1" t="s">
        <v>8087</v>
      </c>
      <c r="E1002" s="1"/>
      <c r="F1002" s="1" t="s">
        <v>8088</v>
      </c>
      <c r="G1002" s="1"/>
      <c r="H1002" s="1"/>
      <c r="I1002" s="1"/>
      <c r="J1002" s="1" t="s">
        <v>8089</v>
      </c>
      <c r="K1002" s="1" t="s">
        <v>39</v>
      </c>
      <c r="L1002" s="1" t="s">
        <v>8090</v>
      </c>
      <c r="M1002" s="1" t="s">
        <v>152</v>
      </c>
      <c r="N1002" s="1"/>
      <c r="O1002" s="1" t="s">
        <v>7563</v>
      </c>
      <c r="P1002" s="1"/>
      <c r="Q1002" s="1" t="s">
        <v>7651</v>
      </c>
      <c r="R1002" s="1" t="s">
        <v>6962</v>
      </c>
      <c r="S1002" s="1" t="s">
        <v>8091</v>
      </c>
      <c r="T1002" s="15">
        <v>2024</v>
      </c>
      <c r="U1002" s="3" t="s">
        <v>5765</v>
      </c>
      <c r="V1002" s="3" t="s">
        <v>29</v>
      </c>
      <c r="W1002" t="s">
        <v>8341</v>
      </c>
      <c r="X1002" s="3" t="s">
        <v>7369</v>
      </c>
      <c r="Z1002" s="12" t="s">
        <v>3835</v>
      </c>
      <c r="AA1002" s="12" t="s">
        <v>8335</v>
      </c>
      <c r="AB1002" s="14" t="s">
        <v>3884</v>
      </c>
      <c r="AD1002" s="14" t="s">
        <v>764</v>
      </c>
    </row>
    <row r="1003" spans="1:30" customFormat="1" hidden="1" x14ac:dyDescent="0.3">
      <c r="A1003" s="1" t="s">
        <v>5048</v>
      </c>
      <c r="B1003" s="1" t="s">
        <v>7618</v>
      </c>
      <c r="C1003" s="1" t="s">
        <v>1882</v>
      </c>
      <c r="D1003" s="1" t="s">
        <v>8092</v>
      </c>
      <c r="E1003" s="1" t="s">
        <v>8093</v>
      </c>
      <c r="F1003" s="1" t="s">
        <v>8094</v>
      </c>
      <c r="G1003" s="1"/>
      <c r="H1003" s="1" t="s">
        <v>5054</v>
      </c>
      <c r="I1003" s="1"/>
      <c r="J1003" s="1" t="s">
        <v>8095</v>
      </c>
      <c r="K1003" s="1" t="s">
        <v>39</v>
      </c>
      <c r="L1003" s="1" t="s">
        <v>965</v>
      </c>
      <c r="M1003" s="1" t="s">
        <v>152</v>
      </c>
      <c r="N1003" s="1"/>
      <c r="O1003" s="1" t="s">
        <v>7563</v>
      </c>
      <c r="P1003" s="1"/>
      <c r="Q1003" s="1" t="s">
        <v>7651</v>
      </c>
      <c r="R1003" s="1" t="s">
        <v>5359</v>
      </c>
      <c r="S1003" s="1" t="s">
        <v>8096</v>
      </c>
      <c r="T1003" s="15">
        <v>2024</v>
      </c>
      <c r="U1003" s="3" t="s">
        <v>5765</v>
      </c>
      <c r="V1003" s="3" t="s">
        <v>29</v>
      </c>
      <c r="W1003" s="3" t="s">
        <v>6170</v>
      </c>
      <c r="X1003" s="3" t="s">
        <v>7369</v>
      </c>
      <c r="Z1003" s="12" t="s">
        <v>3828</v>
      </c>
      <c r="AA1003" t="s">
        <v>7887</v>
      </c>
      <c r="AB1003" s="14" t="s">
        <v>3887</v>
      </c>
      <c r="AD1003" s="14" t="s">
        <v>764</v>
      </c>
    </row>
    <row r="1004" spans="1:30" customFormat="1" ht="27.6" hidden="1" x14ac:dyDescent="0.3">
      <c r="A1004" s="1" t="s">
        <v>274</v>
      </c>
      <c r="B1004" s="1" t="s">
        <v>8097</v>
      </c>
      <c r="C1004" s="1" t="s">
        <v>4801</v>
      </c>
      <c r="D1004" s="1" t="s">
        <v>8098</v>
      </c>
      <c r="E1004" s="1"/>
      <c r="F1004" s="1" t="s">
        <v>8099</v>
      </c>
      <c r="G1004" s="1" t="s">
        <v>8100</v>
      </c>
      <c r="H1004" s="1" t="s">
        <v>2398</v>
      </c>
      <c r="I1004" s="1" t="s">
        <v>8101</v>
      </c>
      <c r="J1004" s="1" t="s">
        <v>8102</v>
      </c>
      <c r="K1004" s="1" t="s">
        <v>39</v>
      </c>
      <c r="L1004" s="1" t="s">
        <v>8103</v>
      </c>
      <c r="M1004" s="1" t="s">
        <v>152</v>
      </c>
      <c r="N1004" s="1"/>
      <c r="O1004" s="1" t="s">
        <v>7563</v>
      </c>
      <c r="P1004" s="1"/>
      <c r="Q1004" s="1" t="s">
        <v>7651</v>
      </c>
      <c r="R1004" s="1" t="s">
        <v>5359</v>
      </c>
      <c r="S1004" s="1" t="s">
        <v>8104</v>
      </c>
      <c r="T1004" s="15">
        <v>2024</v>
      </c>
      <c r="U1004" s="3" t="s">
        <v>6168</v>
      </c>
      <c r="V1004" s="3" t="s">
        <v>708</v>
      </c>
      <c r="W1004" t="s">
        <v>8344</v>
      </c>
      <c r="X1004" s="3" t="s">
        <v>7369</v>
      </c>
      <c r="Z1004" s="12" t="s">
        <v>3835</v>
      </c>
      <c r="AB1004" s="14" t="s">
        <v>3884</v>
      </c>
    </row>
    <row r="1005" spans="1:30" customFormat="1" hidden="1" x14ac:dyDescent="0.3">
      <c r="A1005" s="1" t="s">
        <v>49</v>
      </c>
      <c r="B1005" s="1" t="s">
        <v>8105</v>
      </c>
      <c r="C1005" s="1" t="s">
        <v>8106</v>
      </c>
      <c r="D1005" s="1" t="s">
        <v>8107</v>
      </c>
      <c r="E1005" s="1" t="s">
        <v>8108</v>
      </c>
      <c r="F1005" s="1" t="s">
        <v>8109</v>
      </c>
      <c r="G1005" s="1"/>
      <c r="H1005" s="1" t="s">
        <v>2398</v>
      </c>
      <c r="I1005" s="1" t="s">
        <v>1966</v>
      </c>
      <c r="J1005" s="1" t="s">
        <v>72</v>
      </c>
      <c r="K1005" s="1" t="s">
        <v>39</v>
      </c>
      <c r="L1005" s="1" t="s">
        <v>8110</v>
      </c>
      <c r="M1005" s="1" t="s">
        <v>152</v>
      </c>
      <c r="N1005" s="1"/>
      <c r="O1005" s="1" t="s">
        <v>7563</v>
      </c>
      <c r="P1005" s="1" t="s">
        <v>7724</v>
      </c>
      <c r="Q1005" s="1" t="s">
        <v>7651</v>
      </c>
      <c r="R1005" s="1" t="s">
        <v>5359</v>
      </c>
      <c r="S1005" s="1" t="s">
        <v>8111</v>
      </c>
      <c r="T1005" s="15">
        <v>2024</v>
      </c>
      <c r="U1005" s="3" t="s">
        <v>5765</v>
      </c>
      <c r="V1005" s="3" t="s">
        <v>29</v>
      </c>
      <c r="W1005" s="3" t="s">
        <v>8344</v>
      </c>
      <c r="X1005" s="3" t="s">
        <v>7369</v>
      </c>
      <c r="Z1005" s="12" t="s">
        <v>2148</v>
      </c>
      <c r="AA1005" t="s">
        <v>8338</v>
      </c>
      <c r="AB1005" s="14" t="s">
        <v>4594</v>
      </c>
      <c r="AD1005" s="14" t="s">
        <v>764</v>
      </c>
    </row>
    <row r="1006" spans="1:30" customFormat="1" hidden="1" x14ac:dyDescent="0.3">
      <c r="A1006" s="1"/>
      <c r="B1006" s="1" t="s">
        <v>8112</v>
      </c>
      <c r="C1006" s="1" t="s">
        <v>354</v>
      </c>
      <c r="D1006" s="1" t="s">
        <v>8113</v>
      </c>
      <c r="E1006" s="1" t="s">
        <v>8114</v>
      </c>
      <c r="F1006" s="1" t="s">
        <v>8115</v>
      </c>
      <c r="G1006" s="1"/>
      <c r="H1006" s="1"/>
      <c r="I1006" s="1"/>
      <c r="J1006" s="1" t="s">
        <v>5663</v>
      </c>
      <c r="K1006" s="1" t="s">
        <v>39</v>
      </c>
      <c r="L1006" s="1" t="s">
        <v>8116</v>
      </c>
      <c r="M1006" s="1" t="s">
        <v>42</v>
      </c>
      <c r="N1006" s="1"/>
      <c r="O1006" s="1" t="s">
        <v>7563</v>
      </c>
      <c r="P1006" s="1"/>
      <c r="Q1006" s="1" t="s">
        <v>7651</v>
      </c>
      <c r="R1006" s="1" t="s">
        <v>5359</v>
      </c>
      <c r="S1006" s="1" t="s">
        <v>8117</v>
      </c>
      <c r="T1006" s="15">
        <v>2024</v>
      </c>
      <c r="U1006" s="3" t="s">
        <v>5765</v>
      </c>
      <c r="V1006" s="3" t="s">
        <v>29</v>
      </c>
      <c r="X1006">
        <v>5</v>
      </c>
      <c r="Y1006" s="44">
        <v>45899</v>
      </c>
      <c r="Z1006" s="12" t="s">
        <v>2148</v>
      </c>
      <c r="AA1006" t="s">
        <v>8339</v>
      </c>
      <c r="AB1006" s="14" t="s">
        <v>3890</v>
      </c>
      <c r="AD1006" s="14" t="s">
        <v>764</v>
      </c>
    </row>
    <row r="1007" spans="1:30" customFormat="1" hidden="1" x14ac:dyDescent="0.3">
      <c r="A1007" s="1" t="s">
        <v>49</v>
      </c>
      <c r="B1007" s="1" t="s">
        <v>1605</v>
      </c>
      <c r="C1007" s="1" t="s">
        <v>1228</v>
      </c>
      <c r="D1007" s="1" t="s">
        <v>8118</v>
      </c>
      <c r="E1007" s="1"/>
      <c r="F1007" s="1" t="s">
        <v>8119</v>
      </c>
      <c r="G1007" s="1"/>
      <c r="H1007" s="1" t="s">
        <v>2398</v>
      </c>
      <c r="I1007" s="1" t="s">
        <v>8120</v>
      </c>
      <c r="J1007" s="1" t="s">
        <v>72</v>
      </c>
      <c r="K1007" s="1" t="s">
        <v>39</v>
      </c>
      <c r="L1007" s="1" t="s">
        <v>8121</v>
      </c>
      <c r="M1007" s="1" t="s">
        <v>152</v>
      </c>
      <c r="N1007" s="1"/>
      <c r="O1007" s="1" t="s">
        <v>7563</v>
      </c>
      <c r="P1007" s="1"/>
      <c r="Q1007" s="1" t="s">
        <v>7651</v>
      </c>
      <c r="R1007" s="1" t="s">
        <v>6962</v>
      </c>
      <c r="S1007" s="1" t="s">
        <v>8122</v>
      </c>
      <c r="T1007" s="15">
        <v>2024</v>
      </c>
      <c r="U1007" s="3" t="s">
        <v>5765</v>
      </c>
      <c r="V1007" s="3" t="s">
        <v>29</v>
      </c>
      <c r="W1007" t="s">
        <v>8344</v>
      </c>
      <c r="X1007" s="3" t="s">
        <v>7369</v>
      </c>
      <c r="Z1007" s="12" t="s">
        <v>2148</v>
      </c>
      <c r="AA1007" t="s">
        <v>8348</v>
      </c>
      <c r="AB1007" s="14" t="s">
        <v>4594</v>
      </c>
      <c r="AD1007" s="14" t="s">
        <v>764</v>
      </c>
    </row>
    <row r="1008" spans="1:30" customFormat="1" hidden="1" x14ac:dyDescent="0.3">
      <c r="A1008" s="1" t="s">
        <v>8123</v>
      </c>
      <c r="B1008" s="1" t="s">
        <v>8124</v>
      </c>
      <c r="C1008" s="1" t="s">
        <v>8125</v>
      </c>
      <c r="D1008" s="1" t="s">
        <v>8126</v>
      </c>
      <c r="E1008" s="1" t="s">
        <v>8127</v>
      </c>
      <c r="F1008" s="1" t="s">
        <v>8128</v>
      </c>
      <c r="G1008" s="1"/>
      <c r="H1008" s="1"/>
      <c r="I1008" s="1"/>
      <c r="J1008" s="1" t="s">
        <v>8129</v>
      </c>
      <c r="K1008" s="1" t="s">
        <v>39</v>
      </c>
      <c r="L1008" s="1" t="s">
        <v>8130</v>
      </c>
      <c r="M1008" s="1" t="s">
        <v>152</v>
      </c>
      <c r="N1008" s="1"/>
      <c r="O1008" s="1" t="s">
        <v>7563</v>
      </c>
      <c r="P1008" s="1"/>
      <c r="Q1008" s="1" t="s">
        <v>7651</v>
      </c>
      <c r="R1008" s="1" t="s">
        <v>5359</v>
      </c>
      <c r="S1008" s="1" t="s">
        <v>8131</v>
      </c>
      <c r="T1008" s="15">
        <v>2024</v>
      </c>
      <c r="U1008" s="3" t="s">
        <v>5765</v>
      </c>
      <c r="V1008" s="3" t="s">
        <v>29</v>
      </c>
      <c r="W1008" s="3" t="s">
        <v>8346</v>
      </c>
      <c r="X1008" s="3" t="s">
        <v>7369</v>
      </c>
      <c r="Z1008" s="12" t="s">
        <v>3828</v>
      </c>
      <c r="AA1008" t="s">
        <v>8340</v>
      </c>
      <c r="AB1008" s="14" t="s">
        <v>3885</v>
      </c>
      <c r="AD1008" s="14" t="s">
        <v>764</v>
      </c>
    </row>
    <row r="1009" spans="1:30" customFormat="1" hidden="1" x14ac:dyDescent="0.3">
      <c r="A1009" s="1" t="s">
        <v>49</v>
      </c>
      <c r="B1009" s="1" t="s">
        <v>8132</v>
      </c>
      <c r="C1009" s="1" t="s">
        <v>2055</v>
      </c>
      <c r="D1009" s="1" t="s">
        <v>8133</v>
      </c>
      <c r="E1009" s="1" t="s">
        <v>8134</v>
      </c>
      <c r="F1009" s="1" t="s">
        <v>8135</v>
      </c>
      <c r="G1009" s="1" t="s">
        <v>8136</v>
      </c>
      <c r="H1009" s="1" t="s">
        <v>5054</v>
      </c>
      <c r="I1009" s="1" t="s">
        <v>191</v>
      </c>
      <c r="J1009" s="1" t="s">
        <v>72</v>
      </c>
      <c r="K1009" s="1" t="s">
        <v>39</v>
      </c>
      <c r="L1009" s="1" t="s">
        <v>8137</v>
      </c>
      <c r="M1009" s="1" t="s">
        <v>152</v>
      </c>
      <c r="N1009" s="1"/>
      <c r="O1009" s="1" t="s">
        <v>7563</v>
      </c>
      <c r="P1009" s="1"/>
      <c r="Q1009" s="1" t="s">
        <v>7651</v>
      </c>
      <c r="R1009" s="1" t="s">
        <v>6962</v>
      </c>
      <c r="S1009" s="1" t="s">
        <v>8138</v>
      </c>
      <c r="T1009" s="15">
        <v>2024</v>
      </c>
      <c r="U1009" s="3" t="s">
        <v>6168</v>
      </c>
      <c r="V1009" s="3" t="s">
        <v>708</v>
      </c>
      <c r="W1009" t="s">
        <v>8343</v>
      </c>
      <c r="X1009" s="3" t="s">
        <v>7369</v>
      </c>
      <c r="Z1009" s="12" t="s">
        <v>3828</v>
      </c>
      <c r="AB1009" s="14" t="s">
        <v>3888</v>
      </c>
    </row>
    <row r="1010" spans="1:30" customFormat="1" hidden="1" x14ac:dyDescent="0.3">
      <c r="A1010" s="1" t="s">
        <v>49</v>
      </c>
      <c r="B1010" s="1" t="s">
        <v>8139</v>
      </c>
      <c r="C1010" s="1" t="s">
        <v>8140</v>
      </c>
      <c r="D1010" s="1" t="s">
        <v>8141</v>
      </c>
      <c r="E1010" s="1"/>
      <c r="F1010" s="1" t="s">
        <v>8142</v>
      </c>
      <c r="G1010" s="1"/>
      <c r="H1010" s="1"/>
      <c r="I1010" s="1"/>
      <c r="J1010" s="1" t="s">
        <v>284</v>
      </c>
      <c r="K1010" s="1" t="s">
        <v>39</v>
      </c>
      <c r="L1010" s="1" t="s">
        <v>8143</v>
      </c>
      <c r="M1010" s="1" t="s">
        <v>152</v>
      </c>
      <c r="N1010" s="1"/>
      <c r="O1010" s="1" t="s">
        <v>7563</v>
      </c>
      <c r="P1010" s="1"/>
      <c r="Q1010" s="1" t="s">
        <v>7651</v>
      </c>
      <c r="R1010" s="1" t="s">
        <v>6962</v>
      </c>
      <c r="S1010" s="1" t="s">
        <v>8144</v>
      </c>
      <c r="T1010" s="15">
        <v>2024</v>
      </c>
      <c r="U1010" s="3" t="s">
        <v>6168</v>
      </c>
      <c r="V1010" s="3" t="s">
        <v>708</v>
      </c>
      <c r="W1010" t="s">
        <v>8342</v>
      </c>
      <c r="X1010" s="3" t="s">
        <v>7369</v>
      </c>
      <c r="Z1010" s="12" t="s">
        <v>6146</v>
      </c>
      <c r="AB1010" s="14" t="s">
        <v>3891</v>
      </c>
    </row>
    <row r="1011" spans="1:30" customFormat="1" ht="27.6" hidden="1" x14ac:dyDescent="0.3">
      <c r="A1011" s="1" t="s">
        <v>908</v>
      </c>
      <c r="B1011" s="1" t="s">
        <v>8145</v>
      </c>
      <c r="C1011" s="1" t="s">
        <v>1882</v>
      </c>
      <c r="D1011" s="1" t="s">
        <v>8146</v>
      </c>
      <c r="E1011" s="1" t="s">
        <v>8147</v>
      </c>
      <c r="F1011" s="1" t="s">
        <v>8148</v>
      </c>
      <c r="G1011" s="1"/>
      <c r="H1011" s="1" t="s">
        <v>8149</v>
      </c>
      <c r="I1011" s="1" t="s">
        <v>8150</v>
      </c>
      <c r="J1011" s="1" t="s">
        <v>72</v>
      </c>
      <c r="K1011" s="1" t="s">
        <v>39</v>
      </c>
      <c r="L1011" s="1" t="s">
        <v>8151</v>
      </c>
      <c r="M1011" s="1" t="s">
        <v>152</v>
      </c>
      <c r="N1011" s="1"/>
      <c r="O1011" s="1" t="s">
        <v>7563</v>
      </c>
      <c r="P1011" s="1"/>
      <c r="Q1011" s="1" t="s">
        <v>7651</v>
      </c>
      <c r="R1011" s="1" t="s">
        <v>5359</v>
      </c>
      <c r="S1011" s="1" t="s">
        <v>8152</v>
      </c>
      <c r="T1011" s="15">
        <v>2024</v>
      </c>
      <c r="U1011" s="3" t="s">
        <v>6168</v>
      </c>
      <c r="V1011" s="3" t="s">
        <v>708</v>
      </c>
      <c r="W1011" t="s">
        <v>8341</v>
      </c>
      <c r="X1011" s="3" t="s">
        <v>7369</v>
      </c>
    </row>
    <row r="1012" spans="1:30" customFormat="1" hidden="1" x14ac:dyDescent="0.3">
      <c r="A1012" s="1"/>
      <c r="B1012" s="1" t="s">
        <v>8153</v>
      </c>
      <c r="C1012" s="1" t="s">
        <v>8154</v>
      </c>
      <c r="D1012" s="1" t="s">
        <v>8155</v>
      </c>
      <c r="E1012" s="1" t="s">
        <v>8156</v>
      </c>
      <c r="F1012" s="1" t="s">
        <v>8157</v>
      </c>
      <c r="G1012" s="1"/>
      <c r="H1012" s="1" t="s">
        <v>8158</v>
      </c>
      <c r="I1012" s="1" t="s">
        <v>3055</v>
      </c>
      <c r="J1012" s="1" t="s">
        <v>4823</v>
      </c>
      <c r="K1012" s="1" t="s">
        <v>39</v>
      </c>
      <c r="L1012" s="1" t="s">
        <v>8159</v>
      </c>
      <c r="M1012" s="1" t="s">
        <v>152</v>
      </c>
      <c r="N1012" s="1"/>
      <c r="O1012" s="1" t="s">
        <v>7563</v>
      </c>
      <c r="P1012" s="1"/>
      <c r="Q1012" s="1" t="s">
        <v>7651</v>
      </c>
      <c r="R1012" s="1" t="s">
        <v>5359</v>
      </c>
      <c r="S1012" s="1" t="s">
        <v>8160</v>
      </c>
      <c r="T1012" s="15">
        <v>2024</v>
      </c>
      <c r="U1012" s="3" t="s">
        <v>6168</v>
      </c>
      <c r="V1012" s="3" t="s">
        <v>708</v>
      </c>
      <c r="W1012" s="3" t="s">
        <v>8341</v>
      </c>
      <c r="X1012" s="3" t="s">
        <v>7369</v>
      </c>
    </row>
    <row r="1013" spans="1:30" customFormat="1" ht="27.6" hidden="1" x14ac:dyDescent="0.3">
      <c r="A1013" s="1" t="s">
        <v>8161</v>
      </c>
      <c r="B1013" s="1" t="s">
        <v>8162</v>
      </c>
      <c r="C1013" s="1" t="s">
        <v>8163</v>
      </c>
      <c r="D1013" s="1" t="s">
        <v>8164</v>
      </c>
      <c r="E1013" s="1" t="s">
        <v>8165</v>
      </c>
      <c r="F1013" s="1" t="s">
        <v>8166</v>
      </c>
      <c r="G1013" s="1"/>
      <c r="H1013" s="1"/>
      <c r="I1013" s="1"/>
      <c r="J1013" s="1" t="s">
        <v>3939</v>
      </c>
      <c r="K1013" s="1" t="s">
        <v>39</v>
      </c>
      <c r="L1013" s="1" t="s">
        <v>8167</v>
      </c>
      <c r="M1013" s="1" t="s">
        <v>152</v>
      </c>
      <c r="N1013" s="1"/>
      <c r="O1013" s="1" t="s">
        <v>7563</v>
      </c>
      <c r="P1013" s="1"/>
      <c r="Q1013" s="1" t="s">
        <v>7651</v>
      </c>
      <c r="R1013" s="1" t="s">
        <v>5359</v>
      </c>
      <c r="S1013" s="1" t="s">
        <v>8168</v>
      </c>
      <c r="T1013" s="15">
        <v>2024</v>
      </c>
      <c r="U1013" s="3" t="s">
        <v>5765</v>
      </c>
      <c r="V1013" s="3" t="s">
        <v>29</v>
      </c>
      <c r="W1013" s="3" t="s">
        <v>8346</v>
      </c>
      <c r="X1013" s="3" t="s">
        <v>7369</v>
      </c>
      <c r="Z1013" s="12" t="s">
        <v>3835</v>
      </c>
      <c r="AA1013" t="s">
        <v>8335</v>
      </c>
      <c r="AB1013" s="14" t="s">
        <v>3884</v>
      </c>
      <c r="AD1013" s="14" t="s">
        <v>764</v>
      </c>
    </row>
    <row r="1014" spans="1:30" customFormat="1" ht="27.6" hidden="1" x14ac:dyDescent="0.3">
      <c r="A1014" s="1"/>
      <c r="B1014" s="1" t="s">
        <v>8169</v>
      </c>
      <c r="C1014" s="1" t="s">
        <v>397</v>
      </c>
      <c r="D1014" s="1" t="s">
        <v>8170</v>
      </c>
      <c r="E1014" s="1"/>
      <c r="F1014" s="1" t="s">
        <v>8171</v>
      </c>
      <c r="G1014" s="1"/>
      <c r="H1014" s="1"/>
      <c r="I1014" s="1"/>
      <c r="J1014" s="1" t="s">
        <v>2965</v>
      </c>
      <c r="K1014" s="1" t="s">
        <v>39</v>
      </c>
      <c r="L1014" s="1" t="s">
        <v>8172</v>
      </c>
      <c r="M1014" s="1" t="s">
        <v>152</v>
      </c>
      <c r="N1014" s="1"/>
      <c r="O1014" s="1" t="s">
        <v>7563</v>
      </c>
      <c r="P1014" s="1"/>
      <c r="Q1014" s="1" t="s">
        <v>7651</v>
      </c>
      <c r="R1014" s="1" t="s">
        <v>5359</v>
      </c>
      <c r="S1014" s="1" t="s">
        <v>8173</v>
      </c>
      <c r="T1014" s="15">
        <v>2024</v>
      </c>
      <c r="U1014" s="3" t="s">
        <v>6168</v>
      </c>
      <c r="V1014" s="3" t="s">
        <v>708</v>
      </c>
      <c r="W1014" s="3" t="s">
        <v>8341</v>
      </c>
      <c r="X1014" s="3" t="s">
        <v>7369</v>
      </c>
    </row>
    <row r="1015" spans="1:30" customFormat="1" hidden="1" x14ac:dyDescent="0.3">
      <c r="A1015" s="1" t="s">
        <v>8174</v>
      </c>
      <c r="B1015" s="1" t="s">
        <v>8175</v>
      </c>
      <c r="C1015" s="1" t="s">
        <v>8176</v>
      </c>
      <c r="D1015" s="1" t="s">
        <v>8177</v>
      </c>
      <c r="E1015" s="1" t="s">
        <v>8178</v>
      </c>
      <c r="F1015" s="1" t="s">
        <v>8179</v>
      </c>
      <c r="G1015" s="1"/>
      <c r="H1015" s="1" t="s">
        <v>8180</v>
      </c>
      <c r="I1015" s="1" t="s">
        <v>8181</v>
      </c>
      <c r="J1015" s="1" t="s">
        <v>1060</v>
      </c>
      <c r="K1015" s="1" t="s">
        <v>39</v>
      </c>
      <c r="L1015" s="1" t="s">
        <v>8182</v>
      </c>
      <c r="M1015" s="1" t="s">
        <v>152</v>
      </c>
      <c r="N1015" s="1"/>
      <c r="O1015" s="1" t="s">
        <v>7563</v>
      </c>
      <c r="P1015" s="1"/>
      <c r="Q1015" s="1" t="s">
        <v>7651</v>
      </c>
      <c r="R1015" s="1" t="s">
        <v>5359</v>
      </c>
      <c r="S1015" s="1" t="s">
        <v>8183</v>
      </c>
      <c r="T1015" s="15">
        <v>2024</v>
      </c>
      <c r="U1015" s="3" t="s">
        <v>6168</v>
      </c>
      <c r="V1015" s="3" t="s">
        <v>708</v>
      </c>
      <c r="W1015" s="3" t="s">
        <v>8341</v>
      </c>
      <c r="X1015" s="3" t="s">
        <v>7369</v>
      </c>
      <c r="Z1015" t="s">
        <v>3870</v>
      </c>
    </row>
    <row r="1016" spans="1:30" customFormat="1" hidden="1" x14ac:dyDescent="0.3">
      <c r="A1016" s="1" t="s">
        <v>49</v>
      </c>
      <c r="B1016" s="1" t="s">
        <v>8184</v>
      </c>
      <c r="C1016" s="1" t="s">
        <v>2397</v>
      </c>
      <c r="D1016" s="1" t="s">
        <v>8185</v>
      </c>
      <c r="E1016" s="1" t="s">
        <v>8186</v>
      </c>
      <c r="F1016" s="1" t="s">
        <v>8187</v>
      </c>
      <c r="G1016" s="1"/>
      <c r="H1016" s="1"/>
      <c r="I1016" s="1"/>
      <c r="J1016" s="1" t="s">
        <v>72</v>
      </c>
      <c r="K1016" s="1" t="s">
        <v>39</v>
      </c>
      <c r="L1016" s="1" t="s">
        <v>8188</v>
      </c>
      <c r="M1016" s="1" t="s">
        <v>152</v>
      </c>
      <c r="N1016" s="1"/>
      <c r="O1016" s="1" t="s">
        <v>7563</v>
      </c>
      <c r="P1016" s="1"/>
      <c r="Q1016" s="1" t="s">
        <v>7651</v>
      </c>
      <c r="R1016" s="1" t="s">
        <v>5359</v>
      </c>
      <c r="S1016" s="1" t="s">
        <v>8189</v>
      </c>
      <c r="T1016" s="15">
        <v>2024</v>
      </c>
      <c r="U1016" s="3" t="s">
        <v>6168</v>
      </c>
      <c r="V1016" s="3" t="s">
        <v>708</v>
      </c>
      <c r="W1016" s="3" t="s">
        <v>8346</v>
      </c>
      <c r="X1016" s="3" t="s">
        <v>7369</v>
      </c>
      <c r="Z1016" t="s">
        <v>3828</v>
      </c>
      <c r="AB1016" s="14" t="s">
        <v>3885</v>
      </c>
    </row>
    <row r="1017" spans="1:30" customFormat="1" hidden="1" x14ac:dyDescent="0.3">
      <c r="A1017" s="1"/>
      <c r="B1017" s="1" t="s">
        <v>8190</v>
      </c>
      <c r="C1017" s="1" t="s">
        <v>2857</v>
      </c>
      <c r="D1017" s="1" t="s">
        <v>8191</v>
      </c>
      <c r="E1017" s="1" t="s">
        <v>8192</v>
      </c>
      <c r="F1017" s="1" t="s">
        <v>8193</v>
      </c>
      <c r="G1017" s="1" t="s">
        <v>8194</v>
      </c>
      <c r="H1017" s="1" t="s">
        <v>8195</v>
      </c>
      <c r="I1017" s="1" t="s">
        <v>191</v>
      </c>
      <c r="J1017" s="1" t="s">
        <v>3939</v>
      </c>
      <c r="K1017" s="1" t="s">
        <v>39</v>
      </c>
      <c r="L1017" s="1" t="s">
        <v>8196</v>
      </c>
      <c r="M1017" s="1" t="s">
        <v>152</v>
      </c>
      <c r="N1017" s="1"/>
      <c r="O1017" s="1" t="s">
        <v>7563</v>
      </c>
      <c r="P1017" s="1"/>
      <c r="Q1017" s="1" t="s">
        <v>7651</v>
      </c>
      <c r="R1017" s="1" t="s">
        <v>5359</v>
      </c>
      <c r="S1017" s="1" t="s">
        <v>8197</v>
      </c>
      <c r="T1017" s="15">
        <v>2024</v>
      </c>
      <c r="U1017" s="3" t="s">
        <v>5765</v>
      </c>
      <c r="V1017" s="3" t="s">
        <v>29</v>
      </c>
      <c r="W1017" s="3" t="s">
        <v>6170</v>
      </c>
      <c r="X1017" s="3" t="s">
        <v>7369</v>
      </c>
      <c r="Z1017" t="s">
        <v>3835</v>
      </c>
      <c r="AA1017" t="s">
        <v>8335</v>
      </c>
      <c r="AB1017" s="14" t="s">
        <v>3884</v>
      </c>
      <c r="AD1017" s="14" t="s">
        <v>764</v>
      </c>
    </row>
    <row r="1018" spans="1:30" customFormat="1" hidden="1" x14ac:dyDescent="0.3">
      <c r="A1018" s="1" t="s">
        <v>1052</v>
      </c>
      <c r="B1018" s="1" t="s">
        <v>8198</v>
      </c>
      <c r="C1018" s="1" t="s">
        <v>124</v>
      </c>
      <c r="D1018" s="1" t="s">
        <v>8199</v>
      </c>
      <c r="E1018" s="1" t="s">
        <v>8200</v>
      </c>
      <c r="F1018" s="1" t="s">
        <v>8201</v>
      </c>
      <c r="G1018" s="1"/>
      <c r="H1018" s="1" t="s">
        <v>8202</v>
      </c>
      <c r="I1018" s="1"/>
      <c r="J1018" s="1" t="s">
        <v>72</v>
      </c>
      <c r="K1018" s="1" t="s">
        <v>39</v>
      </c>
      <c r="L1018" s="1" t="s">
        <v>965</v>
      </c>
      <c r="M1018" s="1" t="s">
        <v>152</v>
      </c>
      <c r="N1018" s="1"/>
      <c r="O1018" s="1" t="s">
        <v>7563</v>
      </c>
      <c r="P1018" s="1"/>
      <c r="Q1018" s="1" t="s">
        <v>7651</v>
      </c>
      <c r="R1018" s="1" t="s">
        <v>6962</v>
      </c>
      <c r="S1018" s="1" t="s">
        <v>8203</v>
      </c>
      <c r="T1018" s="15">
        <v>2024</v>
      </c>
      <c r="U1018" s="3" t="s">
        <v>5765</v>
      </c>
      <c r="V1018" s="3" t="s">
        <v>29</v>
      </c>
      <c r="W1018" s="3" t="s">
        <v>8345</v>
      </c>
      <c r="X1018" s="3" t="s">
        <v>7369</v>
      </c>
      <c r="Z1018" t="s">
        <v>3828</v>
      </c>
      <c r="AA1018" t="s">
        <v>6777</v>
      </c>
      <c r="AB1018" s="14" t="s">
        <v>3887</v>
      </c>
      <c r="AD1018" s="14" t="s">
        <v>764</v>
      </c>
    </row>
    <row r="1019" spans="1:30" customFormat="1" ht="27.6" hidden="1" x14ac:dyDescent="0.3">
      <c r="A1019" s="1" t="s">
        <v>8204</v>
      </c>
      <c r="B1019" s="1" t="s">
        <v>8205</v>
      </c>
      <c r="C1019" s="1" t="s">
        <v>1407</v>
      </c>
      <c r="D1019" s="1" t="s">
        <v>8206</v>
      </c>
      <c r="E1019" s="1" t="s">
        <v>8207</v>
      </c>
      <c r="F1019" s="1" t="s">
        <v>8208</v>
      </c>
      <c r="G1019" s="1"/>
      <c r="H1019" s="1"/>
      <c r="I1019" s="1"/>
      <c r="J1019" s="1" t="s">
        <v>8209</v>
      </c>
      <c r="K1019" s="1" t="s">
        <v>39</v>
      </c>
      <c r="L1019" s="1" t="s">
        <v>8210</v>
      </c>
      <c r="M1019" s="1" t="s">
        <v>152</v>
      </c>
      <c r="N1019" s="1"/>
      <c r="O1019" s="1" t="s">
        <v>7563</v>
      </c>
      <c r="P1019" s="1"/>
      <c r="Q1019" s="1" t="s">
        <v>7651</v>
      </c>
      <c r="R1019" s="1" t="s">
        <v>6962</v>
      </c>
      <c r="S1019" s="1" t="s">
        <v>8211</v>
      </c>
      <c r="T1019" s="15">
        <v>2024</v>
      </c>
      <c r="U1019" s="3" t="s">
        <v>6168</v>
      </c>
      <c r="V1019" s="3" t="s">
        <v>708</v>
      </c>
      <c r="W1019" s="3" t="s">
        <v>8346</v>
      </c>
      <c r="X1019" s="3" t="s">
        <v>7369</v>
      </c>
      <c r="Z1019" t="s">
        <v>2148</v>
      </c>
      <c r="AB1019" s="14" t="s">
        <v>4594</v>
      </c>
    </row>
    <row r="1020" spans="1:30" customFormat="1" hidden="1" x14ac:dyDescent="0.3">
      <c r="A1020" s="1" t="s">
        <v>4573</v>
      </c>
      <c r="B1020" s="1" t="s">
        <v>8212</v>
      </c>
      <c r="C1020" s="1" t="s">
        <v>406</v>
      </c>
      <c r="D1020" s="1" t="s">
        <v>8213</v>
      </c>
      <c r="E1020" s="1"/>
      <c r="F1020" s="1" t="s">
        <v>8214</v>
      </c>
      <c r="G1020" s="1"/>
      <c r="H1020" s="1" t="s">
        <v>2398</v>
      </c>
      <c r="I1020" s="1" t="s">
        <v>1652</v>
      </c>
      <c r="J1020" s="1" t="s">
        <v>72</v>
      </c>
      <c r="K1020" s="1" t="s">
        <v>39</v>
      </c>
      <c r="L1020" s="1" t="s">
        <v>8215</v>
      </c>
      <c r="M1020" s="1" t="s">
        <v>152</v>
      </c>
      <c r="N1020" s="1"/>
      <c r="O1020" s="1" t="s">
        <v>7563</v>
      </c>
      <c r="P1020" s="1"/>
      <c r="Q1020" s="1" t="s">
        <v>7651</v>
      </c>
      <c r="R1020" s="1" t="s">
        <v>5359</v>
      </c>
      <c r="S1020" s="1" t="s">
        <v>8216</v>
      </c>
      <c r="T1020" s="15">
        <v>2024</v>
      </c>
      <c r="U1020" s="3" t="s">
        <v>5765</v>
      </c>
      <c r="V1020" s="3" t="s">
        <v>29</v>
      </c>
      <c r="W1020" s="3" t="s">
        <v>8346</v>
      </c>
      <c r="X1020" s="3" t="s">
        <v>7369</v>
      </c>
      <c r="Z1020" t="s">
        <v>2148</v>
      </c>
      <c r="AA1020" t="s">
        <v>8347</v>
      </c>
      <c r="AB1020" s="14" t="s">
        <v>3891</v>
      </c>
      <c r="AD1020" s="14" t="s">
        <v>764</v>
      </c>
    </row>
    <row r="1021" spans="1:30" customFormat="1" hidden="1" x14ac:dyDescent="0.3">
      <c r="A1021" s="1"/>
      <c r="B1021" s="1" t="s">
        <v>8217</v>
      </c>
      <c r="C1021" s="1" t="s">
        <v>172</v>
      </c>
      <c r="D1021" s="1" t="s">
        <v>8218</v>
      </c>
      <c r="E1021" s="1" t="s">
        <v>8219</v>
      </c>
      <c r="F1021" s="1" t="s">
        <v>8220</v>
      </c>
      <c r="G1021" s="1"/>
      <c r="H1021" s="1"/>
      <c r="I1021" s="1" t="s">
        <v>1966</v>
      </c>
      <c r="J1021" s="1" t="s">
        <v>8221</v>
      </c>
      <c r="K1021" s="1" t="s">
        <v>39</v>
      </c>
      <c r="L1021" s="1" t="s">
        <v>8222</v>
      </c>
      <c r="M1021" s="1" t="s">
        <v>152</v>
      </c>
      <c r="N1021" s="1"/>
      <c r="O1021" s="1" t="s">
        <v>7563</v>
      </c>
      <c r="P1021" s="1"/>
      <c r="Q1021" s="1" t="s">
        <v>7651</v>
      </c>
      <c r="R1021" s="1" t="s">
        <v>5359</v>
      </c>
      <c r="S1021" s="1" t="s">
        <v>8223</v>
      </c>
      <c r="T1021" s="15">
        <v>2024</v>
      </c>
      <c r="U1021" s="3" t="s">
        <v>6168</v>
      </c>
      <c r="V1021" s="3" t="s">
        <v>708</v>
      </c>
      <c r="W1021" s="3" t="s">
        <v>8341</v>
      </c>
      <c r="X1021" s="3" t="s">
        <v>7369</v>
      </c>
    </row>
    <row r="1022" spans="1:30" customFormat="1" hidden="1" x14ac:dyDescent="0.3">
      <c r="A1022" s="1" t="s">
        <v>49</v>
      </c>
      <c r="B1022" s="1" t="s">
        <v>8224</v>
      </c>
      <c r="C1022" s="1" t="s">
        <v>68</v>
      </c>
      <c r="D1022" s="1" t="s">
        <v>8225</v>
      </c>
      <c r="E1022" s="1" t="s">
        <v>8226</v>
      </c>
      <c r="F1022" s="1" t="s">
        <v>8227</v>
      </c>
      <c r="G1022" s="1"/>
      <c r="H1022" s="1" t="s">
        <v>8228</v>
      </c>
      <c r="I1022" s="1" t="s">
        <v>1966</v>
      </c>
      <c r="J1022" s="1" t="s">
        <v>8229</v>
      </c>
      <c r="K1022" s="1" t="s">
        <v>39</v>
      </c>
      <c r="L1022" s="1" t="s">
        <v>8230</v>
      </c>
      <c r="M1022" s="1" t="s">
        <v>152</v>
      </c>
      <c r="N1022" s="1"/>
      <c r="O1022" s="1" t="s">
        <v>7563</v>
      </c>
      <c r="P1022" s="1"/>
      <c r="Q1022" s="1" t="s">
        <v>7651</v>
      </c>
      <c r="R1022" s="1" t="s">
        <v>5429</v>
      </c>
      <c r="S1022" s="1" t="s">
        <v>8231</v>
      </c>
      <c r="T1022" s="15">
        <v>2024</v>
      </c>
      <c r="U1022" s="3" t="s">
        <v>6168</v>
      </c>
      <c r="V1022" s="3" t="s">
        <v>708</v>
      </c>
      <c r="W1022" s="3" t="s">
        <v>6170</v>
      </c>
      <c r="X1022" s="3" t="s">
        <v>7369</v>
      </c>
      <c r="Z1022" t="s">
        <v>3828</v>
      </c>
      <c r="AB1022" s="14" t="s">
        <v>3885</v>
      </c>
    </row>
    <row r="1023" spans="1:30" customFormat="1" hidden="1" x14ac:dyDescent="0.3">
      <c r="A1023" s="1" t="s">
        <v>8232</v>
      </c>
      <c r="B1023" s="1" t="s">
        <v>8233</v>
      </c>
      <c r="C1023" s="1" t="s">
        <v>8234</v>
      </c>
      <c r="D1023" s="1" t="s">
        <v>8235</v>
      </c>
      <c r="E1023" s="1" t="s">
        <v>8236</v>
      </c>
      <c r="F1023" s="1" t="s">
        <v>8237</v>
      </c>
      <c r="G1023" s="1" t="s">
        <v>8238</v>
      </c>
      <c r="H1023" s="1" t="s">
        <v>8239</v>
      </c>
      <c r="I1023" s="1" t="s">
        <v>8181</v>
      </c>
      <c r="J1023" s="1" t="s">
        <v>8240</v>
      </c>
      <c r="K1023" s="1" t="s">
        <v>39</v>
      </c>
      <c r="L1023" s="1" t="s">
        <v>8241</v>
      </c>
      <c r="M1023" s="1" t="s">
        <v>152</v>
      </c>
      <c r="N1023" s="1"/>
      <c r="O1023" s="1" t="s">
        <v>7563</v>
      </c>
      <c r="P1023" s="1"/>
      <c r="Q1023" s="1" t="s">
        <v>7651</v>
      </c>
      <c r="R1023" s="1" t="s">
        <v>5359</v>
      </c>
      <c r="S1023" s="1" t="s">
        <v>8242</v>
      </c>
      <c r="T1023" s="15">
        <v>2024</v>
      </c>
      <c r="U1023" s="3" t="s">
        <v>6168</v>
      </c>
      <c r="V1023" s="3" t="s">
        <v>708</v>
      </c>
      <c r="W1023" s="3" t="s">
        <v>8341</v>
      </c>
      <c r="X1023" s="3" t="s">
        <v>7369</v>
      </c>
    </row>
    <row r="1024" spans="1:30" customFormat="1" hidden="1" x14ac:dyDescent="0.3">
      <c r="A1024" s="1" t="s">
        <v>8243</v>
      </c>
      <c r="B1024" s="1" t="s">
        <v>8244</v>
      </c>
      <c r="C1024" s="1" t="s">
        <v>604</v>
      </c>
      <c r="D1024" s="1" t="s">
        <v>8245</v>
      </c>
      <c r="E1024" s="1" t="s">
        <v>8246</v>
      </c>
      <c r="F1024" s="1" t="s">
        <v>8247</v>
      </c>
      <c r="G1024" s="1"/>
      <c r="H1024" s="1" t="s">
        <v>8248</v>
      </c>
      <c r="I1024" s="1" t="s">
        <v>1652</v>
      </c>
      <c r="J1024" s="1" t="s">
        <v>72</v>
      </c>
      <c r="K1024" s="1" t="s">
        <v>39</v>
      </c>
      <c r="L1024" s="1" t="s">
        <v>8249</v>
      </c>
      <c r="M1024" s="1" t="s">
        <v>42</v>
      </c>
      <c r="N1024" s="1"/>
      <c r="O1024" s="1" t="s">
        <v>7563</v>
      </c>
      <c r="P1024" s="1"/>
      <c r="Q1024" s="1" t="s">
        <v>7651</v>
      </c>
      <c r="R1024" s="1" t="s">
        <v>5359</v>
      </c>
      <c r="S1024" s="1" t="s">
        <v>8250</v>
      </c>
      <c r="T1024" s="15">
        <v>2024</v>
      </c>
      <c r="U1024" s="3" t="s">
        <v>5765</v>
      </c>
      <c r="V1024" s="3" t="s">
        <v>29</v>
      </c>
      <c r="W1024" s="3" t="s">
        <v>8345</v>
      </c>
      <c r="X1024" s="3" t="s">
        <v>7369</v>
      </c>
      <c r="Z1024" t="s">
        <v>2148</v>
      </c>
      <c r="AA1024" t="s">
        <v>8348</v>
      </c>
      <c r="AB1024" s="14" t="s">
        <v>4594</v>
      </c>
      <c r="AD1024" s="14" t="s">
        <v>764</v>
      </c>
    </row>
    <row r="1025" spans="1:30" customFormat="1" hidden="1" x14ac:dyDescent="0.3">
      <c r="A1025" s="1" t="s">
        <v>49</v>
      </c>
      <c r="B1025" s="1" t="s">
        <v>8251</v>
      </c>
      <c r="C1025" s="1" t="s">
        <v>346</v>
      </c>
      <c r="D1025" s="1" t="s">
        <v>8252</v>
      </c>
      <c r="E1025" s="1" t="s">
        <v>8253</v>
      </c>
      <c r="F1025" s="1" t="s">
        <v>8254</v>
      </c>
      <c r="G1025" s="1" t="s">
        <v>8255</v>
      </c>
      <c r="H1025" s="1" t="s">
        <v>355</v>
      </c>
      <c r="I1025" s="1" t="s">
        <v>62</v>
      </c>
      <c r="J1025" s="1" t="s">
        <v>72</v>
      </c>
      <c r="K1025" s="1" t="s">
        <v>39</v>
      </c>
      <c r="L1025" s="1" t="s">
        <v>8256</v>
      </c>
      <c r="M1025" s="1" t="s">
        <v>152</v>
      </c>
      <c r="N1025" s="1"/>
      <c r="O1025" s="1" t="s">
        <v>7563</v>
      </c>
      <c r="P1025" s="1"/>
      <c r="Q1025" s="1" t="s">
        <v>7651</v>
      </c>
      <c r="R1025" s="1" t="s">
        <v>5359</v>
      </c>
      <c r="S1025" s="1" t="s">
        <v>8257</v>
      </c>
      <c r="T1025" s="15">
        <v>2024</v>
      </c>
      <c r="U1025" s="3" t="s">
        <v>6168</v>
      </c>
      <c r="V1025" s="3" t="s">
        <v>708</v>
      </c>
      <c r="W1025" s="3" t="s">
        <v>8346</v>
      </c>
      <c r="X1025" s="3" t="s">
        <v>7369</v>
      </c>
      <c r="Z1025" t="s">
        <v>3828</v>
      </c>
      <c r="AB1025" s="14" t="s">
        <v>3885</v>
      </c>
    </row>
    <row r="1026" spans="1:30" customFormat="1" hidden="1" x14ac:dyDescent="0.3">
      <c r="A1026" s="1" t="s">
        <v>49</v>
      </c>
      <c r="B1026" s="1" t="s">
        <v>3638</v>
      </c>
      <c r="C1026" s="1" t="s">
        <v>8258</v>
      </c>
      <c r="D1026" s="1" t="s">
        <v>8259</v>
      </c>
      <c r="E1026" s="1" t="s">
        <v>8260</v>
      </c>
      <c r="F1026" s="1" t="s">
        <v>8261</v>
      </c>
      <c r="G1026" s="1" t="s">
        <v>8262</v>
      </c>
      <c r="H1026" s="1" t="s">
        <v>8053</v>
      </c>
      <c r="I1026" s="1" t="s">
        <v>62</v>
      </c>
      <c r="J1026" s="1" t="s">
        <v>72</v>
      </c>
      <c r="K1026" s="1" t="s">
        <v>39</v>
      </c>
      <c r="L1026" s="1" t="s">
        <v>8263</v>
      </c>
      <c r="M1026" s="1" t="s">
        <v>152</v>
      </c>
      <c r="N1026" s="1"/>
      <c r="O1026" s="1" t="s">
        <v>7563</v>
      </c>
      <c r="P1026" s="1"/>
      <c r="Q1026" s="1" t="s">
        <v>7651</v>
      </c>
      <c r="R1026" s="1" t="s">
        <v>5359</v>
      </c>
      <c r="S1026" s="1" t="s">
        <v>8257</v>
      </c>
      <c r="T1026" s="15">
        <v>2024</v>
      </c>
      <c r="U1026" s="3" t="s">
        <v>6168</v>
      </c>
      <c r="V1026" s="3" t="s">
        <v>708</v>
      </c>
      <c r="W1026" s="3" t="s">
        <v>6170</v>
      </c>
      <c r="X1026" s="3" t="s">
        <v>7369</v>
      </c>
      <c r="Z1026" t="s">
        <v>2148</v>
      </c>
      <c r="AB1026" s="14" t="s">
        <v>4594</v>
      </c>
    </row>
    <row r="1027" spans="1:30" customFormat="1" hidden="1" x14ac:dyDescent="0.3">
      <c r="A1027" s="1"/>
      <c r="B1027" s="1" t="s">
        <v>8264</v>
      </c>
      <c r="C1027" s="1" t="s">
        <v>2214</v>
      </c>
      <c r="D1027" s="1" t="s">
        <v>8265</v>
      </c>
      <c r="E1027" s="1"/>
      <c r="F1027" s="1" t="s">
        <v>8266</v>
      </c>
      <c r="G1027" s="1"/>
      <c r="H1027" s="1" t="s">
        <v>8267</v>
      </c>
      <c r="I1027" s="1"/>
      <c r="J1027" s="1" t="s">
        <v>8268</v>
      </c>
      <c r="K1027" s="1" t="s">
        <v>39</v>
      </c>
      <c r="L1027" s="1" t="s">
        <v>8269</v>
      </c>
      <c r="M1027" s="1" t="s">
        <v>152</v>
      </c>
      <c r="N1027" s="1"/>
      <c r="O1027" s="1" t="s">
        <v>7563</v>
      </c>
      <c r="P1027" s="1"/>
      <c r="Q1027" s="1" t="s">
        <v>7651</v>
      </c>
      <c r="R1027" s="1" t="s">
        <v>6962</v>
      </c>
      <c r="S1027" s="1" t="s">
        <v>8270</v>
      </c>
      <c r="T1027" s="15">
        <v>2024</v>
      </c>
      <c r="U1027" s="3" t="s">
        <v>6168</v>
      </c>
      <c r="V1027" s="3" t="s">
        <v>708</v>
      </c>
      <c r="W1027" s="3" t="s">
        <v>8341</v>
      </c>
      <c r="X1027" s="3" t="s">
        <v>7369</v>
      </c>
    </row>
    <row r="1028" spans="1:30" customFormat="1" hidden="1" x14ac:dyDescent="0.3">
      <c r="A1028" s="1" t="s">
        <v>22</v>
      </c>
      <c r="B1028" s="1" t="s">
        <v>8271</v>
      </c>
      <c r="C1028" s="1" t="s">
        <v>7165</v>
      </c>
      <c r="D1028" s="1" t="s">
        <v>8272</v>
      </c>
      <c r="E1028" s="1" t="s">
        <v>8273</v>
      </c>
      <c r="F1028" s="1" t="s">
        <v>8274</v>
      </c>
      <c r="G1028" s="1"/>
      <c r="H1028" s="1" t="s">
        <v>8275</v>
      </c>
      <c r="I1028" s="1" t="s">
        <v>8276</v>
      </c>
      <c r="J1028" s="1" t="s">
        <v>1060</v>
      </c>
      <c r="K1028" s="1" t="s">
        <v>39</v>
      </c>
      <c r="L1028" s="1" t="s">
        <v>8277</v>
      </c>
      <c r="M1028" s="1" t="s">
        <v>152</v>
      </c>
      <c r="N1028" s="1"/>
      <c r="O1028" s="1" t="s">
        <v>7563</v>
      </c>
      <c r="P1028" s="1"/>
      <c r="Q1028" s="1" t="s">
        <v>7651</v>
      </c>
      <c r="R1028" s="1" t="s">
        <v>5359</v>
      </c>
      <c r="S1028" s="1" t="s">
        <v>8270</v>
      </c>
      <c r="T1028" s="15">
        <v>2024</v>
      </c>
      <c r="U1028" s="3" t="s">
        <v>6168</v>
      </c>
      <c r="V1028" s="3" t="s">
        <v>708</v>
      </c>
      <c r="W1028" s="3" t="s">
        <v>8341</v>
      </c>
      <c r="X1028" s="3" t="s">
        <v>7369</v>
      </c>
    </row>
    <row r="1029" spans="1:30" customFormat="1" hidden="1" x14ac:dyDescent="0.3">
      <c r="A1029" s="1"/>
      <c r="B1029" s="1" t="s">
        <v>8278</v>
      </c>
      <c r="C1029" s="1" t="s">
        <v>8279</v>
      </c>
      <c r="D1029" s="1" t="s">
        <v>8280</v>
      </c>
      <c r="E1029" s="1" t="s">
        <v>8281</v>
      </c>
      <c r="F1029" s="1" t="s">
        <v>8282</v>
      </c>
      <c r="G1029" s="1"/>
      <c r="H1029" s="1"/>
      <c r="I1029" s="1"/>
      <c r="J1029" s="1" t="s">
        <v>1900</v>
      </c>
      <c r="K1029" s="1" t="s">
        <v>39</v>
      </c>
      <c r="L1029" s="1" t="s">
        <v>8283</v>
      </c>
      <c r="M1029" s="1" t="s">
        <v>152</v>
      </c>
      <c r="N1029" s="1"/>
      <c r="O1029" s="1" t="s">
        <v>7563</v>
      </c>
      <c r="P1029" s="1"/>
      <c r="Q1029" s="1" t="s">
        <v>7651</v>
      </c>
      <c r="R1029" s="1" t="s">
        <v>5359</v>
      </c>
      <c r="S1029" s="1" t="s">
        <v>8284</v>
      </c>
      <c r="T1029" s="15">
        <v>2024</v>
      </c>
      <c r="U1029" s="3" t="s">
        <v>6168</v>
      </c>
      <c r="V1029" s="3" t="s">
        <v>708</v>
      </c>
      <c r="W1029" s="3" t="s">
        <v>8341</v>
      </c>
      <c r="X1029" s="3" t="s">
        <v>7369</v>
      </c>
    </row>
    <row r="1030" spans="1:30" customFormat="1" hidden="1" x14ac:dyDescent="0.3">
      <c r="A1030" s="1" t="s">
        <v>3086</v>
      </c>
      <c r="B1030" s="1" t="s">
        <v>8285</v>
      </c>
      <c r="C1030" s="1" t="s">
        <v>8286</v>
      </c>
      <c r="D1030" s="1" t="s">
        <v>8287</v>
      </c>
      <c r="E1030" s="1" t="s">
        <v>8288</v>
      </c>
      <c r="F1030" s="1" t="s">
        <v>8289</v>
      </c>
      <c r="G1030" s="1"/>
      <c r="H1030" s="1" t="s">
        <v>8290</v>
      </c>
      <c r="I1030" s="1" t="s">
        <v>8291</v>
      </c>
      <c r="J1030" s="1" t="s">
        <v>1929</v>
      </c>
      <c r="K1030" s="1" t="s">
        <v>39</v>
      </c>
      <c r="L1030" s="1" t="s">
        <v>8292</v>
      </c>
      <c r="M1030" s="1" t="s">
        <v>152</v>
      </c>
      <c r="N1030" s="1"/>
      <c r="O1030" s="1" t="s">
        <v>7563</v>
      </c>
      <c r="P1030" s="1"/>
      <c r="Q1030" s="1" t="s">
        <v>7651</v>
      </c>
      <c r="R1030" s="1" t="s">
        <v>5359</v>
      </c>
      <c r="S1030" s="1" t="s">
        <v>8284</v>
      </c>
      <c r="T1030" s="15">
        <v>2024</v>
      </c>
      <c r="U1030" s="3" t="s">
        <v>6168</v>
      </c>
      <c r="V1030" s="3" t="s">
        <v>708</v>
      </c>
      <c r="W1030" s="3" t="s">
        <v>8341</v>
      </c>
      <c r="X1030" s="3" t="s">
        <v>7369</v>
      </c>
    </row>
    <row r="1031" spans="1:30" customFormat="1" hidden="1" x14ac:dyDescent="0.3">
      <c r="A1031" s="1"/>
      <c r="B1031" s="1" t="s">
        <v>8293</v>
      </c>
      <c r="C1031" s="1" t="s">
        <v>8294</v>
      </c>
      <c r="D1031" s="1" t="s">
        <v>8295</v>
      </c>
      <c r="E1031" s="1" t="s">
        <v>8296</v>
      </c>
      <c r="F1031" s="1" t="s">
        <v>8297</v>
      </c>
      <c r="G1031" s="1"/>
      <c r="H1031" s="1" t="s">
        <v>8298</v>
      </c>
      <c r="I1031" s="1" t="s">
        <v>191</v>
      </c>
      <c r="J1031" s="1" t="s">
        <v>72</v>
      </c>
      <c r="K1031" s="1" t="s">
        <v>39</v>
      </c>
      <c r="L1031" s="1" t="s">
        <v>8299</v>
      </c>
      <c r="M1031" s="1" t="s">
        <v>152</v>
      </c>
      <c r="N1031" s="1"/>
      <c r="O1031" s="1" t="s">
        <v>7563</v>
      </c>
      <c r="P1031" s="1"/>
      <c r="Q1031" s="1" t="s">
        <v>7651</v>
      </c>
      <c r="R1031" s="1" t="s">
        <v>5429</v>
      </c>
      <c r="S1031" s="1" t="s">
        <v>8300</v>
      </c>
      <c r="T1031" s="15">
        <v>2024</v>
      </c>
      <c r="U1031" s="3" t="s">
        <v>5765</v>
      </c>
      <c r="V1031" s="3" t="s">
        <v>29</v>
      </c>
      <c r="W1031" s="3" t="s">
        <v>8341</v>
      </c>
      <c r="X1031" s="3" t="s">
        <v>7369</v>
      </c>
      <c r="Z1031" t="s">
        <v>3870</v>
      </c>
      <c r="AA1031" t="s">
        <v>8349</v>
      </c>
      <c r="AB1031" s="14" t="s">
        <v>3886</v>
      </c>
      <c r="AD1031" t="s">
        <v>764</v>
      </c>
    </row>
    <row r="1032" spans="1:30" customFormat="1" hidden="1" x14ac:dyDescent="0.3">
      <c r="A1032" s="1" t="s">
        <v>355</v>
      </c>
      <c r="B1032" s="1" t="s">
        <v>8301</v>
      </c>
      <c r="C1032" s="1" t="s">
        <v>8302</v>
      </c>
      <c r="D1032" s="1" t="s">
        <v>8303</v>
      </c>
      <c r="E1032" s="1" t="s">
        <v>8304</v>
      </c>
      <c r="F1032" s="1" t="s">
        <v>8305</v>
      </c>
      <c r="G1032" s="1"/>
      <c r="H1032" s="1"/>
      <c r="I1032" s="1"/>
      <c r="J1032" s="1" t="s">
        <v>284</v>
      </c>
      <c r="K1032" s="1" t="s">
        <v>39</v>
      </c>
      <c r="L1032" s="1" t="s">
        <v>8306</v>
      </c>
      <c r="M1032" s="1" t="s">
        <v>152</v>
      </c>
      <c r="N1032" s="1"/>
      <c r="O1032" s="1" t="s">
        <v>7563</v>
      </c>
      <c r="P1032" s="1"/>
      <c r="Q1032" s="1" t="s">
        <v>7651</v>
      </c>
      <c r="R1032" s="1" t="s">
        <v>5359</v>
      </c>
      <c r="S1032" s="1" t="s">
        <v>8307</v>
      </c>
      <c r="T1032" s="15">
        <v>2024</v>
      </c>
      <c r="U1032" s="3" t="s">
        <v>6168</v>
      </c>
      <c r="V1032" s="3" t="s">
        <v>708</v>
      </c>
      <c r="W1032" s="3" t="s">
        <v>8346</v>
      </c>
      <c r="X1032" s="3" t="s">
        <v>7369</v>
      </c>
      <c r="Z1032" t="s">
        <v>5921</v>
      </c>
      <c r="AB1032" s="14" t="s">
        <v>3887</v>
      </c>
    </row>
    <row r="1033" spans="1:30" customFormat="1" hidden="1" x14ac:dyDescent="0.3">
      <c r="A1033" s="1" t="s">
        <v>49</v>
      </c>
      <c r="B1033" s="1" t="s">
        <v>8308</v>
      </c>
      <c r="C1033" s="1" t="s">
        <v>354</v>
      </c>
      <c r="D1033" s="1" t="s">
        <v>8309</v>
      </c>
      <c r="E1033" s="1" t="s">
        <v>8310</v>
      </c>
      <c r="F1033" s="1" t="s">
        <v>8311</v>
      </c>
      <c r="G1033" s="1" t="s">
        <v>8312</v>
      </c>
      <c r="H1033" s="1" t="s">
        <v>355</v>
      </c>
      <c r="I1033" s="1" t="s">
        <v>191</v>
      </c>
      <c r="J1033" s="1" t="s">
        <v>8313</v>
      </c>
      <c r="K1033" s="1" t="s">
        <v>39</v>
      </c>
      <c r="L1033" s="1" t="s">
        <v>965</v>
      </c>
      <c r="M1033" s="1" t="s">
        <v>152</v>
      </c>
      <c r="N1033" s="1"/>
      <c r="O1033" s="1" t="s">
        <v>7563</v>
      </c>
      <c r="P1033" s="1"/>
      <c r="Q1033" s="1" t="s">
        <v>7651</v>
      </c>
      <c r="R1033" s="1" t="s">
        <v>5359</v>
      </c>
      <c r="S1033" s="1" t="s">
        <v>8307</v>
      </c>
      <c r="T1033" s="15">
        <v>2024</v>
      </c>
      <c r="U1033" s="3" t="s">
        <v>5765</v>
      </c>
      <c r="V1033" s="3" t="s">
        <v>29</v>
      </c>
      <c r="W1033" s="3" t="s">
        <v>8346</v>
      </c>
      <c r="X1033" s="3" t="s">
        <v>7369</v>
      </c>
      <c r="Z1033" t="s">
        <v>5921</v>
      </c>
      <c r="AA1033" t="s">
        <v>8350</v>
      </c>
      <c r="AB1033" s="14" t="s">
        <v>3887</v>
      </c>
      <c r="AD1033" t="s">
        <v>764</v>
      </c>
    </row>
    <row r="1034" spans="1:30" customFormat="1" hidden="1" x14ac:dyDescent="0.3">
      <c r="A1034" s="1" t="s">
        <v>8314</v>
      </c>
      <c r="B1034" s="1" t="s">
        <v>2800</v>
      </c>
      <c r="C1034" s="1" t="s">
        <v>8315</v>
      </c>
      <c r="D1034" s="1" t="s">
        <v>8316</v>
      </c>
      <c r="E1034" s="1" t="s">
        <v>8317</v>
      </c>
      <c r="F1034" s="1" t="s">
        <v>8318</v>
      </c>
      <c r="G1034" s="1" t="s">
        <v>8319</v>
      </c>
      <c r="H1034" s="1" t="s">
        <v>8000</v>
      </c>
      <c r="I1034" s="1" t="s">
        <v>191</v>
      </c>
      <c r="J1034" s="1" t="s">
        <v>72</v>
      </c>
      <c r="K1034" s="1" t="s">
        <v>39</v>
      </c>
      <c r="L1034" s="1" t="s">
        <v>8320</v>
      </c>
      <c r="M1034" s="1" t="s">
        <v>152</v>
      </c>
      <c r="N1034" s="1"/>
      <c r="O1034" s="1" t="s">
        <v>7563</v>
      </c>
      <c r="P1034" s="1"/>
      <c r="Q1034" s="1" t="s">
        <v>7651</v>
      </c>
      <c r="R1034" s="1" t="s">
        <v>5359</v>
      </c>
      <c r="S1034" s="1" t="s">
        <v>8321</v>
      </c>
      <c r="T1034" s="15">
        <v>2024</v>
      </c>
      <c r="U1034" s="3" t="s">
        <v>6168</v>
      </c>
      <c r="V1034" s="3" t="s">
        <v>708</v>
      </c>
      <c r="W1034" s="3" t="s">
        <v>8346</v>
      </c>
      <c r="X1034" s="3" t="s">
        <v>7369</v>
      </c>
      <c r="Z1034" t="s">
        <v>5921</v>
      </c>
      <c r="AB1034" s="14" t="s">
        <v>3885</v>
      </c>
    </row>
    <row r="1035" spans="1:30" customFormat="1" hidden="1" x14ac:dyDescent="0.3">
      <c r="A1035" s="1"/>
      <c r="B1035" s="1" t="s">
        <v>5869</v>
      </c>
      <c r="C1035" s="1" t="s">
        <v>5783</v>
      </c>
      <c r="D1035" s="1" t="s">
        <v>8322</v>
      </c>
      <c r="E1035" s="1" t="s">
        <v>8323</v>
      </c>
      <c r="F1035" s="1" t="s">
        <v>8324</v>
      </c>
      <c r="G1035" s="1"/>
      <c r="H1035" s="1"/>
      <c r="I1035" s="1"/>
      <c r="J1035" s="1" t="s">
        <v>2262</v>
      </c>
      <c r="K1035" s="1" t="s">
        <v>39</v>
      </c>
      <c r="L1035" s="1" t="s">
        <v>8325</v>
      </c>
      <c r="M1035" s="1" t="s">
        <v>141</v>
      </c>
      <c r="N1035" s="1"/>
      <c r="O1035" s="1" t="s">
        <v>7563</v>
      </c>
      <c r="P1035" s="1"/>
      <c r="Q1035" s="1" t="s">
        <v>7651</v>
      </c>
      <c r="R1035" s="1" t="s">
        <v>5359</v>
      </c>
      <c r="S1035" s="1" t="s">
        <v>8326</v>
      </c>
      <c r="T1035" s="15">
        <v>2024</v>
      </c>
      <c r="U1035" s="3" t="s">
        <v>5765</v>
      </c>
      <c r="V1035" s="3" t="s">
        <v>29</v>
      </c>
      <c r="W1035" s="3" t="s">
        <v>8341</v>
      </c>
      <c r="X1035" s="3" t="s">
        <v>7369</v>
      </c>
      <c r="Y1035" s="44">
        <v>45899</v>
      </c>
    </row>
    <row r="1036" spans="1:30" customFormat="1" hidden="1" x14ac:dyDescent="0.3">
      <c r="A1036" s="1" t="s">
        <v>292</v>
      </c>
      <c r="B1036" s="1" t="s">
        <v>8327</v>
      </c>
      <c r="C1036" s="1" t="s">
        <v>8328</v>
      </c>
      <c r="D1036" s="1" t="s">
        <v>8329</v>
      </c>
      <c r="E1036" s="1" t="s">
        <v>8330</v>
      </c>
      <c r="F1036" s="1" t="s">
        <v>8331</v>
      </c>
      <c r="G1036" s="1" t="s">
        <v>8332</v>
      </c>
      <c r="H1036" s="1" t="s">
        <v>8000</v>
      </c>
      <c r="I1036" s="1" t="s">
        <v>191</v>
      </c>
      <c r="J1036" s="1" t="s">
        <v>8333</v>
      </c>
      <c r="K1036" s="1" t="s">
        <v>39</v>
      </c>
      <c r="L1036" s="1" t="s">
        <v>8137</v>
      </c>
      <c r="M1036" s="1" t="s">
        <v>152</v>
      </c>
      <c r="N1036" s="1"/>
      <c r="O1036" s="1" t="s">
        <v>7563</v>
      </c>
      <c r="P1036" s="1"/>
      <c r="Q1036" s="1" t="s">
        <v>7651</v>
      </c>
      <c r="R1036" s="1" t="s">
        <v>5359</v>
      </c>
      <c r="S1036" s="1" t="s">
        <v>8334</v>
      </c>
      <c r="T1036" s="15">
        <v>2024</v>
      </c>
      <c r="U1036" s="3" t="s">
        <v>6168</v>
      </c>
      <c r="V1036" s="3" t="s">
        <v>708</v>
      </c>
      <c r="W1036" s="3" t="s">
        <v>8346</v>
      </c>
      <c r="X1036" s="3" t="s">
        <v>7369</v>
      </c>
      <c r="Z1036" t="s">
        <v>3828</v>
      </c>
      <c r="AB1036" s="14" t="s">
        <v>3887</v>
      </c>
    </row>
    <row r="1037" spans="1:30" customFormat="1" ht="41.4" hidden="1" x14ac:dyDescent="0.3">
      <c r="A1037" s="1" t="s">
        <v>3420</v>
      </c>
      <c r="B1037" s="4" t="s">
        <v>6492</v>
      </c>
      <c r="C1037" s="4" t="s">
        <v>8362</v>
      </c>
      <c r="D1037" s="1" t="s">
        <v>8363</v>
      </c>
      <c r="E1037" s="1" t="s">
        <v>8364</v>
      </c>
      <c r="F1037" s="1" t="s">
        <v>8365</v>
      </c>
      <c r="G1037" s="1" t="s">
        <v>8366</v>
      </c>
      <c r="H1037" s="1"/>
      <c r="I1037" s="1"/>
      <c r="J1037" s="1" t="s">
        <v>3939</v>
      </c>
      <c r="K1037" s="1" t="s">
        <v>39</v>
      </c>
      <c r="L1037" s="1" t="s">
        <v>8367</v>
      </c>
      <c r="M1037" s="1" t="s">
        <v>42</v>
      </c>
      <c r="N1037" s="1"/>
      <c r="O1037" s="1" t="s">
        <v>7563</v>
      </c>
      <c r="P1037" s="1"/>
      <c r="Q1037" s="1" t="s">
        <v>7651</v>
      </c>
      <c r="R1037" s="1" t="s">
        <v>5359</v>
      </c>
      <c r="S1037" s="1" t="s">
        <v>8368</v>
      </c>
      <c r="T1037" s="15">
        <v>2024</v>
      </c>
      <c r="U1037" s="3" t="s">
        <v>7275</v>
      </c>
      <c r="V1037" s="3" t="s">
        <v>29</v>
      </c>
      <c r="X1037">
        <v>5</v>
      </c>
      <c r="Z1037" t="s">
        <v>3828</v>
      </c>
      <c r="AA1037" t="s">
        <v>7886</v>
      </c>
      <c r="AB1037" s="14" t="s">
        <v>3888</v>
      </c>
      <c r="AD1037" t="s">
        <v>764</v>
      </c>
    </row>
    <row r="1038" spans="1:30" customFormat="1" ht="27.6" hidden="1" x14ac:dyDescent="0.3">
      <c r="A1038" s="1" t="s">
        <v>8369</v>
      </c>
      <c r="B1038" s="1" t="s">
        <v>8370</v>
      </c>
      <c r="C1038" s="1" t="s">
        <v>397</v>
      </c>
      <c r="D1038" s="1" t="s">
        <v>8371</v>
      </c>
      <c r="E1038" s="1"/>
      <c r="F1038" s="1" t="s">
        <v>8372</v>
      </c>
      <c r="G1038" s="1"/>
      <c r="H1038" s="1" t="s">
        <v>8373</v>
      </c>
      <c r="I1038" s="1" t="s">
        <v>191</v>
      </c>
      <c r="J1038" s="1" t="s">
        <v>3658</v>
      </c>
      <c r="K1038" s="1" t="s">
        <v>39</v>
      </c>
      <c r="L1038" s="1" t="s">
        <v>8374</v>
      </c>
      <c r="M1038" s="1" t="s">
        <v>152</v>
      </c>
      <c r="N1038" s="1" t="s">
        <v>8375</v>
      </c>
      <c r="O1038" s="1" t="s">
        <v>7563</v>
      </c>
      <c r="P1038" s="1"/>
      <c r="Q1038" s="1" t="s">
        <v>7651</v>
      </c>
      <c r="R1038" s="1" t="s">
        <v>5359</v>
      </c>
      <c r="S1038" s="1" t="s">
        <v>8376</v>
      </c>
      <c r="T1038" s="15">
        <v>2024</v>
      </c>
      <c r="U1038" s="3" t="s">
        <v>5765</v>
      </c>
      <c r="V1038" s="3" t="s">
        <v>29</v>
      </c>
      <c r="W1038" s="3" t="s">
        <v>8383</v>
      </c>
      <c r="X1038" s="3" t="s">
        <v>7369</v>
      </c>
      <c r="Z1038" t="s">
        <v>3828</v>
      </c>
      <c r="AA1038" t="s">
        <v>8384</v>
      </c>
      <c r="AB1038" s="14" t="s">
        <v>3885</v>
      </c>
      <c r="AD1038" t="s">
        <v>764</v>
      </c>
    </row>
    <row r="1039" spans="1:30" customFormat="1" hidden="1" x14ac:dyDescent="0.3">
      <c r="A1039" s="1" t="s">
        <v>4573</v>
      </c>
      <c r="B1039" s="1" t="s">
        <v>8377</v>
      </c>
      <c r="C1039" s="1" t="s">
        <v>145</v>
      </c>
      <c r="D1039" s="1" t="s">
        <v>8378</v>
      </c>
      <c r="E1039" s="1" t="s">
        <v>8379</v>
      </c>
      <c r="F1039" s="1" t="s">
        <v>8380</v>
      </c>
      <c r="G1039" s="1"/>
      <c r="H1039" s="1" t="s">
        <v>355</v>
      </c>
      <c r="I1039" s="1" t="s">
        <v>191</v>
      </c>
      <c r="J1039" s="1" t="s">
        <v>72</v>
      </c>
      <c r="K1039" s="1" t="s">
        <v>39</v>
      </c>
      <c r="L1039" s="1" t="s">
        <v>8381</v>
      </c>
      <c r="M1039" s="1" t="s">
        <v>152</v>
      </c>
      <c r="N1039" s="1"/>
      <c r="O1039" s="1" t="s">
        <v>7563</v>
      </c>
      <c r="P1039" s="1"/>
      <c r="Q1039" s="1" t="s">
        <v>7651</v>
      </c>
      <c r="R1039" s="1" t="s">
        <v>5359</v>
      </c>
      <c r="S1039" s="1" t="s">
        <v>8382</v>
      </c>
      <c r="T1039" s="15">
        <v>2024</v>
      </c>
      <c r="U1039" s="3" t="s">
        <v>6168</v>
      </c>
      <c r="V1039" s="3" t="s">
        <v>708</v>
      </c>
      <c r="W1039" s="3" t="s">
        <v>8346</v>
      </c>
      <c r="X1039" s="3" t="s">
        <v>7369</v>
      </c>
      <c r="Z1039" t="s">
        <v>6146</v>
      </c>
      <c r="AB1039" s="14" t="s">
        <v>4594</v>
      </c>
    </row>
    <row r="1040" spans="1:30" customFormat="1" hidden="1" x14ac:dyDescent="0.3">
      <c r="A1040" s="1" t="s">
        <v>292</v>
      </c>
      <c r="B1040" s="4" t="s">
        <v>8385</v>
      </c>
      <c r="C1040" s="4" t="s">
        <v>1407</v>
      </c>
      <c r="D1040" s="1" t="s">
        <v>8386</v>
      </c>
      <c r="E1040" s="1"/>
      <c r="F1040" s="1" t="s">
        <v>8387</v>
      </c>
      <c r="G1040" s="1"/>
      <c r="H1040" s="1"/>
      <c r="I1040" s="1"/>
      <c r="J1040" s="1" t="s">
        <v>72</v>
      </c>
      <c r="K1040" s="1" t="s">
        <v>39</v>
      </c>
      <c r="L1040" s="1" t="s">
        <v>8388</v>
      </c>
      <c r="M1040" s="1" t="s">
        <v>152</v>
      </c>
      <c r="N1040" s="1"/>
      <c r="O1040" s="1" t="s">
        <v>7563</v>
      </c>
      <c r="P1040" s="1"/>
      <c r="Q1040" s="1" t="s">
        <v>7651</v>
      </c>
      <c r="R1040" s="1" t="s">
        <v>5359</v>
      </c>
      <c r="S1040" s="1" t="s">
        <v>8389</v>
      </c>
      <c r="T1040" s="15">
        <v>2024</v>
      </c>
      <c r="U1040" s="3" t="s">
        <v>6168</v>
      </c>
      <c r="V1040" s="3" t="s">
        <v>6171</v>
      </c>
      <c r="W1040" s="3" t="s">
        <v>8346</v>
      </c>
      <c r="X1040" s="3" t="s">
        <v>7369</v>
      </c>
      <c r="Z1040" t="s">
        <v>6146</v>
      </c>
      <c r="AB1040" s="14" t="s">
        <v>3890</v>
      </c>
    </row>
    <row r="1041" spans="1:30" customFormat="1" ht="41.4" hidden="1" x14ac:dyDescent="0.3">
      <c r="A1041" s="1" t="s">
        <v>4573</v>
      </c>
      <c r="B1041" s="1" t="s">
        <v>2940</v>
      </c>
      <c r="C1041" s="1" t="s">
        <v>390</v>
      </c>
      <c r="D1041" s="1" t="s">
        <v>8390</v>
      </c>
      <c r="E1041" s="1" t="s">
        <v>8391</v>
      </c>
      <c r="F1041" s="1" t="s">
        <v>8392</v>
      </c>
      <c r="G1041" s="1" t="s">
        <v>8393</v>
      </c>
      <c r="H1041" s="1" t="s">
        <v>2398</v>
      </c>
      <c r="I1041" s="1" t="s">
        <v>3546</v>
      </c>
      <c r="J1041" s="1" t="s">
        <v>1518</v>
      </c>
      <c r="K1041" s="1" t="s">
        <v>39</v>
      </c>
      <c r="L1041" s="1" t="s">
        <v>965</v>
      </c>
      <c r="M1041" s="1" t="s">
        <v>152</v>
      </c>
      <c r="N1041" s="1"/>
      <c r="O1041" s="1" t="s">
        <v>7563</v>
      </c>
      <c r="P1041" s="1"/>
      <c r="Q1041" s="1" t="s">
        <v>7651</v>
      </c>
      <c r="R1041" s="1" t="s">
        <v>5359</v>
      </c>
      <c r="S1041" s="1" t="s">
        <v>8394</v>
      </c>
      <c r="T1041" s="15">
        <v>2024</v>
      </c>
      <c r="U1041" s="3" t="s">
        <v>5765</v>
      </c>
      <c r="V1041" s="3" t="s">
        <v>8497</v>
      </c>
      <c r="W1041" s="3" t="s">
        <v>8346</v>
      </c>
      <c r="X1041" s="3" t="s">
        <v>7369</v>
      </c>
      <c r="Z1041" t="s">
        <v>3828</v>
      </c>
      <c r="AA1041" t="s">
        <v>8464</v>
      </c>
      <c r="AB1041" s="14" t="s">
        <v>3888</v>
      </c>
      <c r="AD1041" t="s">
        <v>764</v>
      </c>
    </row>
    <row r="1042" spans="1:30" customFormat="1" hidden="1" x14ac:dyDescent="0.3">
      <c r="A1042" s="1" t="s">
        <v>1482</v>
      </c>
      <c r="B1042" s="1" t="s">
        <v>8395</v>
      </c>
      <c r="C1042" s="1" t="s">
        <v>523</v>
      </c>
      <c r="D1042" s="1" t="s">
        <v>8396</v>
      </c>
      <c r="E1042" s="1" t="s">
        <v>8397</v>
      </c>
      <c r="F1042" s="1" t="s">
        <v>8398</v>
      </c>
      <c r="G1042" s="1"/>
      <c r="H1042" s="1"/>
      <c r="I1042" s="1" t="s">
        <v>191</v>
      </c>
      <c r="J1042" s="1" t="s">
        <v>1060</v>
      </c>
      <c r="K1042" s="1" t="s">
        <v>39</v>
      </c>
      <c r="L1042" s="1" t="s">
        <v>8399</v>
      </c>
      <c r="M1042" s="1" t="s">
        <v>152</v>
      </c>
      <c r="N1042" s="1"/>
      <c r="O1042" s="1" t="s">
        <v>7563</v>
      </c>
      <c r="P1042" s="1"/>
      <c r="Q1042" s="1" t="s">
        <v>7651</v>
      </c>
      <c r="R1042" s="1" t="s">
        <v>5359</v>
      </c>
      <c r="S1042" s="1" t="s">
        <v>8400</v>
      </c>
      <c r="T1042" s="15">
        <v>2024</v>
      </c>
      <c r="U1042" s="3" t="s">
        <v>6168</v>
      </c>
      <c r="V1042" s="3" t="s">
        <v>708</v>
      </c>
      <c r="W1042" s="3" t="s">
        <v>8341</v>
      </c>
      <c r="X1042" s="3" t="s">
        <v>7369</v>
      </c>
    </row>
    <row r="1043" spans="1:30" customFormat="1" ht="27.6" hidden="1" x14ac:dyDescent="0.3">
      <c r="A1043" s="1" t="s">
        <v>292</v>
      </c>
      <c r="B1043" s="1" t="s">
        <v>2110</v>
      </c>
      <c r="C1043" s="1" t="s">
        <v>2214</v>
      </c>
      <c r="D1043" s="1" t="s">
        <v>8401</v>
      </c>
      <c r="E1043" s="1" t="s">
        <v>8402</v>
      </c>
      <c r="F1043" s="1" t="s">
        <v>8403</v>
      </c>
      <c r="G1043" s="1"/>
      <c r="H1043" s="1" t="s">
        <v>8404</v>
      </c>
      <c r="I1043" s="1" t="s">
        <v>191</v>
      </c>
      <c r="J1043" s="1" t="s">
        <v>72</v>
      </c>
      <c r="K1043" s="1" t="s">
        <v>39</v>
      </c>
      <c r="L1043" s="1" t="s">
        <v>8405</v>
      </c>
      <c r="M1043" s="1" t="s">
        <v>152</v>
      </c>
      <c r="N1043" s="1"/>
      <c r="O1043" s="1" t="s">
        <v>7563</v>
      </c>
      <c r="P1043" s="1"/>
      <c r="Q1043" s="1" t="s">
        <v>7651</v>
      </c>
      <c r="R1043" s="1" t="s">
        <v>5359</v>
      </c>
      <c r="S1043" s="1" t="s">
        <v>8406</v>
      </c>
      <c r="T1043" s="15">
        <v>2024</v>
      </c>
      <c r="U1043" s="3" t="s">
        <v>5765</v>
      </c>
      <c r="V1043" s="3" t="s">
        <v>29</v>
      </c>
      <c r="W1043" s="3" t="s">
        <v>6170</v>
      </c>
      <c r="X1043" s="3" t="s">
        <v>7369</v>
      </c>
      <c r="Z1043" t="s">
        <v>2148</v>
      </c>
      <c r="AA1043" t="s">
        <v>8348</v>
      </c>
      <c r="AB1043" s="14" t="s">
        <v>4594</v>
      </c>
      <c r="AD1043" t="s">
        <v>764</v>
      </c>
    </row>
    <row r="1044" spans="1:30" customFormat="1" x14ac:dyDescent="0.3">
      <c r="A1044" s="1" t="s">
        <v>292</v>
      </c>
      <c r="B1044" s="1" t="s">
        <v>8407</v>
      </c>
      <c r="C1044" s="1" t="s">
        <v>2214</v>
      </c>
      <c r="D1044" s="1" t="s">
        <v>8408</v>
      </c>
      <c r="E1044" s="1" t="s">
        <v>8409</v>
      </c>
      <c r="F1044" s="1" t="s">
        <v>8410</v>
      </c>
      <c r="G1044" s="1"/>
      <c r="H1044" s="1"/>
      <c r="I1044" s="1"/>
      <c r="J1044" s="1" t="s">
        <v>8411</v>
      </c>
      <c r="K1044" s="1" t="s">
        <v>39</v>
      </c>
      <c r="L1044" s="1" t="s">
        <v>8412</v>
      </c>
      <c r="M1044" s="1" t="s">
        <v>42</v>
      </c>
      <c r="N1044" s="1"/>
      <c r="O1044" s="1" t="s">
        <v>7563</v>
      </c>
      <c r="P1044" s="1"/>
      <c r="Q1044" s="1" t="s">
        <v>7651</v>
      </c>
      <c r="R1044" s="1" t="s">
        <v>5359</v>
      </c>
      <c r="S1044" s="1" t="s">
        <v>8413</v>
      </c>
      <c r="T1044" s="15">
        <v>2024</v>
      </c>
      <c r="U1044" s="3" t="s">
        <v>6168</v>
      </c>
      <c r="V1044" s="3" t="s">
        <v>708</v>
      </c>
      <c r="W1044" s="3" t="s">
        <v>8346</v>
      </c>
      <c r="Y1044" s="44">
        <v>45899</v>
      </c>
      <c r="Z1044" t="s">
        <v>2148</v>
      </c>
      <c r="AB1044" s="14" t="s">
        <v>4594</v>
      </c>
    </row>
    <row r="1045" spans="1:30" customFormat="1" ht="41.4" hidden="1" x14ac:dyDescent="0.3">
      <c r="A1045" s="1"/>
      <c r="B1045" s="1" t="s">
        <v>8414</v>
      </c>
      <c r="C1045" s="1" t="s">
        <v>346</v>
      </c>
      <c r="D1045" s="1" t="s">
        <v>8415</v>
      </c>
      <c r="E1045" s="1" t="s">
        <v>8416</v>
      </c>
      <c r="F1045" s="1" t="s">
        <v>8417</v>
      </c>
      <c r="G1045" s="1"/>
      <c r="H1045" s="1"/>
      <c r="I1045" s="1"/>
      <c r="J1045" s="1" t="s">
        <v>2262</v>
      </c>
      <c r="K1045" s="1" t="s">
        <v>39</v>
      </c>
      <c r="L1045" s="1" t="s">
        <v>8418</v>
      </c>
      <c r="M1045" s="1" t="s">
        <v>141</v>
      </c>
      <c r="N1045" s="1"/>
      <c r="O1045" s="1" t="s">
        <v>7563</v>
      </c>
      <c r="P1045" s="1"/>
      <c r="Q1045" s="1" t="s">
        <v>7651</v>
      </c>
      <c r="R1045" s="1" t="s">
        <v>6962</v>
      </c>
      <c r="S1045" s="1" t="s">
        <v>8419</v>
      </c>
      <c r="T1045" s="15">
        <v>2024</v>
      </c>
      <c r="U1045" s="3" t="s">
        <v>8465</v>
      </c>
      <c r="V1045" s="3" t="s">
        <v>376</v>
      </c>
      <c r="X1045" s="3" t="s">
        <v>376</v>
      </c>
    </row>
    <row r="1046" spans="1:30" customFormat="1" ht="55.2" hidden="1" x14ac:dyDescent="0.3">
      <c r="A1046" s="1" t="s">
        <v>1902</v>
      </c>
      <c r="B1046" s="1" t="s">
        <v>8420</v>
      </c>
      <c r="C1046" s="1" t="s">
        <v>523</v>
      </c>
      <c r="D1046" s="1" t="s">
        <v>8421</v>
      </c>
      <c r="E1046" s="1" t="s">
        <v>8422</v>
      </c>
      <c r="F1046" s="1" t="s">
        <v>8423</v>
      </c>
      <c r="G1046" s="1"/>
      <c r="H1046" s="1" t="s">
        <v>8424</v>
      </c>
      <c r="I1046" s="1" t="s">
        <v>8425</v>
      </c>
      <c r="J1046" s="1" t="s">
        <v>4823</v>
      </c>
      <c r="K1046" s="1" t="s">
        <v>39</v>
      </c>
      <c r="L1046" s="1" t="s">
        <v>8426</v>
      </c>
      <c r="M1046" s="1" t="s">
        <v>152</v>
      </c>
      <c r="N1046" s="1"/>
      <c r="O1046" s="1" t="s">
        <v>7563</v>
      </c>
      <c r="P1046" s="1"/>
      <c r="Q1046" s="1" t="s">
        <v>7651</v>
      </c>
      <c r="R1046" s="1" t="s">
        <v>5429</v>
      </c>
      <c r="S1046" s="1" t="s">
        <v>8427</v>
      </c>
      <c r="T1046" s="15">
        <v>2024</v>
      </c>
      <c r="U1046" s="3" t="s">
        <v>5765</v>
      </c>
      <c r="V1046" s="3" t="s">
        <v>8497</v>
      </c>
      <c r="W1046" s="3" t="s">
        <v>8341</v>
      </c>
      <c r="X1046" s="3" t="s">
        <v>7369</v>
      </c>
      <c r="AD1046" t="s">
        <v>764</v>
      </c>
    </row>
    <row r="1047" spans="1:30" customFormat="1" hidden="1" x14ac:dyDescent="0.3">
      <c r="A1047" s="1"/>
      <c r="B1047" s="1" t="s">
        <v>8428</v>
      </c>
      <c r="C1047" s="1" t="s">
        <v>370</v>
      </c>
      <c r="D1047" s="1" t="s">
        <v>8429</v>
      </c>
      <c r="E1047" s="1" t="s">
        <v>8430</v>
      </c>
      <c r="F1047" s="1" t="s">
        <v>8431</v>
      </c>
      <c r="G1047" s="1"/>
      <c r="H1047" s="1" t="s">
        <v>6116</v>
      </c>
      <c r="I1047" s="1" t="s">
        <v>191</v>
      </c>
      <c r="J1047" s="1" t="s">
        <v>6117</v>
      </c>
      <c r="K1047" s="1" t="s">
        <v>39</v>
      </c>
      <c r="L1047" s="1" t="s">
        <v>8432</v>
      </c>
      <c r="M1047" s="1" t="s">
        <v>152</v>
      </c>
      <c r="N1047" s="1"/>
      <c r="O1047" s="1" t="s">
        <v>7563</v>
      </c>
      <c r="P1047" s="1"/>
      <c r="Q1047" s="1" t="s">
        <v>7651</v>
      </c>
      <c r="R1047" s="1" t="s">
        <v>5359</v>
      </c>
      <c r="S1047" s="1" t="s">
        <v>8433</v>
      </c>
      <c r="T1047" s="15">
        <v>2024</v>
      </c>
      <c r="U1047" s="3" t="s">
        <v>5765</v>
      </c>
      <c r="V1047" s="3" t="s">
        <v>29</v>
      </c>
      <c r="W1047" s="3" t="s">
        <v>8345</v>
      </c>
      <c r="X1047" s="3" t="s">
        <v>7369</v>
      </c>
      <c r="Z1047" t="s">
        <v>2148</v>
      </c>
      <c r="AA1047" t="s">
        <v>8466</v>
      </c>
      <c r="AB1047" s="14" t="s">
        <v>4594</v>
      </c>
      <c r="AD1047" t="s">
        <v>764</v>
      </c>
    </row>
    <row r="1048" spans="1:30" customFormat="1" hidden="1" x14ac:dyDescent="0.3">
      <c r="A1048" s="1" t="s">
        <v>49</v>
      </c>
      <c r="B1048" s="1" t="s">
        <v>8434</v>
      </c>
      <c r="C1048" s="1" t="s">
        <v>8435</v>
      </c>
      <c r="D1048" s="1" t="s">
        <v>8436</v>
      </c>
      <c r="E1048" s="1" t="s">
        <v>8437</v>
      </c>
      <c r="F1048" s="1" t="s">
        <v>8438</v>
      </c>
      <c r="G1048" s="1"/>
      <c r="H1048" s="1" t="s">
        <v>2398</v>
      </c>
      <c r="I1048" s="1" t="s">
        <v>191</v>
      </c>
      <c r="J1048" s="1" t="s">
        <v>8439</v>
      </c>
      <c r="K1048" s="1" t="s">
        <v>39</v>
      </c>
      <c r="L1048" s="1" t="s">
        <v>8440</v>
      </c>
      <c r="M1048" s="1" t="s">
        <v>152</v>
      </c>
      <c r="N1048" s="1"/>
      <c r="O1048" s="1" t="s">
        <v>7563</v>
      </c>
      <c r="P1048" s="1" t="s">
        <v>7724</v>
      </c>
      <c r="Q1048" s="1"/>
      <c r="R1048" s="1" t="s">
        <v>5359</v>
      </c>
      <c r="S1048" s="1" t="s">
        <v>8441</v>
      </c>
      <c r="T1048" s="15">
        <v>2024</v>
      </c>
      <c r="U1048" s="3" t="s">
        <v>6168</v>
      </c>
      <c r="V1048" s="3" t="s">
        <v>708</v>
      </c>
      <c r="W1048" s="3" t="s">
        <v>8346</v>
      </c>
      <c r="X1048" s="3" t="s">
        <v>7369</v>
      </c>
      <c r="Z1048" t="s">
        <v>3828</v>
      </c>
      <c r="AB1048" s="14" t="s">
        <v>3888</v>
      </c>
    </row>
    <row r="1049" spans="1:30" customFormat="1" x14ac:dyDescent="0.3">
      <c r="A1049" s="1" t="s">
        <v>6032</v>
      </c>
      <c r="B1049" s="1" t="s">
        <v>8442</v>
      </c>
      <c r="C1049" s="1" t="s">
        <v>390</v>
      </c>
      <c r="D1049" s="1" t="s">
        <v>8443</v>
      </c>
      <c r="E1049" s="1" t="s">
        <v>8444</v>
      </c>
      <c r="F1049" s="1" t="s">
        <v>8445</v>
      </c>
      <c r="G1049" s="1" t="s">
        <v>8446</v>
      </c>
      <c r="H1049" s="1" t="s">
        <v>5946</v>
      </c>
      <c r="I1049" s="1" t="s">
        <v>62</v>
      </c>
      <c r="J1049" s="1" t="s">
        <v>8447</v>
      </c>
      <c r="K1049" s="1" t="s">
        <v>39</v>
      </c>
      <c r="L1049" s="1" t="s">
        <v>4295</v>
      </c>
      <c r="M1049" s="1" t="s">
        <v>42</v>
      </c>
      <c r="N1049" s="1"/>
      <c r="O1049" s="1" t="s">
        <v>7563</v>
      </c>
      <c r="P1049" s="1"/>
      <c r="Q1049" s="1" t="s">
        <v>7651</v>
      </c>
      <c r="R1049" s="1" t="s">
        <v>5359</v>
      </c>
      <c r="S1049" s="1" t="s">
        <v>8448</v>
      </c>
      <c r="T1049" s="15">
        <v>2024</v>
      </c>
      <c r="U1049" s="3" t="s">
        <v>5765</v>
      </c>
      <c r="V1049" s="3" t="s">
        <v>29</v>
      </c>
      <c r="Y1049" s="44">
        <v>45899</v>
      </c>
      <c r="Z1049" t="s">
        <v>3828</v>
      </c>
      <c r="AA1049" t="s">
        <v>4868</v>
      </c>
      <c r="AB1049" s="14" t="s">
        <v>3888</v>
      </c>
      <c r="AD1049" t="s">
        <v>764</v>
      </c>
    </row>
    <row r="1050" spans="1:30" customFormat="1" hidden="1" x14ac:dyDescent="0.3">
      <c r="A1050" s="1" t="s">
        <v>3086</v>
      </c>
      <c r="B1050" s="1" t="s">
        <v>8449</v>
      </c>
      <c r="C1050" s="1" t="s">
        <v>8450</v>
      </c>
      <c r="D1050" s="1" t="s">
        <v>8451</v>
      </c>
      <c r="E1050" s="1" t="s">
        <v>8452</v>
      </c>
      <c r="F1050" s="1" t="s">
        <v>8453</v>
      </c>
      <c r="G1050" s="1" t="s">
        <v>8454</v>
      </c>
      <c r="H1050" s="1"/>
      <c r="I1050" s="1"/>
      <c r="J1050" s="1" t="s">
        <v>284</v>
      </c>
      <c r="K1050" s="1" t="s">
        <v>39</v>
      </c>
      <c r="L1050" s="1" t="s">
        <v>8455</v>
      </c>
      <c r="M1050" s="1" t="s">
        <v>42</v>
      </c>
      <c r="N1050" s="1"/>
      <c r="O1050" s="1" t="s">
        <v>7563</v>
      </c>
      <c r="P1050" s="1" t="s">
        <v>7724</v>
      </c>
      <c r="Q1050" s="1"/>
      <c r="R1050" s="1" t="s">
        <v>5429</v>
      </c>
      <c r="S1050" s="1" t="s">
        <v>8456</v>
      </c>
      <c r="T1050" s="15">
        <v>2024</v>
      </c>
      <c r="U1050" s="3" t="s">
        <v>45</v>
      </c>
      <c r="V1050" s="3" t="s">
        <v>29</v>
      </c>
      <c r="X1050">
        <v>5</v>
      </c>
      <c r="Z1050" t="s">
        <v>3835</v>
      </c>
      <c r="AA1050" t="s">
        <v>8467</v>
      </c>
      <c r="AB1050" s="14" t="s">
        <v>3884</v>
      </c>
      <c r="AD1050" t="s">
        <v>8468</v>
      </c>
    </row>
    <row r="1051" spans="1:30" customFormat="1" hidden="1" x14ac:dyDescent="0.3">
      <c r="A1051" s="1" t="s">
        <v>274</v>
      </c>
      <c r="B1051" s="1" t="s">
        <v>8457</v>
      </c>
      <c r="C1051" s="1" t="s">
        <v>1649</v>
      </c>
      <c r="D1051" s="1" t="s">
        <v>8458</v>
      </c>
      <c r="E1051" s="1" t="s">
        <v>8459</v>
      </c>
      <c r="F1051" s="1" t="s">
        <v>8460</v>
      </c>
      <c r="G1051" s="1" t="s">
        <v>8461</v>
      </c>
      <c r="H1051" s="1" t="s">
        <v>355</v>
      </c>
      <c r="I1051" s="1"/>
      <c r="J1051" s="1" t="s">
        <v>72</v>
      </c>
      <c r="K1051" s="1" t="s">
        <v>39</v>
      </c>
      <c r="L1051" s="1" t="s">
        <v>8462</v>
      </c>
      <c r="M1051" s="1" t="s">
        <v>152</v>
      </c>
      <c r="N1051" s="1"/>
      <c r="O1051" s="1" t="s">
        <v>7563</v>
      </c>
      <c r="P1051" s="1"/>
      <c r="Q1051" s="1" t="s">
        <v>7651</v>
      </c>
      <c r="R1051" s="1" t="s">
        <v>6962</v>
      </c>
      <c r="S1051" s="1" t="s">
        <v>8463</v>
      </c>
      <c r="T1051" s="15">
        <v>2024</v>
      </c>
      <c r="U1051" s="3" t="s">
        <v>6168</v>
      </c>
      <c r="V1051" s="3" t="s">
        <v>708</v>
      </c>
      <c r="W1051" s="3" t="s">
        <v>8346</v>
      </c>
      <c r="X1051" s="3" t="s">
        <v>7369</v>
      </c>
      <c r="Z1051" t="s">
        <v>3828</v>
      </c>
      <c r="AB1051" s="14" t="s">
        <v>3885</v>
      </c>
    </row>
    <row r="1052" spans="1:30" customFormat="1" ht="27.6" x14ac:dyDescent="0.3">
      <c r="A1052" s="1" t="s">
        <v>6392</v>
      </c>
      <c r="B1052" s="4" t="s">
        <v>8469</v>
      </c>
      <c r="C1052" s="4" t="s">
        <v>229</v>
      </c>
      <c r="D1052" s="1" t="s">
        <v>8470</v>
      </c>
      <c r="E1052" s="1" t="s">
        <v>8471</v>
      </c>
      <c r="F1052" s="1" t="s">
        <v>8472</v>
      </c>
      <c r="G1052" s="1"/>
      <c r="H1052" s="1" t="s">
        <v>80</v>
      </c>
      <c r="I1052" s="1" t="s">
        <v>8473</v>
      </c>
      <c r="J1052" s="1" t="s">
        <v>8474</v>
      </c>
      <c r="K1052" s="1" t="s">
        <v>39</v>
      </c>
      <c r="L1052" s="1" t="s">
        <v>8475</v>
      </c>
      <c r="M1052" s="1" t="s">
        <v>141</v>
      </c>
      <c r="N1052" s="1"/>
      <c r="O1052" s="1" t="s">
        <v>7563</v>
      </c>
      <c r="P1052" s="1"/>
      <c r="Q1052" s="1" t="s">
        <v>7651</v>
      </c>
      <c r="R1052" s="1" t="s">
        <v>5359</v>
      </c>
      <c r="S1052" s="1" t="s">
        <v>8476</v>
      </c>
      <c r="T1052" s="15">
        <v>2024</v>
      </c>
      <c r="U1052" s="3" t="s">
        <v>45</v>
      </c>
      <c r="V1052" s="3" t="s">
        <v>29</v>
      </c>
      <c r="Y1052" s="44">
        <v>45899</v>
      </c>
      <c r="Z1052" t="s">
        <v>3835</v>
      </c>
      <c r="AA1052" t="s">
        <v>7926</v>
      </c>
      <c r="AB1052" s="14" t="s">
        <v>3884</v>
      </c>
      <c r="AD1052" t="s">
        <v>764</v>
      </c>
    </row>
    <row r="1053" spans="1:30" customFormat="1" hidden="1" x14ac:dyDescent="0.3">
      <c r="A1053" s="1"/>
      <c r="B1053" s="1" t="s">
        <v>3373</v>
      </c>
      <c r="C1053" s="1" t="s">
        <v>157</v>
      </c>
      <c r="D1053" s="1" t="s">
        <v>8477</v>
      </c>
      <c r="E1053" s="1" t="s">
        <v>8478</v>
      </c>
      <c r="F1053" s="1" t="s">
        <v>8479</v>
      </c>
      <c r="G1053" s="1"/>
      <c r="H1053" s="1" t="s">
        <v>756</v>
      </c>
      <c r="I1053" s="1"/>
      <c r="J1053" s="1" t="s">
        <v>8480</v>
      </c>
      <c r="K1053" s="1" t="s">
        <v>39</v>
      </c>
      <c r="L1053" s="1" t="s">
        <v>8481</v>
      </c>
      <c r="M1053" s="1" t="s">
        <v>141</v>
      </c>
      <c r="N1053" s="1"/>
      <c r="O1053" s="1" t="s">
        <v>7563</v>
      </c>
      <c r="P1053" s="1"/>
      <c r="Q1053" s="1" t="s">
        <v>7651</v>
      </c>
      <c r="R1053" s="1" t="s">
        <v>5359</v>
      </c>
      <c r="S1053" s="1" t="s">
        <v>8482</v>
      </c>
      <c r="T1053" s="15">
        <v>2024</v>
      </c>
      <c r="U1053" s="3" t="s">
        <v>45</v>
      </c>
      <c r="V1053" s="3" t="s">
        <v>29</v>
      </c>
      <c r="X1053">
        <v>5</v>
      </c>
      <c r="Z1053" t="s">
        <v>3835</v>
      </c>
      <c r="AA1053" t="s">
        <v>7712</v>
      </c>
      <c r="AB1053" s="14" t="s">
        <v>3884</v>
      </c>
      <c r="AD1053" t="s">
        <v>764</v>
      </c>
    </row>
    <row r="1054" spans="1:30" customFormat="1" hidden="1" x14ac:dyDescent="0.3">
      <c r="A1054" s="1" t="s">
        <v>5445</v>
      </c>
      <c r="B1054" s="1" t="s">
        <v>8483</v>
      </c>
      <c r="C1054" s="1" t="s">
        <v>523</v>
      </c>
      <c r="D1054" s="1" t="s">
        <v>8484</v>
      </c>
      <c r="E1054" s="1" t="s">
        <v>8485</v>
      </c>
      <c r="F1054" s="1" t="s">
        <v>8486</v>
      </c>
      <c r="G1054" s="1"/>
      <c r="H1054" s="1" t="s">
        <v>8487</v>
      </c>
      <c r="I1054" s="1"/>
      <c r="J1054" s="1" t="s">
        <v>3939</v>
      </c>
      <c r="K1054" s="1" t="s">
        <v>39</v>
      </c>
      <c r="L1054" s="1" t="s">
        <v>8488</v>
      </c>
      <c r="M1054" s="1" t="s">
        <v>152</v>
      </c>
      <c r="N1054" s="1"/>
      <c r="O1054" s="1" t="s">
        <v>7563</v>
      </c>
      <c r="P1054" s="1"/>
      <c r="Q1054" s="1" t="s">
        <v>7651</v>
      </c>
      <c r="R1054" s="1" t="s">
        <v>5359</v>
      </c>
      <c r="S1054" s="1" t="s">
        <v>8489</v>
      </c>
      <c r="T1054" s="15">
        <v>2024</v>
      </c>
      <c r="U1054" s="3" t="s">
        <v>6168</v>
      </c>
      <c r="V1054" s="3" t="s">
        <v>708</v>
      </c>
      <c r="W1054" s="3" t="s">
        <v>6170</v>
      </c>
      <c r="X1054" s="3" t="s">
        <v>7369</v>
      </c>
      <c r="Z1054" t="s">
        <v>3828</v>
      </c>
      <c r="AB1054" s="14" t="s">
        <v>3887</v>
      </c>
    </row>
    <row r="1055" spans="1:30" customFormat="1" ht="27.6" hidden="1" x14ac:dyDescent="0.3">
      <c r="A1055" s="1"/>
      <c r="B1055" s="1" t="s">
        <v>8490</v>
      </c>
      <c r="C1055" s="1" t="s">
        <v>1989</v>
      </c>
      <c r="D1055" s="1" t="s">
        <v>8491</v>
      </c>
      <c r="E1055" s="1" t="s">
        <v>8492</v>
      </c>
      <c r="F1055" s="1" t="s">
        <v>8493</v>
      </c>
      <c r="G1055" s="1"/>
      <c r="H1055" s="1" t="s">
        <v>7454</v>
      </c>
      <c r="I1055" s="1"/>
      <c r="J1055" s="1" t="s">
        <v>8494</v>
      </c>
      <c r="K1055" s="1" t="s">
        <v>39</v>
      </c>
      <c r="L1055" s="1" t="s">
        <v>8495</v>
      </c>
      <c r="M1055" s="1" t="s">
        <v>141</v>
      </c>
      <c r="N1055" s="1"/>
      <c r="O1055" s="1" t="s">
        <v>7563</v>
      </c>
      <c r="P1055" s="1"/>
      <c r="Q1055" s="1" t="s">
        <v>7651</v>
      </c>
      <c r="R1055" s="1" t="s">
        <v>6962</v>
      </c>
      <c r="S1055" s="1" t="s">
        <v>8496</v>
      </c>
      <c r="T1055" s="15">
        <v>2024</v>
      </c>
      <c r="U1055" s="3" t="s">
        <v>45</v>
      </c>
      <c r="V1055" s="3" t="s">
        <v>29</v>
      </c>
      <c r="X1055">
        <v>5</v>
      </c>
      <c r="Z1055" t="s">
        <v>3835</v>
      </c>
      <c r="AA1055" t="s">
        <v>7712</v>
      </c>
      <c r="AB1055" s="14" t="s">
        <v>3884</v>
      </c>
      <c r="AD1055" t="s">
        <v>764</v>
      </c>
    </row>
    <row r="1056" spans="1:30" customFormat="1" hidden="1" x14ac:dyDescent="0.3">
      <c r="A1056" s="1" t="s">
        <v>22</v>
      </c>
      <c r="B1056" s="4" t="s">
        <v>8499</v>
      </c>
      <c r="C1056" s="4" t="s">
        <v>390</v>
      </c>
      <c r="D1056" s="1" t="s">
        <v>8500</v>
      </c>
      <c r="E1056" s="1" t="s">
        <v>8501</v>
      </c>
      <c r="F1056" s="1" t="s">
        <v>8502</v>
      </c>
      <c r="G1056" s="1"/>
      <c r="H1056" s="1" t="s">
        <v>8503</v>
      </c>
      <c r="I1056" s="1" t="s">
        <v>589</v>
      </c>
      <c r="J1056" s="1" t="s">
        <v>72</v>
      </c>
      <c r="K1056" s="1" t="s">
        <v>39</v>
      </c>
      <c r="L1056" s="1" t="s">
        <v>8504</v>
      </c>
      <c r="M1056" s="1" t="s">
        <v>141</v>
      </c>
      <c r="N1056" s="1"/>
      <c r="O1056" s="1" t="s">
        <v>7563</v>
      </c>
      <c r="P1056" s="1"/>
      <c r="Q1056" s="1" t="s">
        <v>7651</v>
      </c>
      <c r="R1056" s="1" t="s">
        <v>5480</v>
      </c>
      <c r="S1056" s="1" t="s">
        <v>8505</v>
      </c>
      <c r="T1056" s="15">
        <v>2024</v>
      </c>
      <c r="U1056" s="3" t="s">
        <v>5765</v>
      </c>
      <c r="V1056" s="3" t="s">
        <v>29</v>
      </c>
      <c r="X1056">
        <v>5</v>
      </c>
      <c r="Z1056" t="s">
        <v>3835</v>
      </c>
      <c r="AA1056" t="s">
        <v>8536</v>
      </c>
      <c r="AB1056" s="14" t="s">
        <v>3884</v>
      </c>
      <c r="AD1056" t="s">
        <v>764</v>
      </c>
    </row>
    <row r="1057" spans="1:30" customFormat="1" hidden="1" x14ac:dyDescent="0.3">
      <c r="A1057" s="1" t="s">
        <v>2707</v>
      </c>
      <c r="B1057" s="1" t="s">
        <v>8506</v>
      </c>
      <c r="C1057" s="1" t="s">
        <v>8507</v>
      </c>
      <c r="D1057" s="1" t="s">
        <v>8508</v>
      </c>
      <c r="E1057" s="1" t="s">
        <v>8509</v>
      </c>
      <c r="F1057" s="1" t="s">
        <v>8510</v>
      </c>
      <c r="G1057" s="1"/>
      <c r="H1057" s="1" t="s">
        <v>8511</v>
      </c>
      <c r="I1057" s="1" t="s">
        <v>1959</v>
      </c>
      <c r="J1057" s="1" t="s">
        <v>72</v>
      </c>
      <c r="K1057" s="1" t="s">
        <v>39</v>
      </c>
      <c r="L1057" s="1" t="s">
        <v>8512</v>
      </c>
      <c r="M1057" s="1" t="s">
        <v>42</v>
      </c>
      <c r="N1057" s="1"/>
      <c r="O1057" s="1" t="s">
        <v>7563</v>
      </c>
      <c r="P1057" s="1"/>
      <c r="Q1057" s="1" t="s">
        <v>7651</v>
      </c>
      <c r="R1057" s="1" t="s">
        <v>5480</v>
      </c>
      <c r="S1057" s="1" t="s">
        <v>8513</v>
      </c>
      <c r="T1057" s="15">
        <v>2024</v>
      </c>
      <c r="U1057" s="3" t="s">
        <v>5765</v>
      </c>
      <c r="V1057" s="3" t="s">
        <v>29</v>
      </c>
      <c r="X1057">
        <v>5</v>
      </c>
      <c r="Z1057" t="s">
        <v>3835</v>
      </c>
      <c r="AA1057" t="s">
        <v>8335</v>
      </c>
      <c r="AB1057" s="14" t="s">
        <v>3884</v>
      </c>
      <c r="AD1057" t="s">
        <v>764</v>
      </c>
    </row>
    <row r="1058" spans="1:30" customFormat="1" hidden="1" x14ac:dyDescent="0.3">
      <c r="A1058" s="1" t="s">
        <v>254</v>
      </c>
      <c r="B1058" s="1" t="s">
        <v>8514</v>
      </c>
      <c r="C1058" s="1" t="s">
        <v>1732</v>
      </c>
      <c r="D1058" s="1" t="s">
        <v>8515</v>
      </c>
      <c r="E1058" s="1" t="s">
        <v>8516</v>
      </c>
      <c r="F1058" s="1" t="s">
        <v>8517</v>
      </c>
      <c r="G1058" s="1"/>
      <c r="H1058" s="1" t="s">
        <v>8518</v>
      </c>
      <c r="I1058" s="1" t="s">
        <v>8519</v>
      </c>
      <c r="J1058" s="1" t="s">
        <v>8520</v>
      </c>
      <c r="K1058" s="1" t="s">
        <v>39</v>
      </c>
      <c r="L1058" s="1" t="s">
        <v>8521</v>
      </c>
      <c r="M1058" s="1" t="s">
        <v>141</v>
      </c>
      <c r="N1058" s="1"/>
      <c r="O1058" s="1" t="s">
        <v>7563</v>
      </c>
      <c r="P1058" s="1"/>
      <c r="Q1058" s="1" t="s">
        <v>7651</v>
      </c>
      <c r="R1058" s="1" t="s">
        <v>5480</v>
      </c>
      <c r="S1058" s="1" t="s">
        <v>8522</v>
      </c>
      <c r="T1058" s="15">
        <v>2024</v>
      </c>
      <c r="U1058" s="3" t="s">
        <v>5765</v>
      </c>
      <c r="V1058" s="3" t="s">
        <v>29</v>
      </c>
      <c r="X1058">
        <v>20</v>
      </c>
      <c r="Z1058" t="s">
        <v>3835</v>
      </c>
      <c r="AA1058" t="s">
        <v>8335</v>
      </c>
      <c r="AB1058" s="14" t="s">
        <v>3884</v>
      </c>
      <c r="AD1058" t="s">
        <v>764</v>
      </c>
    </row>
    <row r="1059" spans="1:30" customFormat="1" hidden="1" x14ac:dyDescent="0.3">
      <c r="A1059" s="1"/>
      <c r="B1059" s="1" t="s">
        <v>8523</v>
      </c>
      <c r="C1059" s="1" t="s">
        <v>8524</v>
      </c>
      <c r="D1059" s="1" t="s">
        <v>8525</v>
      </c>
      <c r="E1059" s="1" t="s">
        <v>8526</v>
      </c>
      <c r="F1059" s="1" t="s">
        <v>8527</v>
      </c>
      <c r="G1059" s="1"/>
      <c r="H1059" s="1"/>
      <c r="I1059" s="1"/>
      <c r="J1059" s="1" t="s">
        <v>4879</v>
      </c>
      <c r="K1059" s="1" t="s">
        <v>39</v>
      </c>
      <c r="L1059" s="1" t="s">
        <v>8528</v>
      </c>
      <c r="M1059" s="1" t="s">
        <v>141</v>
      </c>
      <c r="N1059" s="1"/>
      <c r="O1059" s="1" t="s">
        <v>7563</v>
      </c>
      <c r="P1059" s="1"/>
      <c r="Q1059" s="1" t="s">
        <v>7651</v>
      </c>
      <c r="R1059" s="1" t="s">
        <v>6308</v>
      </c>
      <c r="S1059" s="1" t="s">
        <v>8529</v>
      </c>
      <c r="U1059" s="3" t="s">
        <v>8537</v>
      </c>
      <c r="V1059" s="3" t="s">
        <v>376</v>
      </c>
      <c r="X1059">
        <v>5</v>
      </c>
    </row>
    <row r="1060" spans="1:30" customFormat="1" hidden="1" x14ac:dyDescent="0.3">
      <c r="A1060" s="1" t="s">
        <v>100</v>
      </c>
      <c r="B1060" s="1" t="s">
        <v>8530</v>
      </c>
      <c r="C1060" s="1" t="s">
        <v>189</v>
      </c>
      <c r="D1060" s="1" t="s">
        <v>8531</v>
      </c>
      <c r="E1060" s="1" t="s">
        <v>8532</v>
      </c>
      <c r="F1060" s="1" t="s">
        <v>8533</v>
      </c>
      <c r="G1060" s="1"/>
      <c r="H1060" s="1"/>
      <c r="I1060" s="1"/>
      <c r="J1060" s="1" t="s">
        <v>72</v>
      </c>
      <c r="K1060" s="1" t="s">
        <v>39</v>
      </c>
      <c r="L1060" s="1" t="s">
        <v>8534</v>
      </c>
      <c r="M1060" s="1" t="s">
        <v>152</v>
      </c>
      <c r="N1060" s="1"/>
      <c r="O1060" s="1" t="s">
        <v>7563</v>
      </c>
      <c r="P1060" s="1"/>
      <c r="Q1060" s="1" t="s">
        <v>7651</v>
      </c>
      <c r="R1060" s="1" t="s">
        <v>6962</v>
      </c>
      <c r="S1060" s="1" t="s">
        <v>8535</v>
      </c>
      <c r="T1060" s="15">
        <v>2024</v>
      </c>
      <c r="U1060" s="3" t="s">
        <v>5765</v>
      </c>
      <c r="V1060" s="3" t="s">
        <v>29</v>
      </c>
      <c r="X1060">
        <v>10</v>
      </c>
      <c r="Z1060" t="s">
        <v>3828</v>
      </c>
      <c r="AA1060" t="s">
        <v>8538</v>
      </c>
      <c r="AB1060" s="14" t="s">
        <v>3888</v>
      </c>
      <c r="AD1060" t="s">
        <v>764</v>
      </c>
    </row>
    <row r="1061" spans="1:30" customFormat="1" ht="27.6" hidden="1" x14ac:dyDescent="0.3">
      <c r="A1061" s="1" t="s">
        <v>2635</v>
      </c>
      <c r="B1061" s="4" t="s">
        <v>8539</v>
      </c>
      <c r="C1061" s="4" t="s">
        <v>6034</v>
      </c>
      <c r="D1061" s="1" t="s">
        <v>8540</v>
      </c>
      <c r="E1061" s="1" t="s">
        <v>8541</v>
      </c>
      <c r="F1061" s="1" t="s">
        <v>8542</v>
      </c>
      <c r="G1061" s="1"/>
      <c r="H1061" s="1"/>
      <c r="I1061" s="1"/>
      <c r="J1061" s="1" t="s">
        <v>72</v>
      </c>
      <c r="K1061" s="1" t="s">
        <v>39</v>
      </c>
      <c r="L1061" s="1" t="s">
        <v>8543</v>
      </c>
      <c r="M1061" s="1" t="s">
        <v>141</v>
      </c>
      <c r="N1061" s="1"/>
      <c r="O1061" s="1" t="s">
        <v>7563</v>
      </c>
      <c r="P1061" s="1"/>
      <c r="Q1061" s="1" t="s">
        <v>7651</v>
      </c>
      <c r="R1061" s="1" t="s">
        <v>5429</v>
      </c>
      <c r="S1061" s="1" t="s">
        <v>8544</v>
      </c>
      <c r="T1061" s="15">
        <v>2024</v>
      </c>
      <c r="U1061" s="3" t="s">
        <v>45</v>
      </c>
      <c r="V1061" s="3" t="s">
        <v>29</v>
      </c>
      <c r="X1061">
        <v>50</v>
      </c>
      <c r="Z1061" t="s">
        <v>2148</v>
      </c>
      <c r="AA1061" t="s">
        <v>8584</v>
      </c>
      <c r="AB1061" s="14" t="s">
        <v>3891</v>
      </c>
      <c r="AD1061" t="s">
        <v>764</v>
      </c>
    </row>
    <row r="1062" spans="1:30" customFormat="1" x14ac:dyDescent="0.3">
      <c r="A1062" s="1"/>
      <c r="B1062" s="1" t="s">
        <v>8545</v>
      </c>
      <c r="C1062" s="1" t="s">
        <v>8546</v>
      </c>
      <c r="D1062" s="1" t="s">
        <v>8547</v>
      </c>
      <c r="E1062" s="1"/>
      <c r="F1062" s="1" t="s">
        <v>8548</v>
      </c>
      <c r="G1062" s="1"/>
      <c r="H1062" s="1"/>
      <c r="I1062" s="1"/>
      <c r="J1062" s="1" t="s">
        <v>2965</v>
      </c>
      <c r="K1062" s="1" t="s">
        <v>39</v>
      </c>
      <c r="L1062" s="1" t="s">
        <v>8549</v>
      </c>
      <c r="M1062" s="1" t="s">
        <v>42</v>
      </c>
      <c r="N1062" s="1"/>
      <c r="O1062" s="1" t="s">
        <v>7563</v>
      </c>
      <c r="P1062" s="1"/>
      <c r="Q1062" s="1" t="s">
        <v>7651</v>
      </c>
      <c r="R1062" s="1" t="s">
        <v>5359</v>
      </c>
      <c r="S1062" s="1" t="s">
        <v>8550</v>
      </c>
      <c r="T1062" s="15">
        <v>2024</v>
      </c>
      <c r="U1062" s="3" t="s">
        <v>5765</v>
      </c>
      <c r="V1062" s="3" t="s">
        <v>29</v>
      </c>
      <c r="Y1062" s="44">
        <v>45899</v>
      </c>
      <c r="Z1062" t="s">
        <v>3828</v>
      </c>
      <c r="AA1062" t="s">
        <v>8585</v>
      </c>
      <c r="AB1062" s="14" t="s">
        <v>3885</v>
      </c>
      <c r="AD1062" t="s">
        <v>764</v>
      </c>
    </row>
    <row r="1063" spans="1:30" customFormat="1" hidden="1" x14ac:dyDescent="0.3">
      <c r="A1063" s="1" t="s">
        <v>1262</v>
      </c>
      <c r="B1063" s="1" t="s">
        <v>8551</v>
      </c>
      <c r="C1063" s="1" t="s">
        <v>79</v>
      </c>
      <c r="D1063" s="1" t="s">
        <v>8552</v>
      </c>
      <c r="E1063" s="1" t="s">
        <v>8553</v>
      </c>
      <c r="F1063" s="1" t="s">
        <v>8554</v>
      </c>
      <c r="G1063" s="1" t="s">
        <v>8555</v>
      </c>
      <c r="H1063" s="1" t="s">
        <v>8556</v>
      </c>
      <c r="I1063" s="1" t="s">
        <v>6896</v>
      </c>
      <c r="J1063" s="1" t="s">
        <v>638</v>
      </c>
      <c r="K1063" s="1" t="s">
        <v>39</v>
      </c>
      <c r="L1063" s="1" t="s">
        <v>8557</v>
      </c>
      <c r="M1063" s="1" t="s">
        <v>42</v>
      </c>
      <c r="N1063" s="1"/>
      <c r="O1063" s="1" t="s">
        <v>7563</v>
      </c>
      <c r="P1063" s="1"/>
      <c r="Q1063" s="1" t="s">
        <v>7651</v>
      </c>
      <c r="R1063" s="1" t="s">
        <v>5359</v>
      </c>
      <c r="S1063" s="1" t="s">
        <v>8558</v>
      </c>
      <c r="T1063" s="15">
        <v>2024</v>
      </c>
      <c r="U1063" s="3" t="s">
        <v>45</v>
      </c>
      <c r="V1063" s="3" t="s">
        <v>29</v>
      </c>
      <c r="X1063">
        <v>10</v>
      </c>
      <c r="Y1063" s="44">
        <v>45899</v>
      </c>
      <c r="Z1063" t="s">
        <v>3835</v>
      </c>
      <c r="AA1063" t="s">
        <v>8586</v>
      </c>
      <c r="AB1063" s="14" t="s">
        <v>3884</v>
      </c>
      <c r="AD1063" t="s">
        <v>764</v>
      </c>
    </row>
    <row r="1064" spans="1:30" customFormat="1" hidden="1" x14ac:dyDescent="0.3">
      <c r="A1064" s="1"/>
      <c r="B1064" s="1" t="s">
        <v>8559</v>
      </c>
      <c r="C1064" s="1" t="s">
        <v>7165</v>
      </c>
      <c r="D1064" s="1" t="s">
        <v>8560</v>
      </c>
      <c r="E1064" s="1" t="s">
        <v>8561</v>
      </c>
      <c r="F1064" s="1" t="s">
        <v>8562</v>
      </c>
      <c r="G1064" s="1" t="s">
        <v>8563</v>
      </c>
      <c r="H1064" s="1" t="s">
        <v>8564</v>
      </c>
      <c r="I1064" s="1" t="s">
        <v>8565</v>
      </c>
      <c r="J1064" s="1" t="s">
        <v>8566</v>
      </c>
      <c r="K1064" s="1" t="s">
        <v>39</v>
      </c>
      <c r="L1064" s="1" t="s">
        <v>731</v>
      </c>
      <c r="M1064" s="1" t="s">
        <v>141</v>
      </c>
      <c r="N1064" s="1"/>
      <c r="O1064" s="1" t="s">
        <v>7563</v>
      </c>
      <c r="P1064" s="1"/>
      <c r="Q1064" s="1" t="s">
        <v>7651</v>
      </c>
      <c r="R1064" s="1" t="s">
        <v>5429</v>
      </c>
      <c r="S1064" s="1" t="s">
        <v>8567</v>
      </c>
      <c r="T1064" s="15">
        <v>2024</v>
      </c>
      <c r="U1064" s="3" t="s">
        <v>45</v>
      </c>
      <c r="V1064" s="3" t="s">
        <v>29</v>
      </c>
      <c r="X1064">
        <v>5</v>
      </c>
      <c r="Z1064" t="s">
        <v>3835</v>
      </c>
      <c r="AA1064" t="s">
        <v>8335</v>
      </c>
      <c r="AB1064" s="14" t="s">
        <v>3884</v>
      </c>
      <c r="AD1064" t="s">
        <v>764</v>
      </c>
    </row>
    <row r="1065" spans="1:30" customFormat="1" hidden="1" x14ac:dyDescent="0.3">
      <c r="A1065" s="1"/>
      <c r="B1065" s="1" t="s">
        <v>8568</v>
      </c>
      <c r="C1065" s="1" t="s">
        <v>734</v>
      </c>
      <c r="D1065" s="1" t="s">
        <v>8569</v>
      </c>
      <c r="E1065" s="1" t="s">
        <v>8570</v>
      </c>
      <c r="F1065" s="1" t="s">
        <v>8571</v>
      </c>
      <c r="G1065" s="1"/>
      <c r="H1065" s="1"/>
      <c r="I1065" s="1"/>
      <c r="J1065" s="1" t="s">
        <v>638</v>
      </c>
      <c r="K1065" s="1" t="s">
        <v>39</v>
      </c>
      <c r="L1065" s="1" t="s">
        <v>731</v>
      </c>
      <c r="M1065" s="1" t="s">
        <v>42</v>
      </c>
      <c r="N1065" s="1"/>
      <c r="O1065" s="1" t="s">
        <v>7563</v>
      </c>
      <c r="P1065" s="1"/>
      <c r="Q1065" s="1" t="s">
        <v>7651</v>
      </c>
      <c r="R1065" s="1" t="s">
        <v>5480</v>
      </c>
      <c r="S1065" s="1" t="s">
        <v>8572</v>
      </c>
      <c r="T1065" s="15">
        <v>2024</v>
      </c>
      <c r="U1065" s="3" t="s">
        <v>45</v>
      </c>
      <c r="V1065" s="3" t="s">
        <v>29</v>
      </c>
      <c r="X1065">
        <v>5</v>
      </c>
      <c r="Z1065" t="s">
        <v>3835</v>
      </c>
      <c r="AA1065" t="s">
        <v>8587</v>
      </c>
      <c r="AB1065" s="14" t="s">
        <v>3884</v>
      </c>
      <c r="AD1065" t="s">
        <v>764</v>
      </c>
    </row>
    <row r="1066" spans="1:30" customFormat="1" x14ac:dyDescent="0.3">
      <c r="A1066" s="1"/>
      <c r="B1066" s="1" t="s">
        <v>8573</v>
      </c>
      <c r="C1066" s="1" t="s">
        <v>6808</v>
      </c>
      <c r="D1066" s="1" t="s">
        <v>8574</v>
      </c>
      <c r="E1066" s="1" t="s">
        <v>8575</v>
      </c>
      <c r="F1066" s="1" t="s">
        <v>8576</v>
      </c>
      <c r="G1066" s="1"/>
      <c r="H1066" s="1"/>
      <c r="I1066" s="1"/>
      <c r="J1066" s="1" t="s">
        <v>72</v>
      </c>
      <c r="K1066" s="1" t="s">
        <v>39</v>
      </c>
      <c r="L1066" s="1" t="s">
        <v>731</v>
      </c>
      <c r="M1066" s="1" t="s">
        <v>42</v>
      </c>
      <c r="N1066" s="1"/>
      <c r="O1066" s="1" t="s">
        <v>7563</v>
      </c>
      <c r="P1066" s="1"/>
      <c r="Q1066" s="1" t="s">
        <v>7651</v>
      </c>
      <c r="R1066" s="1" t="s">
        <v>5480</v>
      </c>
      <c r="S1066" s="1" t="s">
        <v>8577</v>
      </c>
      <c r="T1066" s="15">
        <v>2024</v>
      </c>
      <c r="U1066" s="3" t="s">
        <v>45</v>
      </c>
      <c r="V1066" s="3" t="s">
        <v>29</v>
      </c>
      <c r="Y1066" s="44">
        <v>45899</v>
      </c>
      <c r="Z1066" t="s">
        <v>3828</v>
      </c>
      <c r="AA1066" t="s">
        <v>7887</v>
      </c>
      <c r="AB1066" s="14" t="s">
        <v>3888</v>
      </c>
      <c r="AD1066" t="s">
        <v>764</v>
      </c>
    </row>
    <row r="1067" spans="1:30" customFormat="1" x14ac:dyDescent="0.3">
      <c r="A1067" s="1"/>
      <c r="B1067" s="1" t="s">
        <v>8112</v>
      </c>
      <c r="C1067" s="1" t="s">
        <v>354</v>
      </c>
      <c r="D1067" s="1" t="s">
        <v>8578</v>
      </c>
      <c r="E1067" s="1" t="s">
        <v>8579</v>
      </c>
      <c r="F1067" s="1" t="s">
        <v>8580</v>
      </c>
      <c r="G1067" s="1"/>
      <c r="H1067" s="1"/>
      <c r="I1067" s="1"/>
      <c r="J1067" s="1" t="s">
        <v>8581</v>
      </c>
      <c r="K1067" s="1" t="s">
        <v>39</v>
      </c>
      <c r="L1067" s="1" t="s">
        <v>8582</v>
      </c>
      <c r="M1067" s="1" t="s">
        <v>42</v>
      </c>
      <c r="N1067" s="1"/>
      <c r="O1067" s="1" t="s">
        <v>7563</v>
      </c>
      <c r="P1067" s="1"/>
      <c r="Q1067" s="1" t="s">
        <v>7651</v>
      </c>
      <c r="R1067" s="1" t="s">
        <v>5480</v>
      </c>
      <c r="S1067" s="1" t="s">
        <v>8583</v>
      </c>
      <c r="T1067" s="15">
        <v>2024</v>
      </c>
      <c r="U1067" s="3" t="s">
        <v>45</v>
      </c>
      <c r="V1067" s="3" t="s">
        <v>29</v>
      </c>
      <c r="Y1067" s="44">
        <v>45899</v>
      </c>
      <c r="Z1067" t="s">
        <v>3835</v>
      </c>
      <c r="AA1067" t="s">
        <v>7712</v>
      </c>
      <c r="AB1067" s="14" t="s">
        <v>3888</v>
      </c>
      <c r="AD1067" t="s">
        <v>764</v>
      </c>
    </row>
    <row r="1068" spans="1:30" customFormat="1" ht="27.6" hidden="1" x14ac:dyDescent="0.3">
      <c r="A1068" s="1" t="s">
        <v>6475</v>
      </c>
      <c r="B1068" s="4" t="s">
        <v>8588</v>
      </c>
      <c r="C1068" s="4" t="s">
        <v>1495</v>
      </c>
      <c r="D1068" s="1" t="s">
        <v>8589</v>
      </c>
      <c r="E1068" s="1" t="s">
        <v>8590</v>
      </c>
      <c r="F1068" s="1" t="s">
        <v>8591</v>
      </c>
      <c r="G1068" s="1"/>
      <c r="H1068" s="1" t="s">
        <v>8592</v>
      </c>
      <c r="I1068" s="1"/>
      <c r="J1068" s="1" t="s">
        <v>72</v>
      </c>
      <c r="K1068" s="1" t="s">
        <v>39</v>
      </c>
      <c r="L1068" s="1" t="s">
        <v>8593</v>
      </c>
      <c r="M1068" s="1" t="s">
        <v>141</v>
      </c>
      <c r="N1068" s="1"/>
      <c r="O1068" s="1" t="s">
        <v>7563</v>
      </c>
      <c r="P1068" s="1"/>
      <c r="Q1068" s="1" t="s">
        <v>7651</v>
      </c>
      <c r="R1068" s="1" t="s">
        <v>5480</v>
      </c>
      <c r="S1068" s="1" t="s">
        <v>8594</v>
      </c>
      <c r="T1068" s="15">
        <v>2024</v>
      </c>
      <c r="U1068" s="3" t="s">
        <v>45</v>
      </c>
      <c r="V1068" s="3" t="s">
        <v>29</v>
      </c>
      <c r="X1068">
        <v>5</v>
      </c>
      <c r="Z1068" t="s">
        <v>2148</v>
      </c>
      <c r="AA1068" t="s">
        <v>8611</v>
      </c>
      <c r="AB1068" s="14" t="s">
        <v>3890</v>
      </c>
      <c r="AD1068" t="s">
        <v>764</v>
      </c>
    </row>
    <row r="1069" spans="1:30" customFormat="1" hidden="1" x14ac:dyDescent="0.3">
      <c r="A1069" s="1"/>
      <c r="B1069" s="1" t="s">
        <v>8595</v>
      </c>
      <c r="C1069" s="1" t="s">
        <v>3356</v>
      </c>
      <c r="D1069" s="1" t="s">
        <v>8596</v>
      </c>
      <c r="E1069" s="1" t="s">
        <v>8597</v>
      </c>
      <c r="F1069" s="1" t="s">
        <v>8598</v>
      </c>
      <c r="G1069" s="1"/>
      <c r="H1069" s="1"/>
      <c r="I1069" s="1"/>
      <c r="J1069" s="1" t="s">
        <v>72</v>
      </c>
      <c r="K1069" s="1" t="s">
        <v>39</v>
      </c>
      <c r="L1069" s="1" t="s">
        <v>8599</v>
      </c>
      <c r="M1069" s="1" t="s">
        <v>141</v>
      </c>
      <c r="N1069" s="1"/>
      <c r="O1069" s="1" t="s">
        <v>7563</v>
      </c>
      <c r="P1069" s="1"/>
      <c r="Q1069" s="1" t="s">
        <v>7651</v>
      </c>
      <c r="R1069" s="1" t="s">
        <v>5429</v>
      </c>
      <c r="S1069" s="1" t="s">
        <v>8600</v>
      </c>
      <c r="T1069" s="15">
        <v>2024</v>
      </c>
      <c r="U1069" s="3" t="s">
        <v>45</v>
      </c>
      <c r="V1069" s="3" t="s">
        <v>29</v>
      </c>
      <c r="W1069" s="3" t="s">
        <v>8346</v>
      </c>
      <c r="X1069">
        <v>5</v>
      </c>
      <c r="Z1069" t="s">
        <v>2148</v>
      </c>
      <c r="AA1069" t="s">
        <v>8612</v>
      </c>
      <c r="AB1069" s="14" t="s">
        <v>3890</v>
      </c>
    </row>
    <row r="1070" spans="1:30" customFormat="1" hidden="1" x14ac:dyDescent="0.3">
      <c r="A1070" s="1"/>
      <c r="B1070" s="1" t="s">
        <v>8601</v>
      </c>
      <c r="C1070" s="1" t="s">
        <v>8602</v>
      </c>
      <c r="D1070" s="1" t="s">
        <v>8603</v>
      </c>
      <c r="E1070" s="1" t="s">
        <v>8604</v>
      </c>
      <c r="F1070" s="1" t="s">
        <v>8605</v>
      </c>
      <c r="G1070" s="1" t="s">
        <v>8606</v>
      </c>
      <c r="H1070" s="1" t="s">
        <v>8607</v>
      </c>
      <c r="I1070" s="1" t="s">
        <v>8608</v>
      </c>
      <c r="J1070" s="1" t="s">
        <v>284</v>
      </c>
      <c r="K1070" s="1" t="s">
        <v>39</v>
      </c>
      <c r="L1070" s="1" t="s">
        <v>8609</v>
      </c>
      <c r="M1070" s="1" t="s">
        <v>42</v>
      </c>
      <c r="N1070" s="1"/>
      <c r="O1070" s="1" t="s">
        <v>7563</v>
      </c>
      <c r="P1070" s="1"/>
      <c r="Q1070" s="1" t="s">
        <v>7651</v>
      </c>
      <c r="R1070" s="1" t="s">
        <v>5359</v>
      </c>
      <c r="S1070" s="1" t="s">
        <v>8610</v>
      </c>
      <c r="T1070" s="15">
        <v>2024</v>
      </c>
      <c r="U1070" s="3" t="s">
        <v>5765</v>
      </c>
      <c r="V1070" s="3" t="s">
        <v>29</v>
      </c>
      <c r="X1070">
        <v>200</v>
      </c>
      <c r="Z1070" t="s">
        <v>6312</v>
      </c>
      <c r="AA1070" t="s">
        <v>8335</v>
      </c>
      <c r="AB1070" s="14" t="s">
        <v>3884</v>
      </c>
      <c r="AD1070" t="s">
        <v>764</v>
      </c>
    </row>
    <row r="1071" spans="1:30" customFormat="1" hidden="1" x14ac:dyDescent="0.3">
      <c r="A1071" s="1" t="s">
        <v>7555</v>
      </c>
      <c r="B1071" s="4" t="s">
        <v>8613</v>
      </c>
      <c r="C1071" s="4" t="s">
        <v>8614</v>
      </c>
      <c r="D1071" s="1" t="s">
        <v>8615</v>
      </c>
      <c r="E1071" s="1" t="s">
        <v>8616</v>
      </c>
      <c r="F1071" s="1" t="s">
        <v>8617</v>
      </c>
      <c r="G1071" s="1"/>
      <c r="H1071" s="1" t="s">
        <v>8618</v>
      </c>
      <c r="I1071" s="1" t="s">
        <v>8619</v>
      </c>
      <c r="J1071" s="1" t="s">
        <v>1060</v>
      </c>
      <c r="K1071" s="1" t="s">
        <v>39</v>
      </c>
      <c r="L1071" s="1" t="s">
        <v>8182</v>
      </c>
      <c r="M1071" s="1" t="s">
        <v>42</v>
      </c>
      <c r="N1071" s="1"/>
      <c r="O1071" s="1" t="s">
        <v>7563</v>
      </c>
      <c r="P1071" s="1"/>
      <c r="Q1071" s="1" t="s">
        <v>7651</v>
      </c>
      <c r="R1071" s="1" t="s">
        <v>5480</v>
      </c>
      <c r="S1071" s="1" t="s">
        <v>8620</v>
      </c>
      <c r="T1071" s="15">
        <v>2024</v>
      </c>
      <c r="U1071" s="3" t="s">
        <v>5765</v>
      </c>
      <c r="V1071" s="3" t="s">
        <v>29</v>
      </c>
      <c r="X1071">
        <v>5</v>
      </c>
      <c r="Z1071" t="s">
        <v>3835</v>
      </c>
      <c r="AA1071" t="s">
        <v>8335</v>
      </c>
      <c r="AB1071" s="14" t="s">
        <v>3884</v>
      </c>
      <c r="AD1071" t="s">
        <v>764</v>
      </c>
    </row>
    <row r="1072" spans="1:30" customFormat="1" ht="27.6" hidden="1" x14ac:dyDescent="0.3">
      <c r="A1072" s="1" t="s">
        <v>22</v>
      </c>
      <c r="B1072" s="1" t="s">
        <v>8621</v>
      </c>
      <c r="C1072" s="1" t="s">
        <v>229</v>
      </c>
      <c r="D1072" s="1" t="s">
        <v>8622</v>
      </c>
      <c r="E1072" s="1"/>
      <c r="F1072" s="1" t="s">
        <v>8623</v>
      </c>
      <c r="G1072" s="1"/>
      <c r="H1072" s="1" t="s">
        <v>72</v>
      </c>
      <c r="I1072" s="1"/>
      <c r="J1072" s="1" t="s">
        <v>72</v>
      </c>
      <c r="K1072" s="1" t="s">
        <v>39</v>
      </c>
      <c r="L1072" s="1" t="s">
        <v>8624</v>
      </c>
      <c r="M1072" s="1" t="s">
        <v>141</v>
      </c>
      <c r="N1072" s="1"/>
      <c r="O1072" s="1" t="s">
        <v>7563</v>
      </c>
      <c r="P1072" s="1"/>
      <c r="Q1072" s="1" t="s">
        <v>7651</v>
      </c>
      <c r="R1072" s="1" t="s">
        <v>5480</v>
      </c>
      <c r="S1072" s="1" t="s">
        <v>8625</v>
      </c>
      <c r="T1072" s="15">
        <v>2024</v>
      </c>
      <c r="U1072" s="3" t="s">
        <v>5765</v>
      </c>
      <c r="V1072" s="3" t="s">
        <v>29</v>
      </c>
      <c r="X1072">
        <v>5</v>
      </c>
      <c r="Z1072" t="s">
        <v>3835</v>
      </c>
      <c r="AA1072" t="s">
        <v>7139</v>
      </c>
      <c r="AB1072" s="14" t="s">
        <v>3884</v>
      </c>
      <c r="AD1072" t="s">
        <v>764</v>
      </c>
    </row>
    <row r="1073" spans="1:30" customFormat="1" hidden="1" x14ac:dyDescent="0.3">
      <c r="A1073" s="1" t="s">
        <v>8626</v>
      </c>
      <c r="B1073" s="1" t="s">
        <v>8627</v>
      </c>
      <c r="C1073" s="1" t="s">
        <v>4095</v>
      </c>
      <c r="D1073" s="1" t="s">
        <v>8628</v>
      </c>
      <c r="E1073" s="1" t="s">
        <v>8629</v>
      </c>
      <c r="F1073" s="1" t="s">
        <v>8630</v>
      </c>
      <c r="G1073" s="1"/>
      <c r="H1073" s="1"/>
      <c r="I1073" s="1"/>
      <c r="J1073" s="1" t="s">
        <v>8631</v>
      </c>
      <c r="K1073" s="1" t="s">
        <v>39</v>
      </c>
      <c r="L1073" s="1" t="s">
        <v>8632</v>
      </c>
      <c r="M1073" s="1" t="s">
        <v>141</v>
      </c>
      <c r="N1073" s="1"/>
      <c r="O1073" s="1" t="s">
        <v>7563</v>
      </c>
      <c r="P1073" s="1"/>
      <c r="Q1073" s="1" t="s">
        <v>7651</v>
      </c>
      <c r="R1073" s="1" t="s">
        <v>5480</v>
      </c>
      <c r="S1073" s="1" t="s">
        <v>8633</v>
      </c>
      <c r="T1073" s="15">
        <v>2024</v>
      </c>
      <c r="U1073" s="3" t="s">
        <v>5765</v>
      </c>
      <c r="V1073" s="3" t="s">
        <v>29</v>
      </c>
      <c r="X1073">
        <v>5</v>
      </c>
      <c r="Z1073" t="s">
        <v>3870</v>
      </c>
      <c r="AA1073" t="s">
        <v>1342</v>
      </c>
      <c r="AB1073" s="14" t="s">
        <v>3886</v>
      </c>
      <c r="AD1073" t="s">
        <v>764</v>
      </c>
    </row>
    <row r="1074" spans="1:30" customFormat="1" ht="27.6" hidden="1" x14ac:dyDescent="0.3">
      <c r="A1074" s="1" t="s">
        <v>8634</v>
      </c>
      <c r="B1074" s="1" t="s">
        <v>8635</v>
      </c>
      <c r="C1074" s="1" t="s">
        <v>79</v>
      </c>
      <c r="D1074" s="1" t="s">
        <v>8636</v>
      </c>
      <c r="E1074" s="1" t="s">
        <v>8637</v>
      </c>
      <c r="F1074" s="1" t="s">
        <v>8638</v>
      </c>
      <c r="G1074" s="1"/>
      <c r="H1074" s="1" t="s">
        <v>1606</v>
      </c>
      <c r="I1074" s="1" t="s">
        <v>8639</v>
      </c>
      <c r="J1074" s="1" t="s">
        <v>8640</v>
      </c>
      <c r="K1074" s="1" t="s">
        <v>39</v>
      </c>
      <c r="L1074" s="1" t="s">
        <v>8641</v>
      </c>
      <c r="M1074" s="1" t="s">
        <v>42</v>
      </c>
      <c r="N1074" s="1"/>
      <c r="O1074" s="1" t="s">
        <v>7563</v>
      </c>
      <c r="P1074" s="1"/>
      <c r="Q1074" s="1" t="s">
        <v>7651</v>
      </c>
      <c r="R1074" s="1" t="s">
        <v>5480</v>
      </c>
      <c r="S1074" s="1" t="s">
        <v>8642</v>
      </c>
      <c r="T1074" s="15">
        <v>2024</v>
      </c>
      <c r="U1074" s="3" t="s">
        <v>5765</v>
      </c>
      <c r="V1074" s="3" t="s">
        <v>29</v>
      </c>
      <c r="X1074">
        <v>5</v>
      </c>
      <c r="Z1074" t="s">
        <v>3835</v>
      </c>
      <c r="AA1074" t="s">
        <v>8587</v>
      </c>
      <c r="AB1074" s="14" t="s">
        <v>3884</v>
      </c>
      <c r="AD1074" t="s">
        <v>764</v>
      </c>
    </row>
    <row r="1075" spans="1:30" customFormat="1" x14ac:dyDescent="0.3">
      <c r="A1075" s="1"/>
      <c r="B1075" s="1" t="s">
        <v>7739</v>
      </c>
      <c r="C1075" s="1" t="s">
        <v>79</v>
      </c>
      <c r="D1075" s="1" t="s">
        <v>8643</v>
      </c>
      <c r="E1075" s="1" t="s">
        <v>8644</v>
      </c>
      <c r="F1075" s="1" t="s">
        <v>8645</v>
      </c>
      <c r="G1075" s="1" t="s">
        <v>8646</v>
      </c>
      <c r="H1075" s="1"/>
      <c r="I1075" s="1"/>
      <c r="J1075" s="1" t="s">
        <v>3015</v>
      </c>
      <c r="K1075" s="1" t="s">
        <v>39</v>
      </c>
      <c r="L1075" s="1" t="s">
        <v>8647</v>
      </c>
      <c r="M1075" s="1" t="s">
        <v>42</v>
      </c>
      <c r="N1075" s="1"/>
      <c r="O1075" s="1" t="s">
        <v>7563</v>
      </c>
      <c r="P1075" s="1"/>
      <c r="Q1075" s="1" t="s">
        <v>7651</v>
      </c>
      <c r="R1075" s="1" t="s">
        <v>5359</v>
      </c>
      <c r="S1075" s="1" t="s">
        <v>8648</v>
      </c>
      <c r="T1075" s="15">
        <v>2024</v>
      </c>
      <c r="U1075" s="3" t="s">
        <v>5765</v>
      </c>
      <c r="V1075" s="3" t="s">
        <v>29</v>
      </c>
      <c r="Y1075" s="44">
        <v>45899</v>
      </c>
      <c r="Z1075" t="s">
        <v>2148</v>
      </c>
      <c r="AA1075" t="s">
        <v>8677</v>
      </c>
      <c r="AB1075" s="14" t="s">
        <v>3890</v>
      </c>
      <c r="AD1075" t="s">
        <v>764</v>
      </c>
    </row>
    <row r="1076" spans="1:30" customFormat="1" ht="27.6" hidden="1" x14ac:dyDescent="0.3">
      <c r="A1076" s="1" t="s">
        <v>5868</v>
      </c>
      <c r="B1076" s="1" t="s">
        <v>8649</v>
      </c>
      <c r="C1076" s="1" t="s">
        <v>8650</v>
      </c>
      <c r="D1076" s="1" t="s">
        <v>8651</v>
      </c>
      <c r="E1076" s="1" t="s">
        <v>8652</v>
      </c>
      <c r="F1076" s="1" t="s">
        <v>8653</v>
      </c>
      <c r="G1076" s="1"/>
      <c r="H1076" s="1" t="s">
        <v>8654</v>
      </c>
      <c r="I1076" s="1" t="s">
        <v>8655</v>
      </c>
      <c r="J1076" s="1" t="s">
        <v>8656</v>
      </c>
      <c r="K1076" s="1" t="s">
        <v>39</v>
      </c>
      <c r="L1076" s="1" t="s">
        <v>8657</v>
      </c>
      <c r="M1076" s="1" t="s">
        <v>141</v>
      </c>
      <c r="N1076" s="1"/>
      <c r="O1076" s="1" t="s">
        <v>7563</v>
      </c>
      <c r="P1076" s="1"/>
      <c r="Q1076" s="1" t="s">
        <v>7651</v>
      </c>
      <c r="R1076" s="1" t="s">
        <v>5480</v>
      </c>
      <c r="S1076" s="1" t="s">
        <v>8658</v>
      </c>
      <c r="T1076" s="15">
        <v>2024</v>
      </c>
      <c r="U1076" s="3" t="s">
        <v>5765</v>
      </c>
      <c r="V1076" s="3" t="s">
        <v>29</v>
      </c>
      <c r="X1076">
        <v>5</v>
      </c>
      <c r="Z1076" t="s">
        <v>3835</v>
      </c>
      <c r="AA1076" t="s">
        <v>8335</v>
      </c>
      <c r="AB1076" s="14" t="s">
        <v>3884</v>
      </c>
      <c r="AD1076" t="s">
        <v>764</v>
      </c>
    </row>
    <row r="1077" spans="1:30" customFormat="1" x14ac:dyDescent="0.3">
      <c r="A1077" s="1" t="s">
        <v>8659</v>
      </c>
      <c r="B1077" s="1" t="s">
        <v>8660</v>
      </c>
      <c r="C1077" s="1" t="s">
        <v>8661</v>
      </c>
      <c r="D1077" s="1" t="s">
        <v>8662</v>
      </c>
      <c r="E1077" s="1" t="s">
        <v>8663</v>
      </c>
      <c r="F1077" s="1" t="s">
        <v>8664</v>
      </c>
      <c r="G1077" s="1" t="s">
        <v>8665</v>
      </c>
      <c r="H1077" s="1"/>
      <c r="I1077" s="1"/>
      <c r="J1077" s="1" t="s">
        <v>8666</v>
      </c>
      <c r="K1077" s="1" t="s">
        <v>39</v>
      </c>
      <c r="L1077" s="1" t="s">
        <v>1304</v>
      </c>
      <c r="M1077" s="1" t="s">
        <v>42</v>
      </c>
      <c r="N1077" s="1"/>
      <c r="O1077" s="1" t="s">
        <v>7563</v>
      </c>
      <c r="P1077" s="1"/>
      <c r="Q1077" s="1" t="s">
        <v>7651</v>
      </c>
      <c r="R1077" s="1" t="s">
        <v>5359</v>
      </c>
      <c r="S1077" s="1" t="s">
        <v>8667</v>
      </c>
      <c r="T1077" s="15">
        <v>2024</v>
      </c>
      <c r="U1077" s="3" t="s">
        <v>5765</v>
      </c>
      <c r="V1077" s="3" t="s">
        <v>29</v>
      </c>
      <c r="Y1077" s="44">
        <v>45899</v>
      </c>
      <c r="Z1077" t="s">
        <v>2148</v>
      </c>
      <c r="AA1077" t="s">
        <v>8677</v>
      </c>
      <c r="AB1077" s="14" t="s">
        <v>3890</v>
      </c>
      <c r="AD1077" t="s">
        <v>764</v>
      </c>
    </row>
    <row r="1078" spans="1:30" customFormat="1" hidden="1" x14ac:dyDescent="0.3">
      <c r="A1078" s="1" t="s">
        <v>6122</v>
      </c>
      <c r="B1078" s="1" t="s">
        <v>8668</v>
      </c>
      <c r="C1078" s="1" t="s">
        <v>8669</v>
      </c>
      <c r="D1078" s="1" t="s">
        <v>8670</v>
      </c>
      <c r="E1078" s="1" t="s">
        <v>8671</v>
      </c>
      <c r="F1078" s="1" t="s">
        <v>8672</v>
      </c>
      <c r="G1078" s="1"/>
      <c r="H1078" s="1" t="s">
        <v>8673</v>
      </c>
      <c r="I1078" s="1" t="s">
        <v>8674</v>
      </c>
      <c r="J1078" s="1" t="s">
        <v>7874</v>
      </c>
      <c r="K1078" s="1" t="s">
        <v>39</v>
      </c>
      <c r="L1078" s="1" t="s">
        <v>8675</v>
      </c>
      <c r="M1078" s="1" t="s">
        <v>141</v>
      </c>
      <c r="N1078" s="1"/>
      <c r="O1078" s="1" t="s">
        <v>7563</v>
      </c>
      <c r="P1078" s="1"/>
      <c r="Q1078" s="1" t="s">
        <v>7651</v>
      </c>
      <c r="R1078" s="1" t="s">
        <v>5359</v>
      </c>
      <c r="S1078" s="1" t="s">
        <v>8676</v>
      </c>
      <c r="T1078" s="15">
        <v>2024</v>
      </c>
      <c r="U1078" s="3" t="s">
        <v>5765</v>
      </c>
      <c r="V1078" s="3" t="s">
        <v>29</v>
      </c>
      <c r="X1078">
        <v>5</v>
      </c>
      <c r="Z1078" t="s">
        <v>6146</v>
      </c>
      <c r="AA1078" t="s">
        <v>8678</v>
      </c>
      <c r="AB1078" s="14" t="s">
        <v>3891</v>
      </c>
      <c r="AD1078" t="s">
        <v>8679</v>
      </c>
    </row>
    <row r="1079" spans="1:30" customFormat="1" hidden="1" x14ac:dyDescent="0.3">
      <c r="A1079" s="1" t="s">
        <v>460</v>
      </c>
      <c r="B1079" s="4" t="s">
        <v>8680</v>
      </c>
      <c r="C1079" s="4" t="s">
        <v>1732</v>
      </c>
      <c r="D1079" s="1" t="s">
        <v>8681</v>
      </c>
      <c r="E1079" s="1"/>
      <c r="F1079" s="1" t="s">
        <v>8682</v>
      </c>
      <c r="G1079" s="1"/>
      <c r="H1079" s="1" t="s">
        <v>908</v>
      </c>
      <c r="I1079" s="1" t="s">
        <v>8683</v>
      </c>
      <c r="J1079" s="1" t="s">
        <v>284</v>
      </c>
      <c r="K1079" s="1" t="s">
        <v>39</v>
      </c>
      <c r="L1079" s="1" t="s">
        <v>8684</v>
      </c>
      <c r="M1079" s="1" t="s">
        <v>141</v>
      </c>
      <c r="N1079" s="1"/>
      <c r="O1079" s="1" t="s">
        <v>7563</v>
      </c>
      <c r="P1079" s="1" t="s">
        <v>7724</v>
      </c>
      <c r="Q1079" s="1"/>
      <c r="R1079" s="1" t="s">
        <v>5371</v>
      </c>
      <c r="S1079" s="1" t="s">
        <v>8685</v>
      </c>
      <c r="T1079" s="15">
        <v>2025</v>
      </c>
      <c r="U1079" s="3" t="s">
        <v>5765</v>
      </c>
      <c r="V1079" s="3" t="s">
        <v>29</v>
      </c>
      <c r="X1079">
        <v>5</v>
      </c>
      <c r="Z1079" t="s">
        <v>3870</v>
      </c>
      <c r="AA1079" t="s">
        <v>8715</v>
      </c>
      <c r="AB1079" s="14" t="s">
        <v>3886</v>
      </c>
      <c r="AD1079" t="s">
        <v>764</v>
      </c>
    </row>
    <row r="1080" spans="1:30" customFormat="1" hidden="1" x14ac:dyDescent="0.3">
      <c r="A1080" s="1" t="s">
        <v>2635</v>
      </c>
      <c r="B1080" s="1" t="s">
        <v>8686</v>
      </c>
      <c r="C1080" s="1" t="s">
        <v>994</v>
      </c>
      <c r="D1080" s="1" t="s">
        <v>8687</v>
      </c>
      <c r="E1080" s="1" t="s">
        <v>8688</v>
      </c>
      <c r="F1080" s="1" t="s">
        <v>8689</v>
      </c>
      <c r="G1080" s="1"/>
      <c r="H1080" s="1" t="s">
        <v>8690</v>
      </c>
      <c r="I1080" s="1" t="s">
        <v>191</v>
      </c>
      <c r="J1080" s="1" t="s">
        <v>72</v>
      </c>
      <c r="K1080" s="1" t="s">
        <v>39</v>
      </c>
      <c r="L1080" s="1" t="s">
        <v>8691</v>
      </c>
      <c r="M1080" s="1" t="s">
        <v>141</v>
      </c>
      <c r="N1080" s="1"/>
      <c r="O1080" s="1" t="s">
        <v>7563</v>
      </c>
      <c r="P1080" s="1"/>
      <c r="Q1080" s="1" t="s">
        <v>7651</v>
      </c>
      <c r="R1080" s="1" t="s">
        <v>5359</v>
      </c>
      <c r="S1080" s="1" t="s">
        <v>8692</v>
      </c>
      <c r="T1080" s="15">
        <v>2025</v>
      </c>
      <c r="U1080" s="3" t="s">
        <v>5765</v>
      </c>
      <c r="V1080" s="3" t="s">
        <v>29</v>
      </c>
      <c r="X1080">
        <v>5</v>
      </c>
      <c r="Z1080" t="s">
        <v>3870</v>
      </c>
      <c r="AA1080" t="s">
        <v>5775</v>
      </c>
      <c r="AB1080" s="14" t="s">
        <v>3886</v>
      </c>
      <c r="AD1080" t="s">
        <v>764</v>
      </c>
    </row>
    <row r="1081" spans="1:30" customFormat="1" ht="41.4" hidden="1" x14ac:dyDescent="0.3">
      <c r="A1081" s="1"/>
      <c r="B1081" s="1" t="s">
        <v>1445</v>
      </c>
      <c r="C1081" s="1" t="s">
        <v>806</v>
      </c>
      <c r="D1081" s="1" t="s">
        <v>8693</v>
      </c>
      <c r="E1081" s="1"/>
      <c r="F1081" s="1" t="s">
        <v>8694</v>
      </c>
      <c r="G1081" s="1" t="s">
        <v>8695</v>
      </c>
      <c r="H1081" s="1" t="s">
        <v>8696</v>
      </c>
      <c r="I1081" s="1" t="s">
        <v>637</v>
      </c>
      <c r="J1081" s="1" t="s">
        <v>72</v>
      </c>
      <c r="K1081" s="1" t="s">
        <v>39</v>
      </c>
      <c r="L1081" s="1" t="s">
        <v>8697</v>
      </c>
      <c r="M1081" s="1" t="s">
        <v>141</v>
      </c>
      <c r="N1081" s="1"/>
      <c r="O1081" s="1" t="s">
        <v>7563</v>
      </c>
      <c r="P1081" s="1"/>
      <c r="Q1081" s="1" t="s">
        <v>7651</v>
      </c>
      <c r="R1081" s="1" t="s">
        <v>5655</v>
      </c>
      <c r="S1081" s="1" t="s">
        <v>8698</v>
      </c>
      <c r="T1081" s="15">
        <v>2025</v>
      </c>
      <c r="U1081" s="3" t="s">
        <v>5765</v>
      </c>
      <c r="V1081" s="3" t="s">
        <v>29</v>
      </c>
      <c r="X1081">
        <v>5</v>
      </c>
      <c r="Z1081" t="s">
        <v>2148</v>
      </c>
      <c r="AA1081" t="s">
        <v>8716</v>
      </c>
      <c r="AB1081" s="14" t="s">
        <v>4594</v>
      </c>
      <c r="AD1081" t="s">
        <v>764</v>
      </c>
    </row>
    <row r="1082" spans="1:30" customFormat="1" hidden="1" x14ac:dyDescent="0.3">
      <c r="A1082" s="1"/>
      <c r="B1082" s="1" t="s">
        <v>8699</v>
      </c>
      <c r="C1082" s="1" t="s">
        <v>60</v>
      </c>
      <c r="D1082" s="1" t="s">
        <v>8700</v>
      </c>
      <c r="E1082" s="1" t="s">
        <v>8701</v>
      </c>
      <c r="F1082" s="1" t="s">
        <v>8702</v>
      </c>
      <c r="G1082" s="1" t="s">
        <v>8703</v>
      </c>
      <c r="H1082" s="1" t="s">
        <v>4640</v>
      </c>
      <c r="I1082" s="1" t="s">
        <v>8704</v>
      </c>
      <c r="J1082" s="1" t="s">
        <v>72</v>
      </c>
      <c r="K1082" s="1" t="s">
        <v>39</v>
      </c>
      <c r="L1082" s="1" t="s">
        <v>8705</v>
      </c>
      <c r="M1082" s="1" t="s">
        <v>141</v>
      </c>
      <c r="N1082" s="1"/>
      <c r="O1082" s="1" t="s">
        <v>7563</v>
      </c>
      <c r="P1082" s="1"/>
      <c r="Q1082" s="1" t="s">
        <v>7651</v>
      </c>
      <c r="R1082" s="1" t="s">
        <v>5371</v>
      </c>
      <c r="S1082" s="1" t="s">
        <v>8706</v>
      </c>
      <c r="T1082" s="15">
        <v>2025</v>
      </c>
      <c r="U1082" s="3" t="s">
        <v>5765</v>
      </c>
      <c r="V1082" s="3" t="s">
        <v>29</v>
      </c>
      <c r="X1082">
        <v>5</v>
      </c>
      <c r="Z1082" t="s">
        <v>3828</v>
      </c>
      <c r="AA1082" t="s">
        <v>8717</v>
      </c>
      <c r="AB1082" s="14" t="s">
        <v>3888</v>
      </c>
      <c r="AD1082" t="s">
        <v>764</v>
      </c>
    </row>
    <row r="1083" spans="1:30" customFormat="1" ht="41.4" x14ac:dyDescent="0.3">
      <c r="A1083" s="1"/>
      <c r="B1083" s="1" t="s">
        <v>7600</v>
      </c>
      <c r="C1083" s="1" t="s">
        <v>1321</v>
      </c>
      <c r="D1083" s="1" t="s">
        <v>8829</v>
      </c>
      <c r="E1083" s="1" t="s">
        <v>8830</v>
      </c>
      <c r="F1083" s="1" t="s">
        <v>8831</v>
      </c>
      <c r="G1083" s="1" t="s">
        <v>8832</v>
      </c>
      <c r="H1083" s="1" t="s">
        <v>7203</v>
      </c>
      <c r="I1083" s="1" t="s">
        <v>8833</v>
      </c>
      <c r="J1083" s="1" t="s">
        <v>8834</v>
      </c>
      <c r="K1083" s="1" t="s">
        <v>39</v>
      </c>
      <c r="L1083" s="1" t="s">
        <v>8835</v>
      </c>
      <c r="M1083" s="1" t="s">
        <v>141</v>
      </c>
      <c r="N1083" s="1"/>
      <c r="O1083" s="1" t="s">
        <v>7563</v>
      </c>
      <c r="P1083" s="1"/>
      <c r="Q1083" s="1" t="s">
        <v>7651</v>
      </c>
      <c r="R1083" s="1" t="s">
        <v>5480</v>
      </c>
      <c r="S1083" s="1" t="s">
        <v>8836</v>
      </c>
      <c r="T1083" s="15">
        <v>2025</v>
      </c>
      <c r="U1083" s="3" t="s">
        <v>7275</v>
      </c>
      <c r="V1083" s="3" t="s">
        <v>29</v>
      </c>
      <c r="Y1083" s="44">
        <v>45899</v>
      </c>
    </row>
    <row r="1084" spans="1:30" customFormat="1" ht="41.4" hidden="1" x14ac:dyDescent="0.3">
      <c r="A1084" s="1"/>
      <c r="B1084" s="1" t="s">
        <v>4203</v>
      </c>
      <c r="C1084" s="1" t="s">
        <v>8707</v>
      </c>
      <c r="D1084" s="1" t="s">
        <v>8708</v>
      </c>
      <c r="E1084" s="1" t="s">
        <v>8709</v>
      </c>
      <c r="F1084" s="1" t="s">
        <v>8710</v>
      </c>
      <c r="G1084" s="1" t="s">
        <v>8711</v>
      </c>
      <c r="H1084" s="1" t="s">
        <v>8712</v>
      </c>
      <c r="I1084" s="1"/>
      <c r="J1084" s="1" t="s">
        <v>1123</v>
      </c>
      <c r="K1084" s="1" t="s">
        <v>39</v>
      </c>
      <c r="L1084" s="1" t="s">
        <v>8713</v>
      </c>
      <c r="M1084" s="1" t="s">
        <v>141</v>
      </c>
      <c r="N1084" s="1"/>
      <c r="O1084" s="1" t="s">
        <v>7563</v>
      </c>
      <c r="P1084" s="1"/>
      <c r="Q1084" s="1" t="s">
        <v>7651</v>
      </c>
      <c r="R1084" s="1" t="s">
        <v>5359</v>
      </c>
      <c r="S1084" s="1" t="s">
        <v>8714</v>
      </c>
      <c r="T1084" s="15">
        <v>2025</v>
      </c>
      <c r="U1084" s="3" t="s">
        <v>5765</v>
      </c>
      <c r="V1084" s="3" t="s">
        <v>29</v>
      </c>
      <c r="X1084">
        <v>5</v>
      </c>
      <c r="Z1084" t="s">
        <v>3835</v>
      </c>
      <c r="AA1084" t="s">
        <v>7926</v>
      </c>
      <c r="AB1084" s="14" t="s">
        <v>3884</v>
      </c>
      <c r="AD1084" t="s">
        <v>764</v>
      </c>
    </row>
    <row r="1085" spans="1:30" customFormat="1" ht="41.4" hidden="1" x14ac:dyDescent="0.3">
      <c r="A1085" s="1" t="s">
        <v>4040</v>
      </c>
      <c r="B1085" s="4" t="s">
        <v>666</v>
      </c>
      <c r="C1085" s="4" t="s">
        <v>8005</v>
      </c>
      <c r="D1085" s="1" t="s">
        <v>8784</v>
      </c>
      <c r="E1085" s="1" t="s">
        <v>8785</v>
      </c>
      <c r="F1085" s="1" t="s">
        <v>8786</v>
      </c>
      <c r="G1085" s="1" t="s">
        <v>8787</v>
      </c>
      <c r="H1085" s="1" t="s">
        <v>8788</v>
      </c>
      <c r="I1085" s="1" t="s">
        <v>8789</v>
      </c>
      <c r="J1085" s="1" t="s">
        <v>72</v>
      </c>
      <c r="K1085" s="1" t="s">
        <v>39</v>
      </c>
      <c r="L1085" s="1" t="s">
        <v>8790</v>
      </c>
      <c r="M1085" s="1" t="s">
        <v>141</v>
      </c>
      <c r="N1085" s="1" t="s">
        <v>8791</v>
      </c>
      <c r="O1085" s="1" t="s">
        <v>7563</v>
      </c>
      <c r="P1085" s="1"/>
      <c r="Q1085" s="1" t="s">
        <v>7651</v>
      </c>
      <c r="R1085" s="1" t="s">
        <v>5429</v>
      </c>
      <c r="S1085" s="1" t="s">
        <v>8792</v>
      </c>
      <c r="T1085" s="15">
        <v>2025</v>
      </c>
      <c r="U1085" s="3" t="s">
        <v>5765</v>
      </c>
      <c r="V1085" s="3" t="s">
        <v>29</v>
      </c>
      <c r="X1085">
        <v>15</v>
      </c>
      <c r="Z1085" t="s">
        <v>3828</v>
      </c>
      <c r="AA1085" t="s">
        <v>8793</v>
      </c>
      <c r="AB1085" s="14" t="s">
        <v>3888</v>
      </c>
      <c r="AD1085" t="s">
        <v>764</v>
      </c>
    </row>
    <row r="1086" spans="1:30" customFormat="1" ht="27.6" hidden="1" x14ac:dyDescent="0.3">
      <c r="A1086" s="1" t="s">
        <v>8719</v>
      </c>
      <c r="B1086" s="1" t="s">
        <v>8720</v>
      </c>
      <c r="C1086" s="1" t="s">
        <v>8721</v>
      </c>
      <c r="D1086" s="1" t="s">
        <v>8722</v>
      </c>
      <c r="E1086" s="1" t="s">
        <v>8723</v>
      </c>
      <c r="F1086" s="1" t="s">
        <v>8724</v>
      </c>
      <c r="G1086" s="1"/>
      <c r="H1086" s="1" t="s">
        <v>8725</v>
      </c>
      <c r="I1086" s="1" t="s">
        <v>8726</v>
      </c>
      <c r="J1086" s="1" t="s">
        <v>1060</v>
      </c>
      <c r="K1086" s="1" t="s">
        <v>39</v>
      </c>
      <c r="L1086" s="1" t="s">
        <v>8727</v>
      </c>
      <c r="M1086" s="1" t="s">
        <v>152</v>
      </c>
      <c r="N1086" s="1"/>
      <c r="O1086" s="1" t="s">
        <v>7563</v>
      </c>
      <c r="P1086" s="1"/>
      <c r="Q1086" s="1" t="s">
        <v>7651</v>
      </c>
      <c r="R1086" s="1" t="s">
        <v>5359</v>
      </c>
      <c r="S1086" s="1" t="s">
        <v>8728</v>
      </c>
      <c r="T1086" s="15">
        <v>2025</v>
      </c>
      <c r="U1086" s="3" t="s">
        <v>5765</v>
      </c>
      <c r="V1086" s="3" t="s">
        <v>29</v>
      </c>
      <c r="X1086" s="3" t="s">
        <v>7369</v>
      </c>
      <c r="Z1086" t="s">
        <v>3835</v>
      </c>
      <c r="AA1086" t="s">
        <v>7712</v>
      </c>
      <c r="AB1086" s="14" t="s">
        <v>3884</v>
      </c>
      <c r="AD1086" t="s">
        <v>764</v>
      </c>
    </row>
    <row r="1087" spans="1:30" customFormat="1" hidden="1" x14ac:dyDescent="0.3">
      <c r="A1087" s="1"/>
      <c r="B1087" s="1" t="s">
        <v>8729</v>
      </c>
      <c r="C1087" s="1" t="s">
        <v>8730</v>
      </c>
      <c r="D1087" s="1" t="s">
        <v>8731</v>
      </c>
      <c r="E1087" s="1"/>
      <c r="F1087" s="1" t="s">
        <v>8732</v>
      </c>
      <c r="G1087" s="1"/>
      <c r="H1087" s="1"/>
      <c r="I1087" s="1"/>
      <c r="J1087" s="1" t="s">
        <v>72</v>
      </c>
      <c r="K1087" s="1" t="s">
        <v>39</v>
      </c>
      <c r="L1087" s="1" t="s">
        <v>8733</v>
      </c>
      <c r="M1087" s="1" t="s">
        <v>42</v>
      </c>
      <c r="N1087" s="1"/>
      <c r="O1087" s="1" t="s">
        <v>7563</v>
      </c>
      <c r="P1087" s="1"/>
      <c r="Q1087" s="1" t="s">
        <v>7651</v>
      </c>
      <c r="R1087" s="1" t="s">
        <v>5429</v>
      </c>
      <c r="S1087" s="1" t="s">
        <v>8734</v>
      </c>
      <c r="T1087" s="15">
        <v>2025</v>
      </c>
      <c r="U1087" s="3" t="s">
        <v>5765</v>
      </c>
      <c r="V1087" s="3" t="s">
        <v>29</v>
      </c>
      <c r="X1087">
        <v>5</v>
      </c>
      <c r="Z1087" t="s">
        <v>3870</v>
      </c>
      <c r="AA1087" t="s">
        <v>8718</v>
      </c>
      <c r="AB1087" s="14" t="s">
        <v>3886</v>
      </c>
      <c r="AD1087" t="s">
        <v>764</v>
      </c>
    </row>
    <row r="1088" spans="1:30" customFormat="1" hidden="1" x14ac:dyDescent="0.3">
      <c r="A1088" s="1" t="s">
        <v>1902</v>
      </c>
      <c r="B1088" s="1" t="s">
        <v>703</v>
      </c>
      <c r="C1088" s="1" t="s">
        <v>6808</v>
      </c>
      <c r="D1088" s="1" t="s">
        <v>8735</v>
      </c>
      <c r="E1088" s="1" t="s">
        <v>8736</v>
      </c>
      <c r="F1088" s="1" t="s">
        <v>8737</v>
      </c>
      <c r="G1088" s="1" t="s">
        <v>8738</v>
      </c>
      <c r="H1088" s="1" t="s">
        <v>8739</v>
      </c>
      <c r="I1088" s="1" t="s">
        <v>8740</v>
      </c>
      <c r="J1088" s="1" t="s">
        <v>72</v>
      </c>
      <c r="K1088" s="1" t="s">
        <v>39</v>
      </c>
      <c r="L1088" s="1" t="s">
        <v>8741</v>
      </c>
      <c r="M1088" s="1" t="s">
        <v>42</v>
      </c>
      <c r="N1088" s="1"/>
      <c r="O1088" s="1" t="s">
        <v>7563</v>
      </c>
      <c r="P1088" s="1"/>
      <c r="Q1088" s="1" t="s">
        <v>7651</v>
      </c>
      <c r="R1088" s="1" t="s">
        <v>5359</v>
      </c>
      <c r="S1088" s="1" t="s">
        <v>8742</v>
      </c>
      <c r="T1088" s="15">
        <v>2025</v>
      </c>
      <c r="U1088" s="3" t="s">
        <v>5765</v>
      </c>
      <c r="V1088" s="3" t="s">
        <v>29</v>
      </c>
      <c r="X1088">
        <v>5</v>
      </c>
      <c r="Z1088" t="s">
        <v>3828</v>
      </c>
      <c r="AA1088" t="s">
        <v>8741</v>
      </c>
      <c r="AB1088" s="14" t="s">
        <v>3887</v>
      </c>
    </row>
    <row r="1089" spans="1:30" customFormat="1" ht="41.4" x14ac:dyDescent="0.3">
      <c r="A1089" s="1" t="s">
        <v>8743</v>
      </c>
      <c r="B1089" s="1" t="s">
        <v>8744</v>
      </c>
      <c r="C1089" s="1" t="s">
        <v>354</v>
      </c>
      <c r="D1089" s="1" t="s">
        <v>8745</v>
      </c>
      <c r="E1089" s="1" t="s">
        <v>8746</v>
      </c>
      <c r="F1089" s="1" t="s">
        <v>8747</v>
      </c>
      <c r="G1089" s="1"/>
      <c r="H1089" s="1" t="s">
        <v>8748</v>
      </c>
      <c r="I1089" s="1" t="s">
        <v>8749</v>
      </c>
      <c r="J1089" s="1" t="s">
        <v>7411</v>
      </c>
      <c r="K1089" s="1" t="s">
        <v>39</v>
      </c>
      <c r="L1089" s="1" t="s">
        <v>8750</v>
      </c>
      <c r="M1089" s="1" t="s">
        <v>42</v>
      </c>
      <c r="N1089" s="1"/>
      <c r="O1089" s="1" t="s">
        <v>7563</v>
      </c>
      <c r="P1089" s="1" t="s">
        <v>7724</v>
      </c>
      <c r="Q1089" s="1"/>
      <c r="R1089" s="1" t="s">
        <v>5359</v>
      </c>
      <c r="S1089" s="1" t="s">
        <v>8751</v>
      </c>
      <c r="T1089" s="15">
        <v>2025</v>
      </c>
      <c r="U1089" s="3" t="s">
        <v>5765</v>
      </c>
      <c r="V1089" s="3" t="s">
        <v>29</v>
      </c>
      <c r="Y1089" s="44">
        <v>45899</v>
      </c>
      <c r="Z1089" t="s">
        <v>6146</v>
      </c>
      <c r="AA1089" s="12" t="s">
        <v>8794</v>
      </c>
      <c r="AB1089" s="14" t="s">
        <v>3890</v>
      </c>
      <c r="AD1089" t="s">
        <v>764</v>
      </c>
    </row>
    <row r="1090" spans="1:30" customFormat="1" x14ac:dyDescent="0.3">
      <c r="A1090" s="1"/>
      <c r="B1090" s="1" t="s">
        <v>8752</v>
      </c>
      <c r="C1090" s="1" t="s">
        <v>8753</v>
      </c>
      <c r="D1090" s="1" t="s">
        <v>8754</v>
      </c>
      <c r="E1090" s="1" t="s">
        <v>8755</v>
      </c>
      <c r="F1090" s="1" t="s">
        <v>8756</v>
      </c>
      <c r="G1090" s="1" t="s">
        <v>8757</v>
      </c>
      <c r="H1090" s="1" t="s">
        <v>8758</v>
      </c>
      <c r="I1090" s="1"/>
      <c r="J1090" s="1" t="s">
        <v>72</v>
      </c>
      <c r="K1090" s="1" t="s">
        <v>39</v>
      </c>
      <c r="L1090" s="1" t="s">
        <v>8759</v>
      </c>
      <c r="M1090" s="1" t="s">
        <v>42</v>
      </c>
      <c r="N1090" s="1"/>
      <c r="O1090" s="1" t="s">
        <v>7563</v>
      </c>
      <c r="P1090" s="1"/>
      <c r="Q1090" s="1" t="s">
        <v>7651</v>
      </c>
      <c r="R1090" s="1" t="s">
        <v>5359</v>
      </c>
      <c r="S1090" s="1" t="s">
        <v>8760</v>
      </c>
      <c r="T1090" s="15">
        <v>2025</v>
      </c>
      <c r="U1090" s="3" t="s">
        <v>5765</v>
      </c>
      <c r="V1090" s="3" t="s">
        <v>29</v>
      </c>
      <c r="Y1090" s="44">
        <v>45899</v>
      </c>
      <c r="Z1090" t="s">
        <v>3835</v>
      </c>
      <c r="AA1090" t="s">
        <v>8795</v>
      </c>
      <c r="AB1090" s="14" t="s">
        <v>3884</v>
      </c>
      <c r="AD1090" t="s">
        <v>764</v>
      </c>
    </row>
    <row r="1091" spans="1:30" customFormat="1" ht="27.6" hidden="1" x14ac:dyDescent="0.3">
      <c r="A1091" s="1" t="s">
        <v>8761</v>
      </c>
      <c r="B1091" s="1" t="s">
        <v>4643</v>
      </c>
      <c r="C1091" s="1" t="s">
        <v>523</v>
      </c>
      <c r="D1091" s="1" t="s">
        <v>8762</v>
      </c>
      <c r="E1091" s="1" t="s">
        <v>8763</v>
      </c>
      <c r="F1091" s="1" t="s">
        <v>8764</v>
      </c>
      <c r="G1091" s="1" t="s">
        <v>8765</v>
      </c>
      <c r="H1091" s="1" t="s">
        <v>8766</v>
      </c>
      <c r="I1091" s="1"/>
      <c r="J1091" s="1" t="s">
        <v>6099</v>
      </c>
      <c r="K1091" s="1" t="s">
        <v>39</v>
      </c>
      <c r="L1091" s="1" t="s">
        <v>8767</v>
      </c>
      <c r="M1091" s="1" t="s">
        <v>141</v>
      </c>
      <c r="N1091" s="1"/>
      <c r="O1091" s="1" t="s">
        <v>7563</v>
      </c>
      <c r="P1091" s="1"/>
      <c r="Q1091" s="1" t="s">
        <v>7651</v>
      </c>
      <c r="R1091" s="1" t="s">
        <v>5359</v>
      </c>
      <c r="S1091" s="1" t="s">
        <v>8768</v>
      </c>
      <c r="T1091" s="15">
        <v>2025</v>
      </c>
      <c r="U1091" s="3" t="s">
        <v>5765</v>
      </c>
      <c r="V1091" s="3" t="s">
        <v>29</v>
      </c>
      <c r="X1091">
        <v>10</v>
      </c>
      <c r="Z1091" t="s">
        <v>3828</v>
      </c>
      <c r="AA1091" t="s">
        <v>8796</v>
      </c>
      <c r="AB1091" s="14" t="s">
        <v>3888</v>
      </c>
      <c r="AD1091" t="s">
        <v>764</v>
      </c>
    </row>
    <row r="1092" spans="1:30" customFormat="1" x14ac:dyDescent="0.3">
      <c r="A1092" s="1"/>
      <c r="B1092" s="1" t="s">
        <v>8769</v>
      </c>
      <c r="C1092" s="1" t="s">
        <v>1828</v>
      </c>
      <c r="D1092" s="1" t="s">
        <v>8770</v>
      </c>
      <c r="E1092" s="1" t="s">
        <v>8771</v>
      </c>
      <c r="F1092" s="1" t="s">
        <v>8772</v>
      </c>
      <c r="G1092" s="1"/>
      <c r="H1092" s="1" t="s">
        <v>8773</v>
      </c>
      <c r="I1092" s="1" t="s">
        <v>8774</v>
      </c>
      <c r="J1092" s="1" t="s">
        <v>72</v>
      </c>
      <c r="K1092" s="1" t="s">
        <v>39</v>
      </c>
      <c r="L1092" s="1" t="s">
        <v>8775</v>
      </c>
      <c r="M1092" s="1" t="s">
        <v>42</v>
      </c>
      <c r="N1092" s="1"/>
      <c r="O1092" s="1" t="s">
        <v>7563</v>
      </c>
      <c r="P1092" s="1"/>
      <c r="Q1092" s="1" t="s">
        <v>7651</v>
      </c>
      <c r="R1092" s="1" t="s">
        <v>5429</v>
      </c>
      <c r="S1092" s="1" t="s">
        <v>8776</v>
      </c>
      <c r="T1092" s="15">
        <v>2025</v>
      </c>
      <c r="U1092" s="3" t="s">
        <v>5765</v>
      </c>
      <c r="V1092" s="3" t="s">
        <v>29</v>
      </c>
      <c r="Y1092" s="44">
        <v>45899</v>
      </c>
      <c r="Z1092" t="s">
        <v>3835</v>
      </c>
      <c r="AA1092" t="s">
        <v>7705</v>
      </c>
      <c r="AB1092" s="14" t="s">
        <v>3884</v>
      </c>
      <c r="AD1092" t="s">
        <v>764</v>
      </c>
    </row>
    <row r="1093" spans="1:30" customFormat="1" hidden="1" x14ac:dyDescent="0.3">
      <c r="A1093" s="1" t="s">
        <v>22</v>
      </c>
      <c r="B1093" s="1" t="s">
        <v>8777</v>
      </c>
      <c r="C1093" s="1" t="s">
        <v>229</v>
      </c>
      <c r="D1093" s="1" t="s">
        <v>8778</v>
      </c>
      <c r="E1093" s="1" t="s">
        <v>8779</v>
      </c>
      <c r="F1093" s="1" t="s">
        <v>8780</v>
      </c>
      <c r="G1093" s="1"/>
      <c r="H1093" s="1" t="s">
        <v>8781</v>
      </c>
      <c r="I1093" s="1"/>
      <c r="J1093" s="1" t="s">
        <v>1060</v>
      </c>
      <c r="K1093" s="1" t="s">
        <v>39</v>
      </c>
      <c r="L1093" s="1" t="s">
        <v>8782</v>
      </c>
      <c r="M1093" s="1" t="s">
        <v>42</v>
      </c>
      <c r="N1093" s="1"/>
      <c r="O1093" s="1" t="s">
        <v>7563</v>
      </c>
      <c r="P1093" s="1"/>
      <c r="Q1093" s="1" t="s">
        <v>7651</v>
      </c>
      <c r="R1093" s="1" t="s">
        <v>5480</v>
      </c>
      <c r="S1093" s="1" t="s">
        <v>8783</v>
      </c>
      <c r="T1093" s="15">
        <v>2025</v>
      </c>
      <c r="U1093" s="3" t="s">
        <v>5765</v>
      </c>
      <c r="V1093" s="3" t="s">
        <v>29</v>
      </c>
      <c r="X1093">
        <v>5</v>
      </c>
      <c r="Z1093" t="s">
        <v>3835</v>
      </c>
      <c r="AA1093" t="s">
        <v>7705</v>
      </c>
      <c r="AB1093" s="14" t="s">
        <v>3884</v>
      </c>
      <c r="AD1093" t="s">
        <v>764</v>
      </c>
    </row>
    <row r="1094" spans="1:30" customFormat="1" hidden="1" x14ac:dyDescent="0.3">
      <c r="A1094" s="1"/>
      <c r="B1094" s="4" t="s">
        <v>8797</v>
      </c>
      <c r="C1094" s="4" t="s">
        <v>8798</v>
      </c>
      <c r="D1094" s="1" t="s">
        <v>8799</v>
      </c>
      <c r="E1094" s="1" t="s">
        <v>8800</v>
      </c>
      <c r="F1094" s="2" t="s">
        <v>8801</v>
      </c>
      <c r="G1094" s="1" t="s">
        <v>8802</v>
      </c>
      <c r="H1094" s="1" t="s">
        <v>8803</v>
      </c>
      <c r="I1094" s="1" t="s">
        <v>8804</v>
      </c>
      <c r="J1094" s="1" t="s">
        <v>1060</v>
      </c>
      <c r="K1094" s="1" t="s">
        <v>39</v>
      </c>
      <c r="L1094" s="1" t="s">
        <v>8805</v>
      </c>
      <c r="M1094" s="1" t="s">
        <v>141</v>
      </c>
      <c r="N1094" s="1"/>
      <c r="O1094" s="1" t="s">
        <v>7563</v>
      </c>
      <c r="P1094" s="1"/>
      <c r="Q1094" s="1" t="s">
        <v>7651</v>
      </c>
      <c r="R1094" s="1" t="s">
        <v>5359</v>
      </c>
      <c r="S1094" s="1" t="s">
        <v>8806</v>
      </c>
      <c r="T1094" s="15">
        <v>2025</v>
      </c>
      <c r="U1094" s="3" t="s">
        <v>5765</v>
      </c>
      <c r="V1094" s="3" t="s">
        <v>8497</v>
      </c>
      <c r="X1094">
        <v>5</v>
      </c>
      <c r="Z1094" t="s">
        <v>3835</v>
      </c>
      <c r="AA1094" t="s">
        <v>8827</v>
      </c>
      <c r="AB1094" s="14" t="s">
        <v>3884</v>
      </c>
      <c r="AD1094" t="s">
        <v>764</v>
      </c>
    </row>
    <row r="1095" spans="1:30" customFormat="1" ht="27.6" x14ac:dyDescent="0.3">
      <c r="A1095" s="1" t="s">
        <v>8003</v>
      </c>
      <c r="B1095" s="1" t="s">
        <v>8807</v>
      </c>
      <c r="C1095" s="1" t="s">
        <v>87</v>
      </c>
      <c r="D1095" s="1" t="s">
        <v>8808</v>
      </c>
      <c r="E1095" s="1" t="s">
        <v>8809</v>
      </c>
      <c r="F1095" s="1" t="s">
        <v>8810</v>
      </c>
      <c r="G1095" s="1"/>
      <c r="H1095" s="1" t="s">
        <v>908</v>
      </c>
      <c r="I1095" s="1"/>
      <c r="J1095" s="1" t="s">
        <v>8811</v>
      </c>
      <c r="K1095" s="1" t="s">
        <v>39</v>
      </c>
      <c r="L1095" s="1" t="s">
        <v>8812</v>
      </c>
      <c r="M1095" s="1" t="s">
        <v>42</v>
      </c>
      <c r="N1095" s="1"/>
      <c r="O1095" s="1" t="s">
        <v>7563</v>
      </c>
      <c r="P1095" s="1"/>
      <c r="Q1095" s="1" t="s">
        <v>7651</v>
      </c>
      <c r="R1095" s="1" t="s">
        <v>5480</v>
      </c>
      <c r="S1095" s="1" t="s">
        <v>8813</v>
      </c>
      <c r="T1095" s="15">
        <v>2025</v>
      </c>
      <c r="U1095" s="3" t="s">
        <v>5765</v>
      </c>
      <c r="V1095" s="3" t="s">
        <v>29</v>
      </c>
      <c r="Y1095" s="44">
        <v>45899</v>
      </c>
      <c r="Z1095" t="s">
        <v>3870</v>
      </c>
      <c r="AA1095" t="s">
        <v>8828</v>
      </c>
      <c r="AB1095" s="14" t="s">
        <v>3886</v>
      </c>
      <c r="AD1095" t="s">
        <v>764</v>
      </c>
    </row>
    <row r="1096" spans="1:30" customFormat="1" hidden="1" x14ac:dyDescent="0.3">
      <c r="A1096" s="1"/>
      <c r="B1096" s="1" t="s">
        <v>8814</v>
      </c>
      <c r="C1096" s="1" t="s">
        <v>1742</v>
      </c>
      <c r="D1096" s="1" t="s">
        <v>8815</v>
      </c>
      <c r="E1096" s="1" t="s">
        <v>8816</v>
      </c>
      <c r="F1096" s="1" t="s">
        <v>8817</v>
      </c>
      <c r="G1096" s="1"/>
      <c r="H1096" s="1"/>
      <c r="I1096" s="1"/>
      <c r="J1096" s="1" t="s">
        <v>72</v>
      </c>
      <c r="K1096" s="1" t="s">
        <v>39</v>
      </c>
      <c r="L1096" s="1" t="s">
        <v>6311</v>
      </c>
      <c r="M1096" s="1" t="s">
        <v>141</v>
      </c>
      <c r="N1096" s="1"/>
      <c r="O1096" s="1" t="s">
        <v>7563</v>
      </c>
      <c r="P1096" s="1"/>
      <c r="Q1096" s="1" t="s">
        <v>7651</v>
      </c>
      <c r="R1096" s="1" t="s">
        <v>5359</v>
      </c>
      <c r="S1096" s="1" t="s">
        <v>8818</v>
      </c>
      <c r="T1096" s="15">
        <v>2025</v>
      </c>
      <c r="U1096" s="3" t="s">
        <v>5765</v>
      </c>
      <c r="V1096" s="3" t="s">
        <v>29</v>
      </c>
      <c r="X1096">
        <v>5</v>
      </c>
      <c r="Z1096" t="s">
        <v>3835</v>
      </c>
      <c r="AA1096" t="s">
        <v>7705</v>
      </c>
      <c r="AB1096" s="14" t="s">
        <v>3884</v>
      </c>
      <c r="AD1096" t="s">
        <v>764</v>
      </c>
    </row>
    <row r="1097" spans="1:30" customFormat="1" ht="41.4" hidden="1" x14ac:dyDescent="0.3">
      <c r="A1097" s="1" t="s">
        <v>8819</v>
      </c>
      <c r="B1097" s="1" t="s">
        <v>8820</v>
      </c>
      <c r="C1097" s="1" t="s">
        <v>8821</v>
      </c>
      <c r="D1097" s="1" t="s">
        <v>8822</v>
      </c>
      <c r="E1097" s="1" t="s">
        <v>8823</v>
      </c>
      <c r="F1097" s="1" t="s">
        <v>8824</v>
      </c>
      <c r="G1097" s="1"/>
      <c r="H1097" s="1"/>
      <c r="I1097" s="1"/>
      <c r="J1097" s="1" t="s">
        <v>8825</v>
      </c>
      <c r="K1097" s="1" t="s">
        <v>39</v>
      </c>
      <c r="L1097" s="1" t="s">
        <v>6031</v>
      </c>
      <c r="M1097" s="1" t="s">
        <v>42</v>
      </c>
      <c r="N1097" s="1"/>
      <c r="O1097" s="1" t="s">
        <v>7563</v>
      </c>
      <c r="P1097" s="1"/>
      <c r="Q1097" s="1" t="s">
        <v>7651</v>
      </c>
      <c r="R1097" s="1" t="s">
        <v>5429</v>
      </c>
      <c r="S1097" s="1" t="s">
        <v>8826</v>
      </c>
      <c r="T1097" s="15">
        <v>2025</v>
      </c>
      <c r="U1097" s="3" t="s">
        <v>5765</v>
      </c>
      <c r="V1097" s="3" t="s">
        <v>29</v>
      </c>
      <c r="X1097">
        <v>10</v>
      </c>
      <c r="Z1097" t="s">
        <v>3870</v>
      </c>
      <c r="AA1097" t="s">
        <v>5775</v>
      </c>
      <c r="AB1097" s="14" t="s">
        <v>3886</v>
      </c>
      <c r="AD1097" t="s">
        <v>764</v>
      </c>
    </row>
    <row r="1098" spans="1:30" customFormat="1" hidden="1" x14ac:dyDescent="0.3">
      <c r="A1098" s="1" t="s">
        <v>6122</v>
      </c>
      <c r="B1098" s="4" t="s">
        <v>8837</v>
      </c>
      <c r="C1098" s="4" t="s">
        <v>734</v>
      </c>
      <c r="D1098" s="12" t="s">
        <v>8868</v>
      </c>
      <c r="E1098" s="1"/>
      <c r="F1098" s="1" t="s">
        <v>8838</v>
      </c>
      <c r="G1098" s="1"/>
      <c r="H1098" s="1" t="s">
        <v>8839</v>
      </c>
      <c r="I1098" s="1"/>
      <c r="J1098" s="1" t="s">
        <v>72</v>
      </c>
      <c r="K1098" s="1" t="s">
        <v>39</v>
      </c>
      <c r="L1098" s="1" t="s">
        <v>8840</v>
      </c>
      <c r="M1098" s="1" t="s">
        <v>141</v>
      </c>
      <c r="N1098" s="1"/>
      <c r="O1098" s="1" t="s">
        <v>7563</v>
      </c>
      <c r="P1098" s="1"/>
      <c r="Q1098" s="1" t="s">
        <v>7651</v>
      </c>
      <c r="R1098" s="1" t="s">
        <v>5371</v>
      </c>
      <c r="S1098" s="1" t="s">
        <v>8841</v>
      </c>
      <c r="T1098" s="15">
        <v>2025</v>
      </c>
      <c r="U1098" s="3" t="s">
        <v>5765</v>
      </c>
      <c r="V1098" s="3" t="s">
        <v>29</v>
      </c>
      <c r="X1098">
        <v>10</v>
      </c>
      <c r="Z1098" t="s">
        <v>6146</v>
      </c>
      <c r="AA1098" t="s">
        <v>8869</v>
      </c>
      <c r="AB1098" s="14" t="s">
        <v>3890</v>
      </c>
      <c r="AD1098" t="s">
        <v>764</v>
      </c>
    </row>
    <row r="1099" spans="1:30" customFormat="1" hidden="1" x14ac:dyDescent="0.3">
      <c r="A1099" s="1" t="s">
        <v>4040</v>
      </c>
      <c r="B1099" s="1" t="s">
        <v>8842</v>
      </c>
      <c r="C1099" s="1" t="s">
        <v>2065</v>
      </c>
      <c r="D1099" s="1" t="s">
        <v>8843</v>
      </c>
      <c r="E1099" s="1" t="s">
        <v>8844</v>
      </c>
      <c r="F1099" s="1" t="s">
        <v>8845</v>
      </c>
      <c r="G1099" s="1"/>
      <c r="H1099" s="1" t="s">
        <v>5340</v>
      </c>
      <c r="I1099" s="1" t="s">
        <v>8846</v>
      </c>
      <c r="J1099" s="1" t="s">
        <v>1060</v>
      </c>
      <c r="K1099" s="1" t="s">
        <v>39</v>
      </c>
      <c r="L1099" s="1" t="s">
        <v>8847</v>
      </c>
      <c r="M1099" s="1" t="s">
        <v>141</v>
      </c>
      <c r="N1099" s="1"/>
      <c r="O1099" s="1" t="s">
        <v>7563</v>
      </c>
      <c r="P1099" s="1" t="s">
        <v>7724</v>
      </c>
      <c r="Q1099" s="1" t="s">
        <v>7651</v>
      </c>
      <c r="R1099" s="1" t="s">
        <v>5480</v>
      </c>
      <c r="S1099" s="1" t="s">
        <v>8848</v>
      </c>
      <c r="T1099" s="15">
        <v>2025</v>
      </c>
      <c r="U1099" s="3" t="s">
        <v>5765</v>
      </c>
      <c r="V1099" s="3" t="s">
        <v>29</v>
      </c>
      <c r="X1099">
        <v>5</v>
      </c>
      <c r="Z1099" t="s">
        <v>3835</v>
      </c>
      <c r="AA1099" t="s">
        <v>8335</v>
      </c>
      <c r="AB1099" s="14" t="s">
        <v>3884</v>
      </c>
      <c r="AD1099" t="s">
        <v>764</v>
      </c>
    </row>
    <row r="1100" spans="1:30" customFormat="1" x14ac:dyDescent="0.3">
      <c r="A1100" s="1"/>
      <c r="B1100" s="1" t="s">
        <v>8849</v>
      </c>
      <c r="C1100" s="1" t="s">
        <v>8850</v>
      </c>
      <c r="D1100" s="1" t="s">
        <v>8851</v>
      </c>
      <c r="E1100" s="1" t="s">
        <v>8852</v>
      </c>
      <c r="F1100" s="1" t="s">
        <v>8853</v>
      </c>
      <c r="G1100" s="1"/>
      <c r="H1100" s="1"/>
      <c r="I1100" s="1"/>
      <c r="J1100" s="1" t="s">
        <v>7623</v>
      </c>
      <c r="K1100" s="1" t="s">
        <v>39</v>
      </c>
      <c r="L1100" s="1" t="s">
        <v>8854</v>
      </c>
      <c r="M1100" s="1" t="s">
        <v>141</v>
      </c>
      <c r="N1100" s="1"/>
      <c r="O1100" s="1" t="s">
        <v>7563</v>
      </c>
      <c r="P1100" s="1"/>
      <c r="Q1100" s="1" t="s">
        <v>7651</v>
      </c>
      <c r="R1100" s="1" t="s">
        <v>5480</v>
      </c>
      <c r="S1100" s="1" t="s">
        <v>8855</v>
      </c>
      <c r="T1100" s="15">
        <v>2025</v>
      </c>
      <c r="U1100" s="3" t="s">
        <v>5765</v>
      </c>
      <c r="V1100" s="3" t="s">
        <v>29</v>
      </c>
      <c r="Y1100" s="44">
        <v>45899</v>
      </c>
      <c r="Z1100" t="s">
        <v>3835</v>
      </c>
      <c r="AA1100" t="s">
        <v>8335</v>
      </c>
      <c r="AB1100" s="14" t="s">
        <v>3884</v>
      </c>
      <c r="AD1100" t="s">
        <v>764</v>
      </c>
    </row>
    <row r="1101" spans="1:30" customFormat="1" x14ac:dyDescent="0.3">
      <c r="A1101" s="1"/>
      <c r="B1101" s="1" t="s">
        <v>8856</v>
      </c>
      <c r="C1101" s="1" t="s">
        <v>354</v>
      </c>
      <c r="D1101" s="1" t="s">
        <v>8857</v>
      </c>
      <c r="E1101" s="1" t="s">
        <v>8858</v>
      </c>
      <c r="F1101" s="1" t="s">
        <v>8859</v>
      </c>
      <c r="G1101" s="1"/>
      <c r="H1101" s="1"/>
      <c r="I1101" s="1"/>
      <c r="J1101" s="1" t="s">
        <v>72</v>
      </c>
      <c r="K1101" s="1" t="s">
        <v>39</v>
      </c>
      <c r="L1101" s="1" t="s">
        <v>8860</v>
      </c>
      <c r="M1101" s="1" t="s">
        <v>141</v>
      </c>
      <c r="N1101" s="1"/>
      <c r="O1101" s="1" t="s">
        <v>7563</v>
      </c>
      <c r="P1101" s="1"/>
      <c r="Q1101" s="1" t="s">
        <v>7651</v>
      </c>
      <c r="R1101" s="1" t="s">
        <v>5480</v>
      </c>
      <c r="S1101" s="1" t="s">
        <v>8861</v>
      </c>
      <c r="T1101" s="15">
        <v>2025</v>
      </c>
      <c r="U1101" s="3" t="s">
        <v>5765</v>
      </c>
      <c r="V1101" s="3" t="s">
        <v>29</v>
      </c>
      <c r="Y1101" s="44">
        <v>45899</v>
      </c>
      <c r="Z1101" t="s">
        <v>3835</v>
      </c>
      <c r="AA1101" t="s">
        <v>8335</v>
      </c>
      <c r="AB1101" s="14" t="s">
        <v>3884</v>
      </c>
      <c r="AD1101" t="s">
        <v>764</v>
      </c>
    </row>
    <row r="1102" spans="1:30" customFormat="1" ht="27.6" hidden="1" x14ac:dyDescent="0.3">
      <c r="A1102" s="1" t="s">
        <v>49</v>
      </c>
      <c r="B1102" s="1" t="s">
        <v>8862</v>
      </c>
      <c r="C1102" s="1" t="s">
        <v>8863</v>
      </c>
      <c r="D1102" s="1" t="s">
        <v>8864</v>
      </c>
      <c r="E1102" s="1"/>
      <c r="F1102" s="2" t="s">
        <v>8865</v>
      </c>
      <c r="G1102" s="1"/>
      <c r="H1102" s="1"/>
      <c r="I1102" s="1"/>
      <c r="J1102" s="1" t="s">
        <v>8866</v>
      </c>
      <c r="K1102" s="1" t="s">
        <v>2743</v>
      </c>
      <c r="L1102" s="1" t="s">
        <v>965</v>
      </c>
      <c r="M1102" s="1" t="s">
        <v>141</v>
      </c>
      <c r="N1102" s="1"/>
      <c r="O1102" s="1" t="s">
        <v>7563</v>
      </c>
      <c r="P1102" s="1" t="s">
        <v>7724</v>
      </c>
      <c r="Q1102" s="1"/>
      <c r="R1102" s="1" t="s">
        <v>5480</v>
      </c>
      <c r="S1102" s="1" t="s">
        <v>8867</v>
      </c>
      <c r="T1102" s="15">
        <v>2025</v>
      </c>
      <c r="U1102" s="3" t="s">
        <v>6168</v>
      </c>
      <c r="V1102" s="3" t="s">
        <v>708</v>
      </c>
      <c r="W1102" s="3" t="s">
        <v>10077</v>
      </c>
      <c r="X1102" s="12" t="s">
        <v>7369</v>
      </c>
      <c r="Z1102" t="s">
        <v>3828</v>
      </c>
      <c r="AA1102" t="s">
        <v>8870</v>
      </c>
    </row>
    <row r="1103" spans="1:30" customFormat="1" hidden="1" x14ac:dyDescent="0.3">
      <c r="A1103" s="1" t="s">
        <v>254</v>
      </c>
      <c r="B1103" s="4" t="s">
        <v>8871</v>
      </c>
      <c r="C1103" s="4" t="s">
        <v>8872</v>
      </c>
      <c r="D1103" s="1" t="s">
        <v>8889</v>
      </c>
      <c r="E1103" s="1" t="s">
        <v>8873</v>
      </c>
      <c r="F1103" s="1" t="s">
        <v>8874</v>
      </c>
      <c r="G1103" s="1"/>
      <c r="H1103" s="1" t="s">
        <v>8875</v>
      </c>
      <c r="I1103" s="1"/>
      <c r="J1103" s="1" t="s">
        <v>2312</v>
      </c>
      <c r="K1103" s="1" t="s">
        <v>39</v>
      </c>
      <c r="L1103" s="1" t="s">
        <v>8876</v>
      </c>
      <c r="M1103" s="1" t="s">
        <v>42</v>
      </c>
      <c r="N1103" s="1"/>
      <c r="O1103" s="1" t="s">
        <v>7563</v>
      </c>
      <c r="P1103" s="1"/>
      <c r="Q1103" s="1" t="s">
        <v>7651</v>
      </c>
      <c r="R1103" s="1" t="s">
        <v>5480</v>
      </c>
      <c r="S1103" s="1" t="s">
        <v>8877</v>
      </c>
      <c r="T1103" s="15">
        <v>2025</v>
      </c>
      <c r="U1103" s="3" t="s">
        <v>5765</v>
      </c>
      <c r="V1103" s="3" t="s">
        <v>29</v>
      </c>
      <c r="X1103">
        <v>5</v>
      </c>
      <c r="Z1103" t="s">
        <v>6146</v>
      </c>
      <c r="AA1103" t="s">
        <v>8890</v>
      </c>
      <c r="AB1103" s="14" t="s">
        <v>4594</v>
      </c>
      <c r="AD1103" t="s">
        <v>764</v>
      </c>
    </row>
    <row r="1104" spans="1:30" customFormat="1" ht="27.6" hidden="1" x14ac:dyDescent="0.3">
      <c r="A1104" s="1"/>
      <c r="B1104" s="1" t="s">
        <v>8891</v>
      </c>
      <c r="C1104" s="1" t="s">
        <v>189</v>
      </c>
      <c r="D1104" s="1" t="s">
        <v>8878</v>
      </c>
      <c r="E1104" s="1" t="s">
        <v>8879</v>
      </c>
      <c r="F1104" s="1" t="s">
        <v>8880</v>
      </c>
      <c r="G1104" s="1" t="s">
        <v>8881</v>
      </c>
      <c r="H1104" s="1" t="s">
        <v>8882</v>
      </c>
      <c r="I1104" s="1" t="s">
        <v>8883</v>
      </c>
      <c r="J1104" s="1" t="s">
        <v>1265</v>
      </c>
      <c r="K1104" s="1" t="s">
        <v>39</v>
      </c>
      <c r="L1104" s="1" t="s">
        <v>1025</v>
      </c>
      <c r="M1104" s="1" t="s">
        <v>152</v>
      </c>
      <c r="N1104" s="1"/>
      <c r="O1104" s="1" t="s">
        <v>7563</v>
      </c>
      <c r="P1104" s="1"/>
      <c r="Q1104" s="1" t="s">
        <v>7651</v>
      </c>
      <c r="R1104" s="1" t="s">
        <v>5480</v>
      </c>
      <c r="S1104" s="1" t="s">
        <v>8884</v>
      </c>
      <c r="T1104" s="15">
        <v>2025</v>
      </c>
      <c r="U1104" s="3" t="s">
        <v>5765</v>
      </c>
      <c r="V1104" s="3" t="s">
        <v>29</v>
      </c>
      <c r="X1104" s="3" t="s">
        <v>7369</v>
      </c>
      <c r="Z1104" t="s">
        <v>3835</v>
      </c>
      <c r="AA1104" t="s">
        <v>8335</v>
      </c>
      <c r="AB1104" s="14" t="s">
        <v>3884</v>
      </c>
      <c r="AD1104" t="s">
        <v>764</v>
      </c>
    </row>
    <row r="1105" spans="1:30" customFormat="1" x14ac:dyDescent="0.3">
      <c r="A1105" s="1"/>
      <c r="B1105" s="1" t="s">
        <v>8885</v>
      </c>
      <c r="C1105" s="1" t="s">
        <v>157</v>
      </c>
      <c r="D1105" s="1" t="s">
        <v>8886</v>
      </c>
      <c r="E1105" s="1"/>
      <c r="F1105" s="1" t="s">
        <v>8887</v>
      </c>
      <c r="G1105" s="1"/>
      <c r="H1105" s="1"/>
      <c r="I1105" s="1"/>
      <c r="J1105" s="1" t="s">
        <v>72</v>
      </c>
      <c r="K1105" s="1" t="s">
        <v>39</v>
      </c>
      <c r="L1105" s="1" t="s">
        <v>1304</v>
      </c>
      <c r="M1105" s="1" t="s">
        <v>42</v>
      </c>
      <c r="N1105" s="1"/>
      <c r="O1105" s="1" t="s">
        <v>7563</v>
      </c>
      <c r="P1105" s="1"/>
      <c r="Q1105" s="1" t="s">
        <v>7651</v>
      </c>
      <c r="R1105" s="1" t="s">
        <v>5480</v>
      </c>
      <c r="S1105" s="1" t="s">
        <v>8888</v>
      </c>
      <c r="T1105" s="15">
        <v>2025</v>
      </c>
      <c r="U1105" s="3" t="s">
        <v>5765</v>
      </c>
      <c r="V1105" s="3" t="s">
        <v>29</v>
      </c>
      <c r="Y1105" s="44">
        <v>45899</v>
      </c>
      <c r="Z1105" t="s">
        <v>3828</v>
      </c>
      <c r="AA1105" t="s">
        <v>7886</v>
      </c>
      <c r="AB1105" s="14" t="s">
        <v>3888</v>
      </c>
      <c r="AD1105" t="s">
        <v>764</v>
      </c>
    </row>
    <row r="1106" spans="1:30" customFormat="1" hidden="1" x14ac:dyDescent="0.3">
      <c r="A1106" s="1" t="s">
        <v>3086</v>
      </c>
      <c r="B1106" s="4" t="s">
        <v>8892</v>
      </c>
      <c r="C1106" s="4" t="s">
        <v>6650</v>
      </c>
      <c r="D1106" s="1" t="s">
        <v>8893</v>
      </c>
      <c r="E1106" s="1" t="s">
        <v>8894</v>
      </c>
      <c r="F1106" s="1" t="s">
        <v>8895</v>
      </c>
      <c r="G1106" s="1"/>
      <c r="H1106" s="1" t="s">
        <v>7203</v>
      </c>
      <c r="I1106" s="1" t="s">
        <v>8896</v>
      </c>
      <c r="J1106" s="1" t="s">
        <v>72</v>
      </c>
      <c r="K1106" s="1" t="s">
        <v>39</v>
      </c>
      <c r="L1106" s="1" t="s">
        <v>8897</v>
      </c>
      <c r="M1106" s="1" t="s">
        <v>42</v>
      </c>
      <c r="N1106" s="1"/>
      <c r="O1106" s="1" t="s">
        <v>7563</v>
      </c>
      <c r="P1106" s="1"/>
      <c r="Q1106" s="1" t="s">
        <v>7651</v>
      </c>
      <c r="R1106" s="1" t="s">
        <v>5359</v>
      </c>
      <c r="S1106" s="1" t="s">
        <v>8898</v>
      </c>
      <c r="T1106" s="15">
        <v>2025</v>
      </c>
      <c r="U1106" s="3" t="s">
        <v>5765</v>
      </c>
      <c r="V1106" s="3" t="s">
        <v>29</v>
      </c>
      <c r="X1106">
        <v>5</v>
      </c>
      <c r="Z1106" t="s">
        <v>3835</v>
      </c>
      <c r="AA1106" t="s">
        <v>7712</v>
      </c>
      <c r="AB1106" s="14" t="s">
        <v>3884</v>
      </c>
      <c r="AD1106" t="s">
        <v>764</v>
      </c>
    </row>
    <row r="1107" spans="1:30" customFormat="1" hidden="1" x14ac:dyDescent="0.3">
      <c r="A1107" s="1" t="s">
        <v>2039</v>
      </c>
      <c r="B1107" s="1" t="s">
        <v>2430</v>
      </c>
      <c r="C1107" s="1" t="s">
        <v>523</v>
      </c>
      <c r="D1107" s="1" t="s">
        <v>8899</v>
      </c>
      <c r="E1107" s="1" t="s">
        <v>8900</v>
      </c>
      <c r="F1107" s="1" t="s">
        <v>8901</v>
      </c>
      <c r="G1107" s="1" t="s">
        <v>8902</v>
      </c>
      <c r="H1107" s="1"/>
      <c r="I1107" s="1"/>
      <c r="J1107" s="1" t="s">
        <v>1290</v>
      </c>
      <c r="K1107" s="1" t="s">
        <v>39</v>
      </c>
      <c r="L1107" s="1" t="s">
        <v>8903</v>
      </c>
      <c r="M1107" s="1" t="s">
        <v>42</v>
      </c>
      <c r="N1107" s="1"/>
      <c r="O1107" s="1" t="s">
        <v>7563</v>
      </c>
      <c r="P1107" s="1"/>
      <c r="Q1107" s="1" t="s">
        <v>7651</v>
      </c>
      <c r="R1107" s="1" t="s">
        <v>5359</v>
      </c>
      <c r="S1107" s="1" t="s">
        <v>8904</v>
      </c>
      <c r="T1107" s="15">
        <v>2025</v>
      </c>
      <c r="U1107" s="3" t="s">
        <v>5765</v>
      </c>
      <c r="V1107" s="3" t="s">
        <v>29</v>
      </c>
      <c r="X1107">
        <v>5</v>
      </c>
      <c r="Y1107" s="44">
        <v>45899</v>
      </c>
      <c r="Z1107" t="s">
        <v>3835</v>
      </c>
      <c r="AA1107" t="s">
        <v>7712</v>
      </c>
      <c r="AB1107" s="14" t="s">
        <v>3884</v>
      </c>
      <c r="AD1107" t="s">
        <v>764</v>
      </c>
    </row>
    <row r="1108" spans="1:30" customFormat="1" hidden="1" x14ac:dyDescent="0.3">
      <c r="A1108" s="1"/>
      <c r="B1108" s="1" t="s">
        <v>8905</v>
      </c>
      <c r="C1108" s="1" t="s">
        <v>557</v>
      </c>
      <c r="D1108" s="1" t="s">
        <v>8906</v>
      </c>
      <c r="E1108" s="1"/>
      <c r="F1108" s="1" t="s">
        <v>8907</v>
      </c>
      <c r="G1108" s="1"/>
      <c r="H1108" s="1"/>
      <c r="I1108" s="1"/>
      <c r="J1108" s="1" t="s">
        <v>4511</v>
      </c>
      <c r="K1108" s="1" t="s">
        <v>39</v>
      </c>
      <c r="L1108" s="1" t="s">
        <v>8908</v>
      </c>
      <c r="M1108" s="1" t="s">
        <v>141</v>
      </c>
      <c r="N1108" s="1"/>
      <c r="O1108" s="1" t="s">
        <v>7563</v>
      </c>
      <c r="P1108" s="1"/>
      <c r="Q1108" s="1" t="s">
        <v>7651</v>
      </c>
      <c r="R1108" s="1" t="s">
        <v>5359</v>
      </c>
      <c r="S1108" s="1" t="s">
        <v>8909</v>
      </c>
      <c r="T1108" s="15">
        <v>2025</v>
      </c>
      <c r="U1108" s="3" t="s">
        <v>5765</v>
      </c>
      <c r="V1108" s="3" t="s">
        <v>29</v>
      </c>
      <c r="X1108">
        <v>5</v>
      </c>
      <c r="Z1108" t="s">
        <v>3828</v>
      </c>
      <c r="AA1108" t="s">
        <v>7956</v>
      </c>
      <c r="AB1108" s="14" t="s">
        <v>3887</v>
      </c>
      <c r="AD1108" t="s">
        <v>764</v>
      </c>
    </row>
    <row r="1109" spans="1:30" customFormat="1" hidden="1" x14ac:dyDescent="0.3">
      <c r="A1109" s="1"/>
      <c r="B1109" s="1" t="s">
        <v>8910</v>
      </c>
      <c r="C1109" s="1" t="s">
        <v>354</v>
      </c>
      <c r="D1109" s="1" t="s">
        <v>8911</v>
      </c>
      <c r="E1109" s="1" t="s">
        <v>8912</v>
      </c>
      <c r="F1109" s="1" t="s">
        <v>8913</v>
      </c>
      <c r="G1109" s="1" t="s">
        <v>8914</v>
      </c>
      <c r="H1109" s="1" t="s">
        <v>8915</v>
      </c>
      <c r="I1109" s="1" t="s">
        <v>8916</v>
      </c>
      <c r="J1109" s="1" t="s">
        <v>72</v>
      </c>
      <c r="K1109" s="1" t="s">
        <v>39</v>
      </c>
      <c r="L1109" s="1" t="s">
        <v>1304</v>
      </c>
      <c r="M1109" s="1" t="s">
        <v>141</v>
      </c>
      <c r="N1109" s="1"/>
      <c r="O1109" s="1" t="s">
        <v>7563</v>
      </c>
      <c r="P1109" s="1"/>
      <c r="Q1109" s="1" t="s">
        <v>7651</v>
      </c>
      <c r="R1109" s="1" t="s">
        <v>5359</v>
      </c>
      <c r="S1109" s="1" t="s">
        <v>8917</v>
      </c>
      <c r="T1109" s="15">
        <v>2025</v>
      </c>
      <c r="U1109" s="3" t="s">
        <v>5765</v>
      </c>
      <c r="V1109" s="3" t="s">
        <v>29</v>
      </c>
      <c r="X1109">
        <v>5</v>
      </c>
      <c r="Z1109" t="s">
        <v>3835</v>
      </c>
      <c r="AA1109" t="s">
        <v>7712</v>
      </c>
      <c r="AB1109" s="14" t="s">
        <v>3884</v>
      </c>
      <c r="AD1109" t="s">
        <v>764</v>
      </c>
    </row>
    <row r="1110" spans="1:30" customFormat="1" ht="27.6" hidden="1" x14ac:dyDescent="0.3">
      <c r="A1110" s="1" t="s">
        <v>2635</v>
      </c>
      <c r="B1110" s="1" t="s">
        <v>8918</v>
      </c>
      <c r="C1110" s="1" t="s">
        <v>8919</v>
      </c>
      <c r="D1110" s="1" t="s">
        <v>8920</v>
      </c>
      <c r="E1110" s="1" t="s">
        <v>8921</v>
      </c>
      <c r="F1110" s="1" t="s">
        <v>8922</v>
      </c>
      <c r="G1110" s="1" t="s">
        <v>8923</v>
      </c>
      <c r="H1110" s="1" t="s">
        <v>2582</v>
      </c>
      <c r="I1110" s="1" t="s">
        <v>8924</v>
      </c>
      <c r="J1110" s="1" t="s">
        <v>72</v>
      </c>
      <c r="K1110" s="1" t="s">
        <v>39</v>
      </c>
      <c r="L1110" s="1" t="s">
        <v>8925</v>
      </c>
      <c r="M1110" s="1" t="s">
        <v>42</v>
      </c>
      <c r="N1110" s="1"/>
      <c r="O1110" s="1" t="s">
        <v>7563</v>
      </c>
      <c r="P1110" s="1" t="s">
        <v>7724</v>
      </c>
      <c r="Q1110" s="1"/>
      <c r="R1110" s="1" t="s">
        <v>5480</v>
      </c>
      <c r="S1110" s="1" t="s">
        <v>8926</v>
      </c>
      <c r="T1110" s="15">
        <v>2025</v>
      </c>
      <c r="U1110" s="3" t="s">
        <v>5765</v>
      </c>
      <c r="V1110" s="3" t="s">
        <v>29</v>
      </c>
      <c r="X1110">
        <v>5</v>
      </c>
      <c r="Z1110" t="s">
        <v>3835</v>
      </c>
      <c r="AA1110" t="s">
        <v>7617</v>
      </c>
      <c r="AB1110" s="14" t="s">
        <v>3884</v>
      </c>
      <c r="AD1110" t="s">
        <v>764</v>
      </c>
    </row>
    <row r="1111" spans="1:30" customFormat="1" hidden="1" x14ac:dyDescent="0.3">
      <c r="A1111" s="1"/>
      <c r="B1111" s="1" t="s">
        <v>1537</v>
      </c>
      <c r="C1111" s="1" t="s">
        <v>1094</v>
      </c>
      <c r="D1111" s="1" t="s">
        <v>8927</v>
      </c>
      <c r="E1111" s="1" t="s">
        <v>8928</v>
      </c>
      <c r="F1111" s="1" t="s">
        <v>8929</v>
      </c>
      <c r="G1111" s="1"/>
      <c r="H1111" s="1"/>
      <c r="I1111" s="1"/>
      <c r="J1111" s="1" t="s">
        <v>8930</v>
      </c>
      <c r="K1111" s="1" t="s">
        <v>39</v>
      </c>
      <c r="L1111" s="1" t="s">
        <v>4295</v>
      </c>
      <c r="M1111" s="1" t="s">
        <v>141</v>
      </c>
      <c r="N1111" s="1"/>
      <c r="O1111" s="1" t="s">
        <v>7563</v>
      </c>
      <c r="P1111" s="1"/>
      <c r="Q1111" s="1" t="s">
        <v>7651</v>
      </c>
      <c r="R1111" s="1" t="s">
        <v>5359</v>
      </c>
      <c r="S1111" s="1" t="s">
        <v>8931</v>
      </c>
      <c r="T1111" s="15">
        <v>2025</v>
      </c>
      <c r="U1111" s="3" t="s">
        <v>5765</v>
      </c>
      <c r="V1111" s="3" t="s">
        <v>29</v>
      </c>
      <c r="X1111">
        <v>5</v>
      </c>
      <c r="Z1111" t="s">
        <v>3835</v>
      </c>
      <c r="AA1111" t="s">
        <v>8586</v>
      </c>
      <c r="AB1111" s="14" t="s">
        <v>3884</v>
      </c>
      <c r="AD1111" t="s">
        <v>764</v>
      </c>
    </row>
    <row r="1112" spans="1:30" customFormat="1" hidden="1" x14ac:dyDescent="0.3">
      <c r="A1112" s="1" t="s">
        <v>1052</v>
      </c>
      <c r="B1112" s="1" t="s">
        <v>8932</v>
      </c>
      <c r="C1112" s="1" t="s">
        <v>229</v>
      </c>
      <c r="D1112" s="1" t="s">
        <v>8933</v>
      </c>
      <c r="E1112" s="1" t="s">
        <v>8934</v>
      </c>
      <c r="F1112" s="1" t="s">
        <v>8935</v>
      </c>
      <c r="G1112" s="1"/>
      <c r="H1112" s="1"/>
      <c r="I1112" s="1"/>
      <c r="J1112" s="1" t="s">
        <v>8936</v>
      </c>
      <c r="K1112" s="1" t="s">
        <v>39</v>
      </c>
      <c r="L1112" s="1" t="s">
        <v>731</v>
      </c>
      <c r="M1112" s="1" t="s">
        <v>141</v>
      </c>
      <c r="N1112" s="1"/>
      <c r="O1112" s="1" t="s">
        <v>7563</v>
      </c>
      <c r="P1112" s="1"/>
      <c r="Q1112" s="1" t="s">
        <v>7651</v>
      </c>
      <c r="R1112" s="1" t="s">
        <v>5359</v>
      </c>
      <c r="S1112" s="1" t="s">
        <v>8937</v>
      </c>
      <c r="T1112" s="15">
        <v>2025</v>
      </c>
      <c r="U1112" s="3" t="s">
        <v>5765</v>
      </c>
      <c r="V1112" s="3" t="s">
        <v>29</v>
      </c>
      <c r="X1112">
        <v>5</v>
      </c>
      <c r="Z1112" t="s">
        <v>3828</v>
      </c>
      <c r="AA1112" t="s">
        <v>7037</v>
      </c>
      <c r="AB1112" s="14" t="s">
        <v>3888</v>
      </c>
      <c r="AD1112" t="s">
        <v>764</v>
      </c>
    </row>
    <row r="1113" spans="1:30" customFormat="1" ht="41.4" hidden="1" x14ac:dyDescent="0.3">
      <c r="A1113" s="1" t="s">
        <v>8938</v>
      </c>
      <c r="B1113" s="1" t="s">
        <v>8939</v>
      </c>
      <c r="C1113" s="1" t="s">
        <v>397</v>
      </c>
      <c r="D1113" s="1" t="s">
        <v>8940</v>
      </c>
      <c r="E1113" s="1" t="s">
        <v>8941</v>
      </c>
      <c r="F1113" s="2" t="s">
        <v>8942</v>
      </c>
      <c r="G1113" s="1" t="s">
        <v>8943</v>
      </c>
      <c r="H1113" s="1" t="s">
        <v>8944</v>
      </c>
      <c r="I1113" s="1" t="s">
        <v>8945</v>
      </c>
      <c r="J1113" s="1" t="s">
        <v>1556</v>
      </c>
      <c r="K1113" s="1" t="s">
        <v>39</v>
      </c>
      <c r="L1113" s="1" t="s">
        <v>8946</v>
      </c>
      <c r="M1113" s="1" t="s">
        <v>141</v>
      </c>
      <c r="N1113" s="1" t="s">
        <v>8947</v>
      </c>
      <c r="O1113" s="1" t="s">
        <v>7563</v>
      </c>
      <c r="P1113" s="1"/>
      <c r="Q1113" s="1" t="s">
        <v>7651</v>
      </c>
      <c r="R1113" s="1" t="s">
        <v>5480</v>
      </c>
      <c r="S1113" s="1" t="s">
        <v>8948</v>
      </c>
      <c r="T1113" s="15">
        <v>2025</v>
      </c>
      <c r="U1113" s="3" t="s">
        <v>5765</v>
      </c>
      <c r="V1113" s="3" t="s">
        <v>29</v>
      </c>
      <c r="X1113">
        <v>5</v>
      </c>
      <c r="Z1113" t="s">
        <v>3828</v>
      </c>
      <c r="AA1113" t="s">
        <v>7886</v>
      </c>
      <c r="AB1113" s="14" t="s">
        <v>3888</v>
      </c>
      <c r="AD1113" t="s">
        <v>764</v>
      </c>
    </row>
    <row r="1114" spans="1:30" customFormat="1" hidden="1" x14ac:dyDescent="0.3">
      <c r="A1114" s="1" t="s">
        <v>1531</v>
      </c>
      <c r="B1114" s="4" t="s">
        <v>8949</v>
      </c>
      <c r="C1114" s="4" t="s">
        <v>466</v>
      </c>
      <c r="D1114" s="1" t="s">
        <v>8950</v>
      </c>
      <c r="E1114" s="1" t="s">
        <v>8951</v>
      </c>
      <c r="F1114" s="1" t="s">
        <v>8952</v>
      </c>
      <c r="G1114" s="1"/>
      <c r="H1114" s="1" t="s">
        <v>1531</v>
      </c>
      <c r="I1114" s="1" t="s">
        <v>8953</v>
      </c>
      <c r="J1114" s="1" t="s">
        <v>72</v>
      </c>
      <c r="K1114" s="1" t="s">
        <v>39</v>
      </c>
      <c r="L1114" s="1" t="s">
        <v>997</v>
      </c>
      <c r="M1114" s="1" t="s">
        <v>141</v>
      </c>
      <c r="N1114" s="1"/>
      <c r="O1114" s="1" t="s">
        <v>7563</v>
      </c>
      <c r="P1114" s="1" t="s">
        <v>7724</v>
      </c>
      <c r="Q1114" s="1"/>
      <c r="R1114" s="1" t="s">
        <v>5480</v>
      </c>
      <c r="S1114" s="1" t="s">
        <v>8954</v>
      </c>
      <c r="T1114" s="15">
        <v>2025</v>
      </c>
      <c r="U1114" s="3" t="s">
        <v>5765</v>
      </c>
      <c r="V1114" s="3" t="s">
        <v>29</v>
      </c>
      <c r="X1114">
        <v>50</v>
      </c>
      <c r="Z1114" t="s">
        <v>3870</v>
      </c>
      <c r="AA1114" t="s">
        <v>1342</v>
      </c>
      <c r="AB1114" s="14" t="s">
        <v>3886</v>
      </c>
      <c r="AD1114" t="s">
        <v>764</v>
      </c>
    </row>
    <row r="1115" spans="1:30" customFormat="1" hidden="1" x14ac:dyDescent="0.3">
      <c r="A1115" s="1"/>
      <c r="B1115" s="1" t="s">
        <v>3325</v>
      </c>
      <c r="C1115" s="1" t="s">
        <v>68</v>
      </c>
      <c r="D1115" s="1" t="s">
        <v>8955</v>
      </c>
      <c r="E1115" s="1" t="s">
        <v>8956</v>
      </c>
      <c r="F1115" s="1" t="s">
        <v>8957</v>
      </c>
      <c r="G1115" s="1" t="s">
        <v>8958</v>
      </c>
      <c r="H1115" s="1" t="s">
        <v>8959</v>
      </c>
      <c r="I1115" s="1" t="s">
        <v>4148</v>
      </c>
      <c r="J1115" s="1" t="s">
        <v>72</v>
      </c>
      <c r="K1115" s="1" t="s">
        <v>39</v>
      </c>
      <c r="L1115" s="1" t="s">
        <v>8960</v>
      </c>
      <c r="M1115" s="1" t="s">
        <v>141</v>
      </c>
      <c r="N1115" s="1"/>
      <c r="O1115" s="1" t="s">
        <v>7563</v>
      </c>
      <c r="P1115" s="1"/>
      <c r="Q1115" s="1" t="s">
        <v>7651</v>
      </c>
      <c r="R1115" s="1" t="s">
        <v>5480</v>
      </c>
      <c r="S1115" s="1" t="s">
        <v>8961</v>
      </c>
      <c r="T1115" s="15">
        <v>2025</v>
      </c>
      <c r="U1115" s="3" t="s">
        <v>5765</v>
      </c>
      <c r="V1115" s="3" t="s">
        <v>29</v>
      </c>
      <c r="X1115">
        <v>5</v>
      </c>
      <c r="Z1115" t="s">
        <v>3828</v>
      </c>
      <c r="AA1115" t="s">
        <v>7886</v>
      </c>
      <c r="AB1115" s="14" t="s">
        <v>3888</v>
      </c>
      <c r="AD1115" t="s">
        <v>764</v>
      </c>
    </row>
    <row r="1116" spans="1:30" customFormat="1" hidden="1" x14ac:dyDescent="0.3">
      <c r="A1116" s="1" t="s">
        <v>1052</v>
      </c>
      <c r="B1116" s="1" t="s">
        <v>8962</v>
      </c>
      <c r="C1116" s="1" t="s">
        <v>157</v>
      </c>
      <c r="D1116" s="1" t="s">
        <v>8963</v>
      </c>
      <c r="E1116" s="1" t="s">
        <v>8964</v>
      </c>
      <c r="F1116" s="1" t="s">
        <v>8965</v>
      </c>
      <c r="G1116" s="1" t="s">
        <v>8966</v>
      </c>
      <c r="H1116" s="1" t="s">
        <v>3656</v>
      </c>
      <c r="I1116" s="1" t="s">
        <v>8967</v>
      </c>
      <c r="J1116" s="1" t="s">
        <v>3903</v>
      </c>
      <c r="K1116" s="1" t="s">
        <v>39</v>
      </c>
      <c r="L1116" s="1" t="s">
        <v>8968</v>
      </c>
      <c r="M1116" s="1" t="s">
        <v>141</v>
      </c>
      <c r="N1116" s="1"/>
      <c r="O1116" s="1" t="s">
        <v>7563</v>
      </c>
      <c r="P1116" s="1"/>
      <c r="Q1116" s="1" t="s">
        <v>7651</v>
      </c>
      <c r="R1116" s="1" t="s">
        <v>5359</v>
      </c>
      <c r="S1116" s="1" t="s">
        <v>8969</v>
      </c>
      <c r="T1116" s="15">
        <v>2025</v>
      </c>
      <c r="U1116" s="3" t="s">
        <v>5765</v>
      </c>
      <c r="V1116" s="3" t="s">
        <v>29</v>
      </c>
      <c r="X1116">
        <v>5</v>
      </c>
      <c r="Z1116" t="s">
        <v>3828</v>
      </c>
      <c r="AA1116" t="s">
        <v>8361</v>
      </c>
      <c r="AB1116" s="14" t="s">
        <v>3888</v>
      </c>
      <c r="AD1116" t="s">
        <v>764</v>
      </c>
    </row>
    <row r="1117" spans="1:30" customFormat="1" ht="27.6" hidden="1" x14ac:dyDescent="0.3">
      <c r="A1117" s="1" t="s">
        <v>4024</v>
      </c>
      <c r="B1117" s="1" t="s">
        <v>8970</v>
      </c>
      <c r="C1117" s="1" t="s">
        <v>1463</v>
      </c>
      <c r="D1117" s="1" t="s">
        <v>8971</v>
      </c>
      <c r="E1117" s="1" t="s">
        <v>8972</v>
      </c>
      <c r="F1117" s="1" t="s">
        <v>8973</v>
      </c>
      <c r="G1117" s="1"/>
      <c r="H1117" s="1"/>
      <c r="I1117" s="1" t="s">
        <v>8974</v>
      </c>
      <c r="J1117" s="1" t="s">
        <v>72</v>
      </c>
      <c r="K1117" s="1" t="s">
        <v>39</v>
      </c>
      <c r="L1117" s="1" t="s">
        <v>8975</v>
      </c>
      <c r="M1117" s="1" t="s">
        <v>141</v>
      </c>
      <c r="N1117" s="1"/>
      <c r="O1117" s="1" t="s">
        <v>7563</v>
      </c>
      <c r="P1117" s="1"/>
      <c r="Q1117" s="1" t="s">
        <v>7651</v>
      </c>
      <c r="R1117" s="1" t="s">
        <v>5480</v>
      </c>
      <c r="S1117" s="1" t="s">
        <v>8976</v>
      </c>
      <c r="T1117" s="15">
        <v>2025</v>
      </c>
      <c r="U1117" s="3" t="s">
        <v>5765</v>
      </c>
      <c r="V1117" s="3" t="s">
        <v>29</v>
      </c>
      <c r="X1117">
        <v>5</v>
      </c>
      <c r="Z1117" t="s">
        <v>3870</v>
      </c>
      <c r="AA1117" t="s">
        <v>8977</v>
      </c>
      <c r="AB1117" s="14" t="s">
        <v>3886</v>
      </c>
      <c r="AD1117" t="s">
        <v>764</v>
      </c>
    </row>
    <row r="1118" spans="1:30" customFormat="1" hidden="1" x14ac:dyDescent="0.3">
      <c r="A1118" s="1" t="s">
        <v>6122</v>
      </c>
      <c r="B1118" s="4" t="s">
        <v>8978</v>
      </c>
      <c r="C1118" s="4" t="s">
        <v>1742</v>
      </c>
      <c r="D1118" s="1" t="s">
        <v>8979</v>
      </c>
      <c r="E1118" s="1" t="s">
        <v>8980</v>
      </c>
      <c r="F1118" s="1" t="s">
        <v>8981</v>
      </c>
      <c r="G1118" s="1" t="s">
        <v>8982</v>
      </c>
      <c r="H1118" s="1" t="s">
        <v>8983</v>
      </c>
      <c r="I1118" s="1" t="s">
        <v>8984</v>
      </c>
      <c r="J1118" s="1" t="s">
        <v>2312</v>
      </c>
      <c r="K1118" s="1" t="s">
        <v>39</v>
      </c>
      <c r="L1118" s="1" t="s">
        <v>965</v>
      </c>
      <c r="M1118" s="1" t="s">
        <v>141</v>
      </c>
      <c r="N1118" s="1" t="s">
        <v>8985</v>
      </c>
      <c r="O1118" s="1" t="s">
        <v>7563</v>
      </c>
      <c r="P1118" s="1"/>
      <c r="Q1118" s="1" t="s">
        <v>7651</v>
      </c>
      <c r="R1118" s="1" t="s">
        <v>5359</v>
      </c>
      <c r="S1118" s="1" t="s">
        <v>8986</v>
      </c>
      <c r="T1118" s="15">
        <v>2025</v>
      </c>
      <c r="U1118" s="3" t="s">
        <v>5765</v>
      </c>
      <c r="V1118" s="3" t="s">
        <v>29</v>
      </c>
      <c r="X1118">
        <v>100</v>
      </c>
      <c r="Z1118" t="s">
        <v>3828</v>
      </c>
      <c r="AA1118" t="s">
        <v>5381</v>
      </c>
      <c r="AB1118" s="14" t="s">
        <v>3888</v>
      </c>
      <c r="AD1118" t="s">
        <v>764</v>
      </c>
    </row>
    <row r="1119" spans="1:30" customFormat="1" hidden="1" x14ac:dyDescent="0.3">
      <c r="A1119" s="1" t="s">
        <v>1262</v>
      </c>
      <c r="B1119" s="1" t="s">
        <v>47</v>
      </c>
      <c r="C1119" s="1" t="s">
        <v>447</v>
      </c>
      <c r="D1119" s="1" t="s">
        <v>8987</v>
      </c>
      <c r="E1119" s="1" t="s">
        <v>8988</v>
      </c>
      <c r="F1119" s="1" t="s">
        <v>8989</v>
      </c>
      <c r="G1119" s="1" t="s">
        <v>8990</v>
      </c>
      <c r="H1119" s="1" t="s">
        <v>8991</v>
      </c>
      <c r="I1119" s="1"/>
      <c r="J1119" s="1" t="s">
        <v>72</v>
      </c>
      <c r="K1119" s="1" t="s">
        <v>39</v>
      </c>
      <c r="L1119" s="1" t="s">
        <v>8992</v>
      </c>
      <c r="M1119" s="1" t="s">
        <v>141</v>
      </c>
      <c r="N1119" s="1"/>
      <c r="O1119" s="1" t="s">
        <v>7563</v>
      </c>
      <c r="P1119" s="1"/>
      <c r="Q1119" s="1" t="s">
        <v>7651</v>
      </c>
      <c r="R1119" s="1" t="s">
        <v>5480</v>
      </c>
      <c r="S1119" s="1" t="s">
        <v>8993</v>
      </c>
      <c r="T1119" s="15">
        <v>2025</v>
      </c>
      <c r="U1119" s="3" t="s">
        <v>5765</v>
      </c>
      <c r="V1119" s="3" t="s">
        <v>29</v>
      </c>
      <c r="X1119">
        <v>5</v>
      </c>
      <c r="Z1119" t="s">
        <v>3835</v>
      </c>
      <c r="AA1119" t="s">
        <v>8586</v>
      </c>
      <c r="AB1119" s="14" t="s">
        <v>3884</v>
      </c>
      <c r="AD1119" t="s">
        <v>764</v>
      </c>
    </row>
    <row r="1120" spans="1:30" customFormat="1" ht="27.6" hidden="1" x14ac:dyDescent="0.3">
      <c r="A1120" s="1"/>
      <c r="B1120" s="1" t="s">
        <v>8994</v>
      </c>
      <c r="C1120" s="1" t="s">
        <v>5024</v>
      </c>
      <c r="D1120" s="1" t="s">
        <v>8995</v>
      </c>
      <c r="E1120" s="1" t="s">
        <v>8996</v>
      </c>
      <c r="F1120" s="1" t="s">
        <v>8997</v>
      </c>
      <c r="G1120" s="1"/>
      <c r="H1120" s="1"/>
      <c r="I1120" s="1"/>
      <c r="J1120" s="1" t="s">
        <v>8998</v>
      </c>
      <c r="K1120" s="1" t="s">
        <v>39</v>
      </c>
      <c r="L1120" s="1" t="s">
        <v>8999</v>
      </c>
      <c r="M1120" s="1" t="s">
        <v>141</v>
      </c>
      <c r="N1120" s="1"/>
      <c r="O1120" s="1" t="s">
        <v>7563</v>
      </c>
      <c r="P1120" s="1"/>
      <c r="Q1120" s="1" t="s">
        <v>7651</v>
      </c>
      <c r="R1120" s="1" t="s">
        <v>5359</v>
      </c>
      <c r="S1120" s="1" t="s">
        <v>9000</v>
      </c>
      <c r="T1120" s="15">
        <v>2025</v>
      </c>
      <c r="U1120" s="3" t="s">
        <v>5765</v>
      </c>
      <c r="V1120" s="3" t="s">
        <v>29</v>
      </c>
      <c r="X1120">
        <v>5</v>
      </c>
      <c r="Z1120" t="s">
        <v>6146</v>
      </c>
      <c r="AA1120" t="s">
        <v>7927</v>
      </c>
      <c r="AB1120" s="14" t="s">
        <v>3891</v>
      </c>
      <c r="AD1120" t="s">
        <v>764</v>
      </c>
    </row>
    <row r="1121" spans="1:30" customFormat="1" ht="27.6" hidden="1" x14ac:dyDescent="0.3">
      <c r="A1121" s="1"/>
      <c r="B1121" s="1" t="s">
        <v>9001</v>
      </c>
      <c r="C1121" s="1" t="s">
        <v>523</v>
      </c>
      <c r="D1121" s="1" t="s">
        <v>9002</v>
      </c>
      <c r="E1121" s="1"/>
      <c r="F1121" s="1" t="s">
        <v>9003</v>
      </c>
      <c r="G1121" s="1" t="s">
        <v>9004</v>
      </c>
      <c r="H1121" s="1"/>
      <c r="I1121" s="1"/>
      <c r="J1121" s="1" t="s">
        <v>72</v>
      </c>
      <c r="K1121" s="1" t="s">
        <v>39</v>
      </c>
      <c r="L1121" s="1" t="s">
        <v>9005</v>
      </c>
      <c r="M1121" s="1" t="s">
        <v>141</v>
      </c>
      <c r="N1121" s="1"/>
      <c r="O1121" s="1" t="s">
        <v>7563</v>
      </c>
      <c r="P1121" s="1"/>
      <c r="Q1121" s="1" t="s">
        <v>7651</v>
      </c>
      <c r="R1121" s="1" t="s">
        <v>5480</v>
      </c>
      <c r="S1121" s="1" t="s">
        <v>9006</v>
      </c>
      <c r="T1121" s="15">
        <v>2025</v>
      </c>
      <c r="U1121" s="3" t="s">
        <v>5765</v>
      </c>
      <c r="V1121" s="3" t="s">
        <v>29</v>
      </c>
      <c r="X1121">
        <v>5</v>
      </c>
      <c r="Z1121" t="s">
        <v>3828</v>
      </c>
      <c r="AA1121" t="s">
        <v>7887</v>
      </c>
      <c r="AB1121" s="14" t="s">
        <v>3888</v>
      </c>
      <c r="AD1121" t="s">
        <v>764</v>
      </c>
    </row>
    <row r="1122" spans="1:30" customFormat="1" hidden="1" x14ac:dyDescent="0.3">
      <c r="A1122" s="1" t="s">
        <v>5892</v>
      </c>
      <c r="B1122" s="1" t="s">
        <v>9007</v>
      </c>
      <c r="C1122" s="1" t="s">
        <v>806</v>
      </c>
      <c r="D1122" s="1" t="s">
        <v>9008</v>
      </c>
      <c r="E1122" s="1" t="s">
        <v>9009</v>
      </c>
      <c r="F1122" s="1" t="s">
        <v>9010</v>
      </c>
      <c r="G1122" s="1"/>
      <c r="H1122" s="1" t="s">
        <v>8991</v>
      </c>
      <c r="I1122" s="1"/>
      <c r="J1122" s="1" t="s">
        <v>1123</v>
      </c>
      <c r="K1122" s="1" t="s">
        <v>39</v>
      </c>
      <c r="L1122" s="1" t="s">
        <v>5892</v>
      </c>
      <c r="M1122" s="1" t="s">
        <v>42</v>
      </c>
      <c r="N1122" s="1"/>
      <c r="O1122" s="1" t="s">
        <v>7563</v>
      </c>
      <c r="P1122" s="1" t="s">
        <v>7724</v>
      </c>
      <c r="Q1122" s="1" t="s">
        <v>7651</v>
      </c>
      <c r="R1122" s="1" t="s">
        <v>5359</v>
      </c>
      <c r="S1122" s="1" t="s">
        <v>9011</v>
      </c>
      <c r="T1122" s="15">
        <v>2025</v>
      </c>
      <c r="U1122" s="3" t="s">
        <v>5765</v>
      </c>
      <c r="V1122" s="3" t="s">
        <v>29</v>
      </c>
      <c r="X1122">
        <v>5</v>
      </c>
      <c r="Z1122" t="s">
        <v>3835</v>
      </c>
      <c r="AA1122" t="s">
        <v>7712</v>
      </c>
      <c r="AB1122" s="14" t="s">
        <v>3884</v>
      </c>
      <c r="AD1122" t="s">
        <v>764</v>
      </c>
    </row>
    <row r="1123" spans="1:30" customFormat="1" ht="41.4" hidden="1" x14ac:dyDescent="0.3">
      <c r="A1123" s="1" t="s">
        <v>9012</v>
      </c>
      <c r="B1123" s="1" t="s">
        <v>3403</v>
      </c>
      <c r="C1123" s="1" t="s">
        <v>9013</v>
      </c>
      <c r="D1123" s="1" t="s">
        <v>9014</v>
      </c>
      <c r="E1123" s="1" t="s">
        <v>9015</v>
      </c>
      <c r="F1123" s="1" t="s">
        <v>9016</v>
      </c>
      <c r="G1123" s="1" t="s">
        <v>9017</v>
      </c>
      <c r="H1123" s="1"/>
      <c r="I1123" s="1"/>
      <c r="J1123" s="1" t="s">
        <v>72</v>
      </c>
      <c r="K1123" s="1" t="s">
        <v>39</v>
      </c>
      <c r="L1123" s="1" t="s">
        <v>5892</v>
      </c>
      <c r="M1123" s="1" t="s">
        <v>141</v>
      </c>
      <c r="N1123" s="1"/>
      <c r="O1123" s="1" t="s">
        <v>7563</v>
      </c>
      <c r="P1123" s="1"/>
      <c r="Q1123" s="1" t="s">
        <v>7651</v>
      </c>
      <c r="R1123" s="1" t="s">
        <v>5359</v>
      </c>
      <c r="S1123" s="1" t="s">
        <v>9018</v>
      </c>
      <c r="T1123" s="15">
        <v>2025</v>
      </c>
      <c r="U1123" s="3" t="s">
        <v>5765</v>
      </c>
      <c r="V1123" s="3" t="s">
        <v>29</v>
      </c>
      <c r="X1123">
        <v>5</v>
      </c>
      <c r="Z1123" t="s">
        <v>3828</v>
      </c>
      <c r="AA1123" t="s">
        <v>9035</v>
      </c>
      <c r="AB1123" s="14" t="s">
        <v>3887</v>
      </c>
      <c r="AD1123" t="s">
        <v>764</v>
      </c>
    </row>
    <row r="1124" spans="1:30" customFormat="1" hidden="1" x14ac:dyDescent="0.3">
      <c r="A1124" s="1"/>
      <c r="B1124" s="1" t="s">
        <v>9019</v>
      </c>
      <c r="C1124" s="1" t="s">
        <v>9020</v>
      </c>
      <c r="D1124" s="1" t="s">
        <v>9021</v>
      </c>
      <c r="E1124" s="1" t="s">
        <v>9022</v>
      </c>
      <c r="F1124" s="1" t="s">
        <v>9023</v>
      </c>
      <c r="G1124" s="1"/>
      <c r="H1124" s="1" t="s">
        <v>9024</v>
      </c>
      <c r="I1124" s="1"/>
      <c r="J1124" s="1" t="s">
        <v>877</v>
      </c>
      <c r="K1124" s="1" t="s">
        <v>39</v>
      </c>
      <c r="L1124" s="1" t="s">
        <v>9025</v>
      </c>
      <c r="M1124" s="1" t="s">
        <v>141</v>
      </c>
      <c r="N1124" s="1"/>
      <c r="O1124" s="1" t="s">
        <v>7563</v>
      </c>
      <c r="P1124" s="1"/>
      <c r="Q1124" s="1" t="s">
        <v>7651</v>
      </c>
      <c r="R1124" s="1" t="s">
        <v>5359</v>
      </c>
      <c r="S1124" s="1" t="s">
        <v>9026</v>
      </c>
      <c r="T1124" s="15">
        <v>2025</v>
      </c>
      <c r="U1124" s="3" t="s">
        <v>5765</v>
      </c>
      <c r="V1124" s="3" t="s">
        <v>29</v>
      </c>
      <c r="X1124">
        <v>5</v>
      </c>
      <c r="Z1124" t="s">
        <v>6146</v>
      </c>
      <c r="AA1124" t="s">
        <v>9036</v>
      </c>
      <c r="AB1124" s="14" t="s">
        <v>3891</v>
      </c>
      <c r="AD1124" t="s">
        <v>764</v>
      </c>
    </row>
    <row r="1125" spans="1:30" customFormat="1" ht="41.4" hidden="1" x14ac:dyDescent="0.3">
      <c r="A1125" s="1" t="s">
        <v>9027</v>
      </c>
      <c r="B1125" s="1" t="s">
        <v>9028</v>
      </c>
      <c r="C1125" s="1" t="s">
        <v>9029</v>
      </c>
      <c r="D1125" s="1" t="s">
        <v>9030</v>
      </c>
      <c r="E1125" s="1" t="s">
        <v>9031</v>
      </c>
      <c r="F1125" s="1" t="s">
        <v>9032</v>
      </c>
      <c r="G1125" s="1"/>
      <c r="H1125" s="1" t="s">
        <v>756</v>
      </c>
      <c r="I1125" s="1"/>
      <c r="J1125" s="1" t="s">
        <v>72</v>
      </c>
      <c r="K1125" s="1" t="s">
        <v>39</v>
      </c>
      <c r="L1125" s="1" t="s">
        <v>9033</v>
      </c>
      <c r="M1125" s="1" t="s">
        <v>42</v>
      </c>
      <c r="N1125" s="1"/>
      <c r="O1125" s="1" t="s">
        <v>7563</v>
      </c>
      <c r="P1125" s="1"/>
      <c r="Q1125" s="1" t="s">
        <v>7651</v>
      </c>
      <c r="R1125" s="1" t="s">
        <v>5359</v>
      </c>
      <c r="S1125" s="1" t="s">
        <v>9034</v>
      </c>
      <c r="T1125" s="15">
        <v>2025</v>
      </c>
      <c r="U1125" s="3" t="s">
        <v>5765</v>
      </c>
      <c r="V1125" s="3" t="s">
        <v>29</v>
      </c>
      <c r="X1125">
        <v>5</v>
      </c>
      <c r="Z1125" t="s">
        <v>3828</v>
      </c>
      <c r="AA1125" t="s">
        <v>9037</v>
      </c>
      <c r="AB1125" s="14" t="s">
        <v>3885</v>
      </c>
      <c r="AD1125" t="s">
        <v>764</v>
      </c>
    </row>
    <row r="1126" spans="1:30" customFormat="1" hidden="1" x14ac:dyDescent="0.3">
      <c r="A1126" s="1"/>
      <c r="B1126" s="4" t="s">
        <v>9038</v>
      </c>
      <c r="C1126" s="4" t="s">
        <v>172</v>
      </c>
      <c r="D1126" s="1" t="s">
        <v>9039</v>
      </c>
      <c r="E1126" s="1" t="s">
        <v>9040</v>
      </c>
      <c r="F1126" s="1" t="s">
        <v>9041</v>
      </c>
      <c r="G1126" s="1"/>
      <c r="H1126" s="1"/>
      <c r="I1126" s="1"/>
      <c r="J1126" s="1" t="s">
        <v>9042</v>
      </c>
      <c r="K1126" s="1" t="s">
        <v>39</v>
      </c>
      <c r="L1126" s="1" t="s">
        <v>9043</v>
      </c>
      <c r="M1126" s="1" t="s">
        <v>141</v>
      </c>
      <c r="N1126" s="1"/>
      <c r="O1126" s="1" t="s">
        <v>7563</v>
      </c>
      <c r="P1126" s="1"/>
      <c r="Q1126" s="1" t="s">
        <v>7651</v>
      </c>
      <c r="R1126" s="1" t="s">
        <v>6962</v>
      </c>
      <c r="S1126" s="1" t="s">
        <v>9044</v>
      </c>
      <c r="T1126" s="15">
        <v>2025</v>
      </c>
      <c r="U1126" s="3" t="s">
        <v>5765</v>
      </c>
      <c r="V1126" s="3" t="s">
        <v>29</v>
      </c>
      <c r="X1126">
        <v>5</v>
      </c>
      <c r="Z1126" t="s">
        <v>3835</v>
      </c>
      <c r="AA1126" t="s">
        <v>8335</v>
      </c>
      <c r="AB1126" s="14" t="s">
        <v>3884</v>
      </c>
      <c r="AD1126" t="s">
        <v>764</v>
      </c>
    </row>
    <row r="1127" spans="1:30" customFormat="1" ht="27.6" hidden="1" x14ac:dyDescent="0.3">
      <c r="A1127" s="1"/>
      <c r="B1127" s="1" t="s">
        <v>9045</v>
      </c>
      <c r="C1127" s="1" t="s">
        <v>1867</v>
      </c>
      <c r="D1127" s="1" t="s">
        <v>9046</v>
      </c>
      <c r="E1127" s="1" t="s">
        <v>9047</v>
      </c>
      <c r="F1127" s="1" t="s">
        <v>9048</v>
      </c>
      <c r="G1127" s="1" t="s">
        <v>9049</v>
      </c>
      <c r="H1127" s="1" t="s">
        <v>9050</v>
      </c>
      <c r="I1127" s="1" t="s">
        <v>589</v>
      </c>
      <c r="J1127" s="1" t="s">
        <v>9051</v>
      </c>
      <c r="K1127" s="1" t="s">
        <v>39</v>
      </c>
      <c r="L1127" s="1" t="s">
        <v>9052</v>
      </c>
      <c r="M1127" s="1" t="s">
        <v>141</v>
      </c>
      <c r="N1127" s="1"/>
      <c r="O1127" s="1" t="s">
        <v>7563</v>
      </c>
      <c r="P1127" s="1"/>
      <c r="Q1127" s="1" t="s">
        <v>7651</v>
      </c>
      <c r="R1127" s="1" t="s">
        <v>6308</v>
      </c>
      <c r="S1127" s="1" t="s">
        <v>9053</v>
      </c>
      <c r="T1127" s="15">
        <v>2025</v>
      </c>
      <c r="U1127" s="3" t="s">
        <v>5765</v>
      </c>
      <c r="V1127" s="3" t="s">
        <v>29</v>
      </c>
      <c r="X1127">
        <v>5</v>
      </c>
      <c r="Z1127" t="s">
        <v>3835</v>
      </c>
      <c r="AA1127" t="s">
        <v>9081</v>
      </c>
      <c r="AB1127" s="14" t="s">
        <v>3884</v>
      </c>
      <c r="AD1127" t="s">
        <v>764</v>
      </c>
    </row>
    <row r="1128" spans="1:30" customFormat="1" ht="55.2" hidden="1" x14ac:dyDescent="0.3">
      <c r="A1128" s="1" t="s">
        <v>22</v>
      </c>
      <c r="B1128" s="1" t="s">
        <v>9054</v>
      </c>
      <c r="C1128" s="1" t="s">
        <v>2198</v>
      </c>
      <c r="D1128" s="1" t="s">
        <v>9055</v>
      </c>
      <c r="E1128" s="1" t="s">
        <v>9056</v>
      </c>
      <c r="F1128" s="1" t="s">
        <v>9057</v>
      </c>
      <c r="G1128" s="1" t="s">
        <v>9058</v>
      </c>
      <c r="H1128" s="1" t="s">
        <v>9059</v>
      </c>
      <c r="I1128" s="1"/>
      <c r="J1128" s="1" t="s">
        <v>9060</v>
      </c>
      <c r="K1128" s="1" t="s">
        <v>39</v>
      </c>
      <c r="L1128" s="1" t="s">
        <v>9061</v>
      </c>
      <c r="M1128" s="1" t="s">
        <v>141</v>
      </c>
      <c r="N1128" s="1" t="s">
        <v>9062</v>
      </c>
      <c r="O1128" s="1" t="s">
        <v>7563</v>
      </c>
      <c r="P1128" s="1"/>
      <c r="Q1128" s="1" t="s">
        <v>7651</v>
      </c>
      <c r="R1128" s="1" t="s">
        <v>5480</v>
      </c>
      <c r="S1128" s="1" t="s">
        <v>9063</v>
      </c>
      <c r="T1128" s="15">
        <v>2025</v>
      </c>
      <c r="U1128" s="3" t="s">
        <v>5765</v>
      </c>
      <c r="V1128" s="3" t="s">
        <v>29</v>
      </c>
      <c r="X1128">
        <v>5</v>
      </c>
      <c r="Z1128" t="s">
        <v>3835</v>
      </c>
      <c r="AA1128" t="s">
        <v>8335</v>
      </c>
      <c r="AB1128" s="14" t="s">
        <v>3884</v>
      </c>
      <c r="AD1128" t="s">
        <v>764</v>
      </c>
    </row>
    <row r="1129" spans="1:30" customFormat="1" ht="41.4" hidden="1" x14ac:dyDescent="0.3">
      <c r="A1129" s="1" t="s">
        <v>4040</v>
      </c>
      <c r="B1129" s="5" t="s">
        <v>9064</v>
      </c>
      <c r="C1129" s="5" t="s">
        <v>9065</v>
      </c>
      <c r="D1129" s="1" t="s">
        <v>9066</v>
      </c>
      <c r="E1129" s="1" t="s">
        <v>9067</v>
      </c>
      <c r="F1129" s="1" t="s">
        <v>9068</v>
      </c>
      <c r="G1129" s="1" t="s">
        <v>9069</v>
      </c>
      <c r="H1129" s="1" t="s">
        <v>9070</v>
      </c>
      <c r="I1129" s="1" t="s">
        <v>4066</v>
      </c>
      <c r="J1129" s="1" t="s">
        <v>1290</v>
      </c>
      <c r="K1129" s="1" t="s">
        <v>39</v>
      </c>
      <c r="L1129" s="1" t="s">
        <v>9071</v>
      </c>
      <c r="M1129" s="1" t="s">
        <v>141</v>
      </c>
      <c r="N1129" s="1"/>
      <c r="O1129" s="1" t="s">
        <v>7563</v>
      </c>
      <c r="P1129" s="1"/>
      <c r="Q1129" s="1" t="s">
        <v>7651</v>
      </c>
      <c r="R1129" s="1" t="s">
        <v>5480</v>
      </c>
      <c r="S1129" s="1" t="s">
        <v>9072</v>
      </c>
      <c r="T1129" s="15">
        <v>2025</v>
      </c>
      <c r="U1129" s="3" t="s">
        <v>5765</v>
      </c>
      <c r="V1129" s="3" t="s">
        <v>29</v>
      </c>
      <c r="X1129">
        <v>5</v>
      </c>
      <c r="Z1129" t="s">
        <v>3835</v>
      </c>
      <c r="AA1129" t="s">
        <v>7926</v>
      </c>
      <c r="AB1129" s="14" t="s">
        <v>3884</v>
      </c>
      <c r="AD1129" t="s">
        <v>5766</v>
      </c>
    </row>
    <row r="1130" spans="1:30" customFormat="1" hidden="1" x14ac:dyDescent="0.3">
      <c r="A1130" s="1" t="s">
        <v>9073</v>
      </c>
      <c r="B1130" s="1" t="s">
        <v>8820</v>
      </c>
      <c r="C1130" s="1" t="s">
        <v>229</v>
      </c>
      <c r="D1130" s="1" t="s">
        <v>9074</v>
      </c>
      <c r="E1130" s="1" t="s">
        <v>9075</v>
      </c>
      <c r="F1130" s="1" t="s">
        <v>9076</v>
      </c>
      <c r="G1130" s="1" t="s">
        <v>9077</v>
      </c>
      <c r="H1130" s="1" t="s">
        <v>9073</v>
      </c>
      <c r="I1130" s="1" t="s">
        <v>9078</v>
      </c>
      <c r="J1130" s="1" t="s">
        <v>1900</v>
      </c>
      <c r="K1130" s="1" t="s">
        <v>39</v>
      </c>
      <c r="L1130" s="1" t="s">
        <v>9079</v>
      </c>
      <c r="M1130" s="1" t="s">
        <v>141</v>
      </c>
      <c r="N1130" s="1"/>
      <c r="O1130" s="1" t="s">
        <v>7563</v>
      </c>
      <c r="P1130" s="1"/>
      <c r="Q1130" s="1" t="s">
        <v>7651</v>
      </c>
      <c r="R1130" s="1" t="s">
        <v>5480</v>
      </c>
      <c r="S1130" s="1" t="s">
        <v>9080</v>
      </c>
      <c r="T1130" s="15">
        <v>2025</v>
      </c>
      <c r="U1130" s="3" t="s">
        <v>5765</v>
      </c>
      <c r="V1130" s="3" t="s">
        <v>29</v>
      </c>
      <c r="X1130">
        <v>5</v>
      </c>
      <c r="Z1130" t="s">
        <v>3870</v>
      </c>
      <c r="AA1130" t="s">
        <v>9082</v>
      </c>
      <c r="AB1130" s="14" t="s">
        <v>3886</v>
      </c>
      <c r="AD1130" t="s">
        <v>764</v>
      </c>
    </row>
    <row r="1131" spans="1:30" customFormat="1" hidden="1" x14ac:dyDescent="0.3">
      <c r="A1131" s="1"/>
      <c r="B1131" s="4" t="s">
        <v>9083</v>
      </c>
      <c r="C1131" s="4" t="s">
        <v>9084</v>
      </c>
      <c r="D1131" s="1" t="s">
        <v>9085</v>
      </c>
      <c r="E1131" s="1" t="s">
        <v>9086</v>
      </c>
      <c r="F1131" s="1" t="s">
        <v>9087</v>
      </c>
      <c r="G1131" s="1"/>
      <c r="H1131" s="1" t="s">
        <v>9088</v>
      </c>
      <c r="I1131" s="1" t="s">
        <v>9089</v>
      </c>
      <c r="J1131" s="1" t="s">
        <v>72</v>
      </c>
      <c r="K1131" s="1" t="s">
        <v>39</v>
      </c>
      <c r="L1131" s="1" t="s">
        <v>731</v>
      </c>
      <c r="M1131" s="1" t="s">
        <v>42</v>
      </c>
      <c r="N1131" s="1"/>
      <c r="O1131" s="1" t="s">
        <v>7563</v>
      </c>
      <c r="P1131" s="1"/>
      <c r="Q1131" s="1" t="s">
        <v>7651</v>
      </c>
      <c r="R1131" s="1" t="s">
        <v>5480</v>
      </c>
      <c r="S1131" s="1" t="s">
        <v>9090</v>
      </c>
      <c r="T1131" s="15">
        <v>2025</v>
      </c>
      <c r="U1131" s="3" t="s">
        <v>5765</v>
      </c>
      <c r="V1131" s="3" t="s">
        <v>29</v>
      </c>
      <c r="X1131">
        <v>5</v>
      </c>
      <c r="Z1131" t="s">
        <v>3835</v>
      </c>
      <c r="AA1131" t="s">
        <v>8335</v>
      </c>
      <c r="AB1131" s="14" t="s">
        <v>3884</v>
      </c>
      <c r="AD1131" t="s">
        <v>764</v>
      </c>
    </row>
    <row r="1132" spans="1:30" customFormat="1" hidden="1" x14ac:dyDescent="0.3">
      <c r="A1132" s="1"/>
      <c r="B1132" s="1" t="s">
        <v>9091</v>
      </c>
      <c r="C1132" s="1" t="s">
        <v>8435</v>
      </c>
      <c r="D1132" s="1" t="s">
        <v>9092</v>
      </c>
      <c r="E1132" s="1" t="s">
        <v>9093</v>
      </c>
      <c r="F1132" s="1" t="s">
        <v>9094</v>
      </c>
      <c r="G1132" s="1" t="s">
        <v>9095</v>
      </c>
      <c r="H1132" s="1" t="s">
        <v>9096</v>
      </c>
      <c r="I1132" s="1"/>
      <c r="J1132" s="1" t="s">
        <v>72</v>
      </c>
      <c r="K1132" s="1" t="s">
        <v>39</v>
      </c>
      <c r="L1132" s="1" t="s">
        <v>731</v>
      </c>
      <c r="M1132" s="1" t="s">
        <v>141</v>
      </c>
      <c r="N1132" s="1"/>
      <c r="O1132" s="1" t="s">
        <v>7563</v>
      </c>
      <c r="P1132" s="1"/>
      <c r="Q1132" s="1" t="s">
        <v>7651</v>
      </c>
      <c r="R1132" s="1" t="s">
        <v>6962</v>
      </c>
      <c r="S1132" s="1" t="s">
        <v>9097</v>
      </c>
      <c r="T1132" s="15">
        <v>2025</v>
      </c>
      <c r="U1132" s="3" t="s">
        <v>5765</v>
      </c>
      <c r="V1132" s="3" t="s">
        <v>29</v>
      </c>
      <c r="X1132">
        <v>5</v>
      </c>
      <c r="AA1132" t="s">
        <v>8335</v>
      </c>
      <c r="AB1132" s="14" t="s">
        <v>3884</v>
      </c>
      <c r="AD1132" t="s">
        <v>764</v>
      </c>
    </row>
    <row r="1133" spans="1:30" customFormat="1" hidden="1" x14ac:dyDescent="0.3">
      <c r="A1133" s="1"/>
      <c r="B1133" s="4" t="s">
        <v>9098</v>
      </c>
      <c r="C1133" s="4" t="s">
        <v>9099</v>
      </c>
      <c r="D1133" s="1" t="s">
        <v>9100</v>
      </c>
      <c r="E1133" s="1" t="s">
        <v>9101</v>
      </c>
      <c r="F1133" s="1" t="s">
        <v>9102</v>
      </c>
      <c r="G1133" s="1"/>
      <c r="H1133" s="1"/>
      <c r="I1133" s="1"/>
      <c r="J1133" s="1" t="s">
        <v>72</v>
      </c>
      <c r="K1133" s="1" t="s">
        <v>39</v>
      </c>
      <c r="L1133" s="1" t="s">
        <v>9103</v>
      </c>
      <c r="M1133" s="1" t="s">
        <v>152</v>
      </c>
      <c r="N1133" s="1"/>
      <c r="O1133" s="1" t="s">
        <v>7563</v>
      </c>
      <c r="P1133" s="1"/>
      <c r="Q1133" s="1" t="s">
        <v>7651</v>
      </c>
      <c r="R1133" s="1" t="s">
        <v>5480</v>
      </c>
      <c r="S1133" s="1" t="s">
        <v>9104</v>
      </c>
      <c r="T1133" s="15">
        <v>2025</v>
      </c>
      <c r="U1133" s="3" t="s">
        <v>7275</v>
      </c>
      <c r="V1133" s="3" t="s">
        <v>29</v>
      </c>
      <c r="X1133" s="3" t="s">
        <v>7369</v>
      </c>
      <c r="Z1133" t="s">
        <v>3835</v>
      </c>
      <c r="AA1133" t="s">
        <v>8586</v>
      </c>
      <c r="AB1133" s="14" t="s">
        <v>3884</v>
      </c>
      <c r="AD1133" t="s">
        <v>6779</v>
      </c>
    </row>
    <row r="1134" spans="1:30" customFormat="1" x14ac:dyDescent="0.3">
      <c r="A1134" s="1" t="s">
        <v>9105</v>
      </c>
      <c r="B1134" s="1" t="s">
        <v>6492</v>
      </c>
      <c r="C1134" s="1" t="s">
        <v>1321</v>
      </c>
      <c r="D1134" s="1" t="s">
        <v>9106</v>
      </c>
      <c r="E1134" s="1" t="s">
        <v>9107</v>
      </c>
      <c r="F1134" s="1" t="s">
        <v>9108</v>
      </c>
      <c r="G1134" s="1" t="s">
        <v>9109</v>
      </c>
      <c r="H1134" s="1" t="s">
        <v>9110</v>
      </c>
      <c r="I1134" s="1" t="s">
        <v>9111</v>
      </c>
      <c r="J1134" s="1" t="s">
        <v>6864</v>
      </c>
      <c r="K1134" s="1" t="s">
        <v>39</v>
      </c>
      <c r="L1134" s="1" t="s">
        <v>9112</v>
      </c>
      <c r="M1134" s="1" t="s">
        <v>42</v>
      </c>
      <c r="N1134" s="1"/>
      <c r="O1134" s="1" t="s">
        <v>7563</v>
      </c>
      <c r="P1134" s="1"/>
      <c r="Q1134" s="1" t="s">
        <v>7651</v>
      </c>
      <c r="R1134" s="1" t="s">
        <v>5480</v>
      </c>
      <c r="S1134" s="1" t="s">
        <v>9113</v>
      </c>
      <c r="T1134" s="15">
        <v>2025</v>
      </c>
      <c r="U1134" s="3" t="s">
        <v>5765</v>
      </c>
      <c r="V1134" s="3" t="s">
        <v>29</v>
      </c>
      <c r="Y1134" s="44">
        <v>45899</v>
      </c>
      <c r="Z1134" t="s">
        <v>6146</v>
      </c>
      <c r="AA1134" t="s">
        <v>520</v>
      </c>
      <c r="AB1134" s="14" t="s">
        <v>3890</v>
      </c>
      <c r="AD1134" t="s">
        <v>764</v>
      </c>
    </row>
    <row r="1135" spans="1:30" customFormat="1" ht="27.6" hidden="1" x14ac:dyDescent="0.3">
      <c r="A1135" s="1"/>
      <c r="B1135" s="1" t="s">
        <v>9114</v>
      </c>
      <c r="C1135" s="1" t="s">
        <v>9115</v>
      </c>
      <c r="D1135" s="1" t="s">
        <v>9116</v>
      </c>
      <c r="E1135" s="1"/>
      <c r="F1135" s="2" t="s">
        <v>9117</v>
      </c>
      <c r="G1135" s="1"/>
      <c r="H1135" s="1"/>
      <c r="I1135" s="1"/>
      <c r="J1135" s="1" t="s">
        <v>284</v>
      </c>
      <c r="K1135" s="1" t="s">
        <v>39</v>
      </c>
      <c r="L1135" s="1" t="s">
        <v>6392</v>
      </c>
      <c r="M1135" s="1" t="s">
        <v>141</v>
      </c>
      <c r="N1135" s="1"/>
      <c r="O1135" s="1" t="s">
        <v>7563</v>
      </c>
      <c r="P1135" s="1"/>
      <c r="Q1135" s="1" t="s">
        <v>7651</v>
      </c>
      <c r="R1135" s="1" t="s">
        <v>5371</v>
      </c>
      <c r="S1135" s="1" t="s">
        <v>9118</v>
      </c>
      <c r="U1135" s="3" t="s">
        <v>9138</v>
      </c>
      <c r="V1135" s="3" t="s">
        <v>29</v>
      </c>
      <c r="X1135">
        <v>7</v>
      </c>
    </row>
    <row r="1136" spans="1:30" customFormat="1" hidden="1" x14ac:dyDescent="0.3">
      <c r="A1136" s="1"/>
      <c r="B1136" s="1" t="s">
        <v>9119</v>
      </c>
      <c r="C1136" s="1" t="s">
        <v>5783</v>
      </c>
      <c r="D1136" s="1" t="s">
        <v>9120</v>
      </c>
      <c r="E1136" s="1"/>
      <c r="F1136" s="1" t="s">
        <v>9121</v>
      </c>
      <c r="G1136" s="1"/>
      <c r="H1136" s="1"/>
      <c r="I1136" s="1"/>
      <c r="J1136" s="1" t="s">
        <v>9122</v>
      </c>
      <c r="K1136" s="1" t="s">
        <v>39</v>
      </c>
      <c r="L1136" s="1" t="s">
        <v>9123</v>
      </c>
      <c r="M1136" s="1" t="s">
        <v>42</v>
      </c>
      <c r="N1136" s="1"/>
      <c r="O1136" s="1" t="s">
        <v>7563</v>
      </c>
      <c r="P1136" s="1"/>
      <c r="Q1136" s="1" t="s">
        <v>7651</v>
      </c>
      <c r="R1136" s="1" t="s">
        <v>5359</v>
      </c>
      <c r="S1136" s="1" t="s">
        <v>9124</v>
      </c>
      <c r="T1136" s="15">
        <v>2025</v>
      </c>
      <c r="U1136" s="3" t="s">
        <v>7275</v>
      </c>
      <c r="V1136" s="3" t="s">
        <v>29</v>
      </c>
      <c r="X1136">
        <v>10</v>
      </c>
      <c r="Z1136" t="s">
        <v>2148</v>
      </c>
      <c r="AA1136" t="s">
        <v>9139</v>
      </c>
      <c r="AB1136" s="14" t="s">
        <v>3890</v>
      </c>
      <c r="AD1136" t="s">
        <v>764</v>
      </c>
    </row>
    <row r="1137" spans="1:30" customFormat="1" hidden="1" x14ac:dyDescent="0.3">
      <c r="A1137" s="1" t="s">
        <v>100</v>
      </c>
      <c r="B1137" s="1" t="s">
        <v>9125</v>
      </c>
      <c r="C1137" s="1" t="s">
        <v>1882</v>
      </c>
      <c r="D1137" s="1" t="s">
        <v>9126</v>
      </c>
      <c r="E1137" s="1" t="s">
        <v>9127</v>
      </c>
      <c r="F1137" s="1" t="s">
        <v>9128</v>
      </c>
      <c r="G1137" s="1" t="s">
        <v>9129</v>
      </c>
      <c r="H1137" s="1"/>
      <c r="I1137" s="1"/>
      <c r="J1137" s="1" t="s">
        <v>9130</v>
      </c>
      <c r="K1137" s="1" t="s">
        <v>39</v>
      </c>
      <c r="L1137" s="1" t="s">
        <v>9131</v>
      </c>
      <c r="M1137" s="1" t="s">
        <v>141</v>
      </c>
      <c r="N1137" s="1"/>
      <c r="O1137" s="1" t="s">
        <v>7563</v>
      </c>
      <c r="P1137" s="1"/>
      <c r="Q1137" s="1" t="s">
        <v>7651</v>
      </c>
      <c r="R1137" s="1" t="s">
        <v>5480</v>
      </c>
      <c r="S1137" s="1" t="s">
        <v>9132</v>
      </c>
      <c r="T1137" s="15">
        <v>2025</v>
      </c>
      <c r="U1137" s="3" t="s">
        <v>7275</v>
      </c>
      <c r="V1137" s="3" t="s">
        <v>29</v>
      </c>
      <c r="X1137">
        <v>10</v>
      </c>
      <c r="Z1137" t="s">
        <v>3828</v>
      </c>
      <c r="AA1137" t="s">
        <v>8361</v>
      </c>
      <c r="AB1137" s="14" t="s">
        <v>3887</v>
      </c>
      <c r="AD1137" t="s">
        <v>764</v>
      </c>
    </row>
    <row r="1138" spans="1:30" customFormat="1" hidden="1" x14ac:dyDescent="0.3">
      <c r="A1138" s="1"/>
      <c r="B1138" s="1" t="s">
        <v>9133</v>
      </c>
      <c r="C1138" s="1" t="s">
        <v>181</v>
      </c>
      <c r="D1138" s="1" t="s">
        <v>9134</v>
      </c>
      <c r="E1138" s="1" t="s">
        <v>9135</v>
      </c>
      <c r="F1138" s="1" t="s">
        <v>9136</v>
      </c>
      <c r="G1138" s="1"/>
      <c r="H1138" s="1"/>
      <c r="I1138" s="1"/>
      <c r="J1138" s="1" t="s">
        <v>1556</v>
      </c>
      <c r="K1138" s="1" t="s">
        <v>39</v>
      </c>
      <c r="L1138" s="1" t="s">
        <v>1025</v>
      </c>
      <c r="M1138" s="1" t="s">
        <v>42</v>
      </c>
      <c r="N1138" s="1"/>
      <c r="O1138" s="1" t="s">
        <v>7563</v>
      </c>
      <c r="P1138" s="1"/>
      <c r="Q1138" s="1" t="s">
        <v>7651</v>
      </c>
      <c r="R1138" s="1" t="s">
        <v>5480</v>
      </c>
      <c r="S1138" s="1" t="s">
        <v>9137</v>
      </c>
      <c r="T1138" s="15">
        <v>2025</v>
      </c>
      <c r="U1138" s="3" t="s">
        <v>7275</v>
      </c>
      <c r="V1138" s="3" t="s">
        <v>29</v>
      </c>
      <c r="X1138">
        <v>5</v>
      </c>
      <c r="Z1138" t="s">
        <v>3835</v>
      </c>
      <c r="AA1138" t="s">
        <v>7139</v>
      </c>
      <c r="AB1138" s="14" t="s">
        <v>3884</v>
      </c>
      <c r="AD1138" t="s">
        <v>764</v>
      </c>
    </row>
    <row r="1139" spans="1:30" customFormat="1" hidden="1" x14ac:dyDescent="0.3">
      <c r="A1139" s="1"/>
      <c r="B1139" s="12" t="s">
        <v>9141</v>
      </c>
      <c r="C1139" s="4" t="s">
        <v>9140</v>
      </c>
      <c r="D1139" s="1" t="s">
        <v>9142</v>
      </c>
      <c r="E1139" s="1" t="s">
        <v>9143</v>
      </c>
      <c r="F1139" s="1" t="s">
        <v>9144</v>
      </c>
      <c r="G1139" s="1"/>
      <c r="H1139" s="1"/>
      <c r="I1139" s="1"/>
      <c r="J1139" s="1" t="s">
        <v>9145</v>
      </c>
      <c r="K1139" s="1" t="s">
        <v>39</v>
      </c>
      <c r="L1139" s="1" t="s">
        <v>9146</v>
      </c>
      <c r="M1139" s="1" t="s">
        <v>141</v>
      </c>
      <c r="N1139" s="1"/>
      <c r="O1139" s="1" t="s">
        <v>7563</v>
      </c>
      <c r="P1139" s="1"/>
      <c r="Q1139" s="1" t="s">
        <v>7651</v>
      </c>
      <c r="R1139" s="1" t="s">
        <v>6962</v>
      </c>
      <c r="S1139" s="1" t="s">
        <v>9147</v>
      </c>
      <c r="T1139" s="15">
        <v>2025</v>
      </c>
      <c r="U1139" s="3" t="s">
        <v>7275</v>
      </c>
      <c r="V1139" s="3" t="s">
        <v>29</v>
      </c>
      <c r="X1139">
        <v>5</v>
      </c>
      <c r="Z1139" t="s">
        <v>3835</v>
      </c>
      <c r="AA1139" t="s">
        <v>8467</v>
      </c>
      <c r="AB1139" s="14" t="s">
        <v>3884</v>
      </c>
      <c r="AD1139" t="s">
        <v>764</v>
      </c>
    </row>
    <row r="1140" spans="1:30" customFormat="1" hidden="1" x14ac:dyDescent="0.3">
      <c r="A1140" s="1"/>
      <c r="B1140" s="1" t="s">
        <v>9148</v>
      </c>
      <c r="C1140" s="1" t="s">
        <v>3319</v>
      </c>
      <c r="D1140" s="1" t="s">
        <v>9149</v>
      </c>
      <c r="E1140" s="1" t="s">
        <v>9150</v>
      </c>
      <c r="F1140" s="1" t="s">
        <v>9151</v>
      </c>
      <c r="G1140" s="1"/>
      <c r="H1140" s="1" t="s">
        <v>9152</v>
      </c>
      <c r="I1140" s="1" t="s">
        <v>9153</v>
      </c>
      <c r="J1140" s="1" t="s">
        <v>9154</v>
      </c>
      <c r="K1140" s="1" t="s">
        <v>39</v>
      </c>
      <c r="L1140" s="1" t="s">
        <v>9155</v>
      </c>
      <c r="M1140" s="1" t="s">
        <v>141</v>
      </c>
      <c r="N1140" s="1"/>
      <c r="O1140" s="1" t="s">
        <v>7563</v>
      </c>
      <c r="P1140" s="1"/>
      <c r="Q1140" s="1" t="s">
        <v>7651</v>
      </c>
      <c r="R1140" s="1" t="s">
        <v>5359</v>
      </c>
      <c r="S1140" s="1" t="s">
        <v>9156</v>
      </c>
      <c r="T1140" s="15">
        <v>2025</v>
      </c>
      <c r="U1140" s="3" t="s">
        <v>5765</v>
      </c>
      <c r="V1140" s="3" t="s">
        <v>29</v>
      </c>
      <c r="X1140">
        <v>5</v>
      </c>
      <c r="Z1140" t="s">
        <v>3835</v>
      </c>
      <c r="AA1140" t="s">
        <v>7617</v>
      </c>
      <c r="AB1140" s="14" t="s">
        <v>3884</v>
      </c>
      <c r="AD1140" t="s">
        <v>764</v>
      </c>
    </row>
    <row r="1141" spans="1:30" customFormat="1" ht="27.6" hidden="1" x14ac:dyDescent="0.3">
      <c r="A1141" s="1" t="s">
        <v>1482</v>
      </c>
      <c r="B1141" s="1" t="s">
        <v>9157</v>
      </c>
      <c r="C1141" s="1" t="s">
        <v>189</v>
      </c>
      <c r="D1141" s="1" t="s">
        <v>9158</v>
      </c>
      <c r="E1141" s="1" t="s">
        <v>9159</v>
      </c>
      <c r="F1141" s="1" t="s">
        <v>9160</v>
      </c>
      <c r="G1141" s="1"/>
      <c r="H1141" s="1" t="s">
        <v>3945</v>
      </c>
      <c r="I1141" s="1" t="s">
        <v>9161</v>
      </c>
      <c r="J1141" s="1" t="s">
        <v>9162</v>
      </c>
      <c r="K1141" s="1" t="s">
        <v>39</v>
      </c>
      <c r="L1141" s="1" t="s">
        <v>9163</v>
      </c>
      <c r="M1141" s="1" t="s">
        <v>141</v>
      </c>
      <c r="N1141" s="1"/>
      <c r="O1141" s="1" t="s">
        <v>7563</v>
      </c>
      <c r="P1141" s="1"/>
      <c r="Q1141" s="1" t="s">
        <v>7651</v>
      </c>
      <c r="R1141" s="1" t="s">
        <v>6962</v>
      </c>
      <c r="S1141" s="1" t="s">
        <v>9164</v>
      </c>
      <c r="T1141" s="15">
        <v>2025</v>
      </c>
      <c r="U1141" s="3" t="s">
        <v>5765</v>
      </c>
      <c r="V1141" s="3" t="s">
        <v>29</v>
      </c>
      <c r="X1141">
        <v>5</v>
      </c>
      <c r="Z1141" t="s">
        <v>2148</v>
      </c>
      <c r="AA1141" t="s">
        <v>9487</v>
      </c>
      <c r="AB1141" s="14" t="s">
        <v>4594</v>
      </c>
      <c r="AD1141" t="s">
        <v>764</v>
      </c>
    </row>
    <row r="1142" spans="1:30" customFormat="1" hidden="1" x14ac:dyDescent="0.3">
      <c r="A1142" s="1" t="s">
        <v>22</v>
      </c>
      <c r="B1142" s="1" t="s">
        <v>1042</v>
      </c>
      <c r="C1142" s="1" t="s">
        <v>9165</v>
      </c>
      <c r="D1142" s="1" t="s">
        <v>9166</v>
      </c>
      <c r="E1142" s="1" t="s">
        <v>9167</v>
      </c>
      <c r="F1142" s="1" t="s">
        <v>9168</v>
      </c>
      <c r="G1142" s="1" t="s">
        <v>9169</v>
      </c>
      <c r="H1142" s="1" t="s">
        <v>9170</v>
      </c>
      <c r="I1142" s="1" t="s">
        <v>9171</v>
      </c>
      <c r="J1142" s="1" t="s">
        <v>72</v>
      </c>
      <c r="K1142" s="1" t="s">
        <v>39</v>
      </c>
      <c r="L1142" s="1" t="s">
        <v>9172</v>
      </c>
      <c r="M1142" s="1" t="s">
        <v>141</v>
      </c>
      <c r="N1142" s="1"/>
      <c r="O1142" s="1" t="s">
        <v>7563</v>
      </c>
      <c r="P1142" s="1"/>
      <c r="Q1142" s="1" t="s">
        <v>7651</v>
      </c>
      <c r="R1142" s="1" t="s">
        <v>5429</v>
      </c>
      <c r="S1142" s="1" t="s">
        <v>9173</v>
      </c>
      <c r="T1142" s="15">
        <v>2025</v>
      </c>
      <c r="U1142" s="3" t="s">
        <v>5765</v>
      </c>
      <c r="V1142" s="3" t="s">
        <v>29</v>
      </c>
      <c r="X1142">
        <v>5</v>
      </c>
      <c r="Z1142" t="s">
        <v>3828</v>
      </c>
      <c r="AA1142" t="s">
        <v>7886</v>
      </c>
      <c r="AB1142" s="14" t="s">
        <v>3888</v>
      </c>
      <c r="AD1142" t="s">
        <v>764</v>
      </c>
    </row>
    <row r="1143" spans="1:30" customFormat="1" hidden="1" x14ac:dyDescent="0.3">
      <c r="A1143" s="1"/>
      <c r="B1143" s="1" t="s">
        <v>9174</v>
      </c>
      <c r="C1143" s="1" t="s">
        <v>7557</v>
      </c>
      <c r="D1143" s="1" t="s">
        <v>9175</v>
      </c>
      <c r="E1143" s="1" t="s">
        <v>9176</v>
      </c>
      <c r="F1143" s="1" t="s">
        <v>9177</v>
      </c>
      <c r="G1143" s="1" t="s">
        <v>9178</v>
      </c>
      <c r="H1143" s="1" t="s">
        <v>9179</v>
      </c>
      <c r="I1143" s="1"/>
      <c r="J1143" s="1" t="s">
        <v>9180</v>
      </c>
      <c r="K1143" s="1" t="s">
        <v>39</v>
      </c>
      <c r="L1143" s="1" t="s">
        <v>9179</v>
      </c>
      <c r="M1143" s="1" t="s">
        <v>42</v>
      </c>
      <c r="N1143" s="1"/>
      <c r="O1143" s="1" t="s">
        <v>7563</v>
      </c>
      <c r="P1143" s="1"/>
      <c r="Q1143" s="1" t="s">
        <v>7651</v>
      </c>
      <c r="R1143" s="1" t="s">
        <v>5371</v>
      </c>
      <c r="S1143" s="1" t="s">
        <v>9181</v>
      </c>
      <c r="T1143" s="15">
        <v>2025</v>
      </c>
      <c r="U1143" s="3" t="s">
        <v>5765</v>
      </c>
      <c r="V1143" s="3" t="s">
        <v>29</v>
      </c>
      <c r="X1143">
        <v>5</v>
      </c>
      <c r="Y1143" s="44">
        <v>45899</v>
      </c>
      <c r="Z1143" t="s">
        <v>3835</v>
      </c>
      <c r="AA1143" t="s">
        <v>9489</v>
      </c>
      <c r="AB1143" s="14" t="s">
        <v>3884</v>
      </c>
      <c r="AD1143" t="s">
        <v>764</v>
      </c>
    </row>
    <row r="1144" spans="1:30" customFormat="1" ht="27.6" hidden="1" x14ac:dyDescent="0.3">
      <c r="A1144" s="1" t="s">
        <v>100</v>
      </c>
      <c r="B1144" s="1" t="s">
        <v>9182</v>
      </c>
      <c r="C1144" s="1" t="s">
        <v>2246</v>
      </c>
      <c r="D1144" s="1" t="s">
        <v>9183</v>
      </c>
      <c r="E1144" s="1" t="s">
        <v>9184</v>
      </c>
      <c r="F1144" s="1" t="s">
        <v>9185</v>
      </c>
      <c r="G1144" s="1" t="s">
        <v>9186</v>
      </c>
      <c r="H1144" s="1"/>
      <c r="I1144" s="1"/>
      <c r="J1144" s="1" t="s">
        <v>9187</v>
      </c>
      <c r="K1144" s="1" t="s">
        <v>39</v>
      </c>
      <c r="L1144" s="1" t="s">
        <v>9188</v>
      </c>
      <c r="M1144" s="1" t="s">
        <v>42</v>
      </c>
      <c r="N1144" s="1"/>
      <c r="O1144" s="1" t="s">
        <v>7563</v>
      </c>
      <c r="P1144" s="1"/>
      <c r="Q1144" s="1" t="s">
        <v>7651</v>
      </c>
      <c r="R1144" s="1" t="s">
        <v>6962</v>
      </c>
      <c r="S1144" s="1" t="s">
        <v>9189</v>
      </c>
      <c r="T1144" s="15">
        <v>2025</v>
      </c>
      <c r="U1144" s="3" t="s">
        <v>5765</v>
      </c>
      <c r="V1144" s="3" t="s">
        <v>29</v>
      </c>
      <c r="X1144">
        <v>5</v>
      </c>
      <c r="Z1144" t="s">
        <v>2148</v>
      </c>
      <c r="AA1144" t="s">
        <v>9488</v>
      </c>
      <c r="AB1144" s="14" t="s">
        <v>3890</v>
      </c>
      <c r="AD1144" t="s">
        <v>764</v>
      </c>
    </row>
    <row r="1145" spans="1:30" customFormat="1" hidden="1" x14ac:dyDescent="0.3">
      <c r="A1145" s="1"/>
      <c r="B1145" s="1" t="s">
        <v>9190</v>
      </c>
      <c r="C1145" s="1" t="s">
        <v>9191</v>
      </c>
      <c r="D1145" s="1" t="s">
        <v>9490</v>
      </c>
      <c r="E1145" s="1" t="s">
        <v>9192</v>
      </c>
      <c r="F1145" s="1" t="s">
        <v>9193</v>
      </c>
      <c r="G1145" s="1" t="s">
        <v>9194</v>
      </c>
      <c r="H1145" s="1" t="s">
        <v>9195</v>
      </c>
      <c r="I1145" s="1" t="s">
        <v>9196</v>
      </c>
      <c r="J1145" s="1" t="s">
        <v>6117</v>
      </c>
      <c r="K1145" s="1" t="s">
        <v>39</v>
      </c>
      <c r="L1145" s="1" t="s">
        <v>1144</v>
      </c>
      <c r="M1145" s="1" t="s">
        <v>141</v>
      </c>
      <c r="N1145" s="1"/>
      <c r="O1145" s="1" t="s">
        <v>7563</v>
      </c>
      <c r="P1145" s="1"/>
      <c r="Q1145" s="1" t="s">
        <v>7651</v>
      </c>
      <c r="R1145" s="1" t="s">
        <v>6962</v>
      </c>
      <c r="S1145" s="1" t="s">
        <v>9197</v>
      </c>
      <c r="T1145" s="15">
        <v>2025</v>
      </c>
      <c r="U1145" s="3" t="s">
        <v>5765</v>
      </c>
      <c r="V1145" s="3" t="s">
        <v>29</v>
      </c>
      <c r="X1145">
        <v>5</v>
      </c>
      <c r="Z1145" t="s">
        <v>3828</v>
      </c>
      <c r="AA1145" t="s">
        <v>7886</v>
      </c>
      <c r="AB1145" s="14" t="s">
        <v>3888</v>
      </c>
      <c r="AD1145" t="s">
        <v>764</v>
      </c>
    </row>
    <row r="1146" spans="1:30" customFormat="1" hidden="1" x14ac:dyDescent="0.3">
      <c r="A1146" s="1"/>
      <c r="B1146" s="1" t="s">
        <v>9198</v>
      </c>
      <c r="C1146" s="1" t="s">
        <v>4122</v>
      </c>
      <c r="D1146" s="1" t="s">
        <v>9199</v>
      </c>
      <c r="E1146" s="1" t="s">
        <v>9200</v>
      </c>
      <c r="F1146" s="1" t="s">
        <v>9201</v>
      </c>
      <c r="G1146" s="1" t="s">
        <v>9202</v>
      </c>
      <c r="H1146" s="1" t="s">
        <v>9203</v>
      </c>
      <c r="I1146" s="1"/>
      <c r="J1146" s="1" t="s">
        <v>7623</v>
      </c>
      <c r="K1146" s="1" t="s">
        <v>39</v>
      </c>
      <c r="L1146" s="1" t="s">
        <v>9204</v>
      </c>
      <c r="M1146" s="1" t="s">
        <v>141</v>
      </c>
      <c r="N1146" s="1"/>
      <c r="O1146" s="1" t="s">
        <v>7563</v>
      </c>
      <c r="P1146" s="1"/>
      <c r="Q1146" s="1" t="s">
        <v>7651</v>
      </c>
      <c r="R1146" s="1" t="s">
        <v>6962</v>
      </c>
      <c r="S1146" s="1" t="s">
        <v>9205</v>
      </c>
      <c r="T1146" s="15">
        <v>2025</v>
      </c>
      <c r="U1146" s="3" t="s">
        <v>5765</v>
      </c>
      <c r="V1146" s="3" t="s">
        <v>29</v>
      </c>
      <c r="X1146">
        <v>5</v>
      </c>
      <c r="Z1146" t="s">
        <v>3835</v>
      </c>
      <c r="AA1146" t="s">
        <v>7617</v>
      </c>
      <c r="AB1146" s="14" t="s">
        <v>3884</v>
      </c>
      <c r="AD1146" t="s">
        <v>764</v>
      </c>
    </row>
    <row r="1147" spans="1:30" customFormat="1" hidden="1" x14ac:dyDescent="0.3">
      <c r="A1147" s="1"/>
      <c r="B1147" s="1" t="s">
        <v>9206</v>
      </c>
      <c r="C1147" s="1" t="s">
        <v>9207</v>
      </c>
      <c r="D1147" s="1" t="s">
        <v>9208</v>
      </c>
      <c r="E1147" s="1" t="s">
        <v>9209</v>
      </c>
      <c r="F1147" s="1" t="s">
        <v>9210</v>
      </c>
      <c r="G1147" s="1"/>
      <c r="H1147" s="1"/>
      <c r="I1147" s="1"/>
      <c r="J1147" s="1" t="s">
        <v>1643</v>
      </c>
      <c r="K1147" s="1" t="s">
        <v>39</v>
      </c>
      <c r="L1147" s="1" t="s">
        <v>9211</v>
      </c>
      <c r="M1147" s="1" t="s">
        <v>42</v>
      </c>
      <c r="N1147" s="1"/>
      <c r="O1147" s="1" t="s">
        <v>7563</v>
      </c>
      <c r="P1147" s="1"/>
      <c r="Q1147" s="1" t="s">
        <v>7651</v>
      </c>
      <c r="R1147" s="1" t="s">
        <v>5359</v>
      </c>
      <c r="S1147" s="1" t="s">
        <v>9212</v>
      </c>
      <c r="T1147" s="15">
        <v>2025</v>
      </c>
      <c r="U1147" s="3" t="s">
        <v>5765</v>
      </c>
      <c r="V1147" s="3" t="s">
        <v>29</v>
      </c>
      <c r="X1147">
        <v>10</v>
      </c>
      <c r="Z1147" t="s">
        <v>3835</v>
      </c>
      <c r="AA1147" t="s">
        <v>7617</v>
      </c>
      <c r="AB1147" s="14" t="s">
        <v>3884</v>
      </c>
      <c r="AD1147" t="s">
        <v>764</v>
      </c>
    </row>
    <row r="1148" spans="1:30" customFormat="1" hidden="1" x14ac:dyDescent="0.3">
      <c r="A1148" s="1" t="s">
        <v>22</v>
      </c>
      <c r="B1148" s="1" t="s">
        <v>9213</v>
      </c>
      <c r="C1148" s="1" t="s">
        <v>320</v>
      </c>
      <c r="D1148" s="1" t="s">
        <v>9214</v>
      </c>
      <c r="E1148" s="1" t="s">
        <v>9215</v>
      </c>
      <c r="F1148" s="1" t="s">
        <v>9216</v>
      </c>
      <c r="G1148" s="1" t="s">
        <v>9217</v>
      </c>
      <c r="H1148" s="1" t="s">
        <v>1664</v>
      </c>
      <c r="I1148" s="1" t="s">
        <v>9218</v>
      </c>
      <c r="J1148" s="1" t="s">
        <v>9219</v>
      </c>
      <c r="K1148" s="1" t="s">
        <v>39</v>
      </c>
      <c r="L1148" s="1" t="s">
        <v>9220</v>
      </c>
      <c r="M1148" s="1" t="s">
        <v>141</v>
      </c>
      <c r="N1148" s="1"/>
      <c r="O1148" s="1" t="s">
        <v>7563</v>
      </c>
      <c r="P1148" s="1"/>
      <c r="Q1148" s="1" t="s">
        <v>7651</v>
      </c>
      <c r="R1148" s="1" t="s">
        <v>6962</v>
      </c>
      <c r="S1148" s="1" t="s">
        <v>9221</v>
      </c>
      <c r="T1148" s="15">
        <v>2025</v>
      </c>
      <c r="U1148" s="3" t="s">
        <v>5765</v>
      </c>
      <c r="V1148" s="3" t="s">
        <v>29</v>
      </c>
      <c r="X1148">
        <v>5</v>
      </c>
      <c r="Z1148" t="s">
        <v>3835</v>
      </c>
      <c r="AA1148" t="s">
        <v>7926</v>
      </c>
      <c r="AB1148" s="14" t="s">
        <v>3884</v>
      </c>
      <c r="AD1148" t="s">
        <v>764</v>
      </c>
    </row>
    <row r="1149" spans="1:30" customFormat="1" hidden="1" x14ac:dyDescent="0.3">
      <c r="A1149" s="1" t="s">
        <v>22</v>
      </c>
      <c r="B1149" s="1" t="s">
        <v>9222</v>
      </c>
      <c r="C1149" s="1" t="s">
        <v>9223</v>
      </c>
      <c r="D1149" s="1" t="s">
        <v>9224</v>
      </c>
      <c r="E1149" s="1" t="s">
        <v>9225</v>
      </c>
      <c r="F1149" s="1" t="s">
        <v>9226</v>
      </c>
      <c r="G1149" s="1"/>
      <c r="H1149" s="1"/>
      <c r="I1149" s="1"/>
      <c r="J1149" s="1" t="s">
        <v>72</v>
      </c>
      <c r="K1149" s="1" t="s">
        <v>39</v>
      </c>
      <c r="L1149" s="1" t="s">
        <v>9227</v>
      </c>
      <c r="M1149" s="1" t="s">
        <v>141</v>
      </c>
      <c r="N1149" s="1"/>
      <c r="O1149" s="1" t="s">
        <v>7563</v>
      </c>
      <c r="P1149" s="1"/>
      <c r="Q1149" s="1" t="s">
        <v>7651</v>
      </c>
      <c r="R1149" s="1" t="s">
        <v>6962</v>
      </c>
      <c r="S1149" s="1" t="s">
        <v>9228</v>
      </c>
      <c r="T1149" s="15">
        <v>2025</v>
      </c>
      <c r="U1149" s="3" t="s">
        <v>5765</v>
      </c>
      <c r="V1149" s="3" t="s">
        <v>29</v>
      </c>
      <c r="X1149">
        <v>5</v>
      </c>
      <c r="Z1149" t="s">
        <v>2148</v>
      </c>
      <c r="AA1149" t="s">
        <v>9139</v>
      </c>
      <c r="AB1149" s="14" t="s">
        <v>3890</v>
      </c>
      <c r="AD1149" t="s">
        <v>764</v>
      </c>
    </row>
    <row r="1150" spans="1:30" customFormat="1" hidden="1" x14ac:dyDescent="0.3">
      <c r="A1150" s="1" t="s">
        <v>1482</v>
      </c>
      <c r="B1150" s="1" t="s">
        <v>8514</v>
      </c>
      <c r="C1150" s="1" t="s">
        <v>9229</v>
      </c>
      <c r="D1150" s="1" t="s">
        <v>9230</v>
      </c>
      <c r="E1150" s="1" t="s">
        <v>9231</v>
      </c>
      <c r="F1150" s="1" t="s">
        <v>9232</v>
      </c>
      <c r="G1150" s="1"/>
      <c r="H1150" s="1" t="s">
        <v>72</v>
      </c>
      <c r="I1150" s="1"/>
      <c r="J1150" s="1" t="s">
        <v>72</v>
      </c>
      <c r="K1150" s="1" t="s">
        <v>39</v>
      </c>
      <c r="L1150" s="1" t="s">
        <v>1025</v>
      </c>
      <c r="M1150" s="1" t="s">
        <v>42</v>
      </c>
      <c r="N1150" s="1"/>
      <c r="O1150" s="1" t="s">
        <v>7563</v>
      </c>
      <c r="P1150" s="1"/>
      <c r="Q1150" s="1" t="s">
        <v>7651</v>
      </c>
      <c r="R1150" s="1" t="s">
        <v>5429</v>
      </c>
      <c r="S1150" s="1" t="s">
        <v>9233</v>
      </c>
      <c r="T1150" s="15">
        <v>2025</v>
      </c>
      <c r="U1150" s="3" t="s">
        <v>5765</v>
      </c>
      <c r="V1150" s="3" t="s">
        <v>29</v>
      </c>
      <c r="X1150">
        <v>10</v>
      </c>
      <c r="Z1150" t="s">
        <v>2148</v>
      </c>
      <c r="AA1150" t="s">
        <v>9139</v>
      </c>
      <c r="AB1150" s="14" t="s">
        <v>3890</v>
      </c>
      <c r="AD1150" t="s">
        <v>764</v>
      </c>
    </row>
    <row r="1151" spans="1:30" customFormat="1" hidden="1" x14ac:dyDescent="0.3">
      <c r="A1151" s="1"/>
      <c r="B1151" s="1" t="s">
        <v>9234</v>
      </c>
      <c r="C1151" s="1" t="s">
        <v>523</v>
      </c>
      <c r="D1151" s="1" t="s">
        <v>9235</v>
      </c>
      <c r="E1151" s="1" t="s">
        <v>9236</v>
      </c>
      <c r="F1151" s="1" t="s">
        <v>9237</v>
      </c>
      <c r="G1151" s="1" t="s">
        <v>9238</v>
      </c>
      <c r="H1151" s="1"/>
      <c r="I1151" s="1"/>
      <c r="J1151" s="1" t="s">
        <v>3658</v>
      </c>
      <c r="K1151" s="1" t="s">
        <v>39</v>
      </c>
      <c r="L1151" s="1" t="s">
        <v>9239</v>
      </c>
      <c r="M1151" s="1" t="s">
        <v>141</v>
      </c>
      <c r="N1151" s="1"/>
      <c r="O1151" s="1" t="s">
        <v>7563</v>
      </c>
      <c r="P1151" s="1"/>
      <c r="Q1151" s="1" t="s">
        <v>7651</v>
      </c>
      <c r="R1151" s="1" t="s">
        <v>5359</v>
      </c>
      <c r="S1151" s="1" t="s">
        <v>9240</v>
      </c>
      <c r="T1151" s="15">
        <v>2025</v>
      </c>
      <c r="U1151" s="3" t="s">
        <v>5765</v>
      </c>
      <c r="V1151" s="3" t="s">
        <v>29</v>
      </c>
      <c r="X1151">
        <v>5</v>
      </c>
      <c r="Z1151" t="s">
        <v>3828</v>
      </c>
      <c r="AA1151" t="s">
        <v>7887</v>
      </c>
      <c r="AB1151" s="14" t="s">
        <v>3888</v>
      </c>
      <c r="AD1151" t="s">
        <v>764</v>
      </c>
    </row>
    <row r="1152" spans="1:30" customFormat="1" x14ac:dyDescent="0.3">
      <c r="A1152" s="1" t="s">
        <v>2635</v>
      </c>
      <c r="B1152" s="1" t="s">
        <v>9241</v>
      </c>
      <c r="C1152" s="1" t="s">
        <v>336</v>
      </c>
      <c r="D1152" s="1" t="s">
        <v>9242</v>
      </c>
      <c r="E1152" s="1" t="s">
        <v>9243</v>
      </c>
      <c r="F1152" s="1" t="s">
        <v>9244</v>
      </c>
      <c r="G1152" s="1"/>
      <c r="H1152" s="1"/>
      <c r="I1152" s="1"/>
      <c r="J1152" s="1" t="s">
        <v>9245</v>
      </c>
      <c r="K1152" s="1" t="s">
        <v>39</v>
      </c>
      <c r="L1152" s="1" t="s">
        <v>2952</v>
      </c>
      <c r="M1152" s="1" t="s">
        <v>42</v>
      </c>
      <c r="N1152" s="1"/>
      <c r="O1152" s="1" t="s">
        <v>7563</v>
      </c>
      <c r="P1152" s="1"/>
      <c r="Q1152" s="1" t="s">
        <v>7651</v>
      </c>
      <c r="R1152" s="1" t="s">
        <v>6962</v>
      </c>
      <c r="S1152" s="1" t="s">
        <v>9246</v>
      </c>
      <c r="T1152" s="15">
        <v>2025</v>
      </c>
      <c r="U1152" s="3" t="s">
        <v>5765</v>
      </c>
      <c r="V1152" s="3" t="s">
        <v>29</v>
      </c>
      <c r="Y1152" s="44">
        <v>45899</v>
      </c>
      <c r="Z1152" t="s">
        <v>2148</v>
      </c>
      <c r="AA1152" t="s">
        <v>9491</v>
      </c>
      <c r="AB1152" s="14" t="s">
        <v>3891</v>
      </c>
      <c r="AD1152" t="s">
        <v>764</v>
      </c>
    </row>
    <row r="1153" spans="1:30" customFormat="1" x14ac:dyDescent="0.3">
      <c r="A1153" s="1"/>
      <c r="B1153" s="1" t="s">
        <v>9247</v>
      </c>
      <c r="C1153" s="1" t="s">
        <v>9248</v>
      </c>
      <c r="D1153" s="1" t="s">
        <v>9249</v>
      </c>
      <c r="E1153" s="1" t="s">
        <v>9250</v>
      </c>
      <c r="F1153" s="1" t="s">
        <v>9251</v>
      </c>
      <c r="G1153" s="1" t="s">
        <v>9252</v>
      </c>
      <c r="H1153" s="1"/>
      <c r="I1153" s="1"/>
      <c r="J1153" s="1" t="s">
        <v>9253</v>
      </c>
      <c r="K1153" s="1" t="s">
        <v>4789</v>
      </c>
      <c r="L1153" s="1" t="s">
        <v>9254</v>
      </c>
      <c r="M1153" s="1" t="s">
        <v>141</v>
      </c>
      <c r="N1153" s="1"/>
      <c r="O1153" s="1" t="s">
        <v>7563</v>
      </c>
      <c r="P1153" s="1" t="s">
        <v>7724</v>
      </c>
      <c r="Q1153" s="1"/>
      <c r="R1153" s="1" t="s">
        <v>5359</v>
      </c>
      <c r="S1153" s="1" t="s">
        <v>9255</v>
      </c>
      <c r="T1153" s="15">
        <v>2025</v>
      </c>
      <c r="U1153" s="3" t="s">
        <v>5765</v>
      </c>
      <c r="V1153" s="3" t="s">
        <v>29</v>
      </c>
      <c r="Y1153" s="44">
        <v>45899</v>
      </c>
      <c r="Z1153" t="s">
        <v>3835</v>
      </c>
      <c r="AA1153" t="s">
        <v>8795</v>
      </c>
      <c r="AB1153" s="14" t="s">
        <v>3884</v>
      </c>
      <c r="AD1153" t="s">
        <v>9492</v>
      </c>
    </row>
    <row r="1154" spans="1:30" customFormat="1" x14ac:dyDescent="0.3">
      <c r="A1154" s="1" t="s">
        <v>1388</v>
      </c>
      <c r="B1154" s="1" t="s">
        <v>9256</v>
      </c>
      <c r="C1154" s="1" t="s">
        <v>9257</v>
      </c>
      <c r="D1154" s="1" t="s">
        <v>9258</v>
      </c>
      <c r="E1154" s="1" t="s">
        <v>9259</v>
      </c>
      <c r="F1154" s="1" t="s">
        <v>9260</v>
      </c>
      <c r="G1154" s="1" t="s">
        <v>9261</v>
      </c>
      <c r="H1154" s="1"/>
      <c r="I1154" s="1"/>
      <c r="J1154" s="1" t="s">
        <v>72</v>
      </c>
      <c r="K1154" s="1" t="s">
        <v>9262</v>
      </c>
      <c r="L1154" s="1" t="s">
        <v>1025</v>
      </c>
      <c r="M1154" s="1" t="s">
        <v>42</v>
      </c>
      <c r="N1154" s="1"/>
      <c r="O1154" s="1" t="s">
        <v>7563</v>
      </c>
      <c r="P1154" s="1" t="s">
        <v>7724</v>
      </c>
      <c r="Q1154" s="1"/>
      <c r="R1154" s="1" t="s">
        <v>5359</v>
      </c>
      <c r="S1154" s="1" t="s">
        <v>9263</v>
      </c>
      <c r="T1154" s="15">
        <v>2025</v>
      </c>
      <c r="U1154" s="3" t="s">
        <v>5765</v>
      </c>
      <c r="V1154" s="3" t="s">
        <v>29</v>
      </c>
      <c r="Y1154" s="44">
        <v>45899</v>
      </c>
      <c r="Z1154" t="s">
        <v>3828</v>
      </c>
      <c r="AA1154" t="s">
        <v>7497</v>
      </c>
      <c r="AB1154" s="14" t="s">
        <v>3885</v>
      </c>
      <c r="AD1154" t="s">
        <v>7615</v>
      </c>
    </row>
    <row r="1155" spans="1:30" customFormat="1" ht="27.6" hidden="1" x14ac:dyDescent="0.3">
      <c r="A1155" s="1" t="s">
        <v>9264</v>
      </c>
      <c r="B1155" s="1" t="s">
        <v>9265</v>
      </c>
      <c r="C1155" s="1" t="s">
        <v>1387</v>
      </c>
      <c r="D1155" s="1" t="s">
        <v>9266</v>
      </c>
      <c r="E1155" s="1" t="s">
        <v>9267</v>
      </c>
      <c r="F1155" s="1" t="s">
        <v>9268</v>
      </c>
      <c r="G1155" s="1"/>
      <c r="H1155" s="1" t="s">
        <v>9269</v>
      </c>
      <c r="I1155" s="1"/>
      <c r="J1155" s="1" t="s">
        <v>9270</v>
      </c>
      <c r="K1155" s="1" t="s">
        <v>39</v>
      </c>
      <c r="L1155" s="1" t="s">
        <v>4589</v>
      </c>
      <c r="M1155" s="1" t="s">
        <v>42</v>
      </c>
      <c r="N1155" s="1"/>
      <c r="O1155" s="1" t="s">
        <v>7563</v>
      </c>
      <c r="P1155" s="1"/>
      <c r="Q1155" s="1" t="s">
        <v>7651</v>
      </c>
      <c r="R1155" s="1" t="s">
        <v>6962</v>
      </c>
      <c r="S1155" s="1" t="s">
        <v>9271</v>
      </c>
      <c r="T1155" s="15">
        <v>2025</v>
      </c>
      <c r="U1155" s="3" t="s">
        <v>5765</v>
      </c>
      <c r="V1155" s="3" t="s">
        <v>29</v>
      </c>
      <c r="X1155">
        <v>5</v>
      </c>
      <c r="Y1155" s="44">
        <v>45899</v>
      </c>
      <c r="Z1155" t="s">
        <v>2148</v>
      </c>
      <c r="AA1155" t="s">
        <v>9139</v>
      </c>
      <c r="AB1155" s="14" t="s">
        <v>3890</v>
      </c>
      <c r="AD1155" t="s">
        <v>764</v>
      </c>
    </row>
    <row r="1156" spans="1:30" customFormat="1" ht="41.4" hidden="1" x14ac:dyDescent="0.3">
      <c r="A1156" s="1" t="s">
        <v>254</v>
      </c>
      <c r="B1156" s="1" t="s">
        <v>3346</v>
      </c>
      <c r="C1156" s="1" t="s">
        <v>390</v>
      </c>
      <c r="D1156" s="1" t="s">
        <v>9272</v>
      </c>
      <c r="E1156" s="1" t="s">
        <v>9273</v>
      </c>
      <c r="F1156" s="1" t="s">
        <v>9274</v>
      </c>
      <c r="G1156" s="1" t="s">
        <v>9275</v>
      </c>
      <c r="H1156" s="1" t="s">
        <v>9276</v>
      </c>
      <c r="I1156" s="1" t="s">
        <v>9277</v>
      </c>
      <c r="J1156" s="1" t="s">
        <v>9278</v>
      </c>
      <c r="K1156" s="1" t="s">
        <v>39</v>
      </c>
      <c r="L1156" s="1" t="s">
        <v>9279</v>
      </c>
      <c r="M1156" s="1" t="s">
        <v>42</v>
      </c>
      <c r="N1156" s="1"/>
      <c r="O1156" s="1" t="s">
        <v>7563</v>
      </c>
      <c r="P1156" s="1"/>
      <c r="Q1156" s="1" t="s">
        <v>7651</v>
      </c>
      <c r="R1156" s="1" t="s">
        <v>5371</v>
      </c>
      <c r="S1156" s="1" t="s">
        <v>9280</v>
      </c>
      <c r="T1156" s="15">
        <v>2025</v>
      </c>
      <c r="U1156" s="3" t="s">
        <v>5765</v>
      </c>
      <c r="V1156" s="3" t="s">
        <v>29</v>
      </c>
      <c r="X1156">
        <v>5</v>
      </c>
      <c r="Z1156" t="s">
        <v>2148</v>
      </c>
      <c r="AA1156" t="s">
        <v>9139</v>
      </c>
      <c r="AB1156" s="14" t="s">
        <v>3890</v>
      </c>
      <c r="AD1156" t="s">
        <v>764</v>
      </c>
    </row>
    <row r="1157" spans="1:30" customFormat="1" x14ac:dyDescent="0.3">
      <c r="A1157" s="1"/>
      <c r="B1157" s="1" t="s">
        <v>9281</v>
      </c>
      <c r="C1157" s="1" t="s">
        <v>2857</v>
      </c>
      <c r="D1157" s="1" t="s">
        <v>9282</v>
      </c>
      <c r="E1157" s="1" t="s">
        <v>9283</v>
      </c>
      <c r="F1157" s="1" t="s">
        <v>9284</v>
      </c>
      <c r="G1157" s="1" t="s">
        <v>9285</v>
      </c>
      <c r="H1157" s="1" t="s">
        <v>9286</v>
      </c>
      <c r="I1157" s="1" t="s">
        <v>9287</v>
      </c>
      <c r="J1157" s="1" t="s">
        <v>7376</v>
      </c>
      <c r="K1157" s="1" t="s">
        <v>39</v>
      </c>
      <c r="L1157" s="1" t="s">
        <v>4011</v>
      </c>
      <c r="M1157" s="1" t="s">
        <v>141</v>
      </c>
      <c r="N1157" s="1"/>
      <c r="O1157" s="1" t="s">
        <v>7563</v>
      </c>
      <c r="P1157" s="1"/>
      <c r="Q1157" s="1" t="s">
        <v>7651</v>
      </c>
      <c r="R1157" s="1" t="s">
        <v>6962</v>
      </c>
      <c r="S1157" s="1" t="s">
        <v>9288</v>
      </c>
      <c r="T1157" s="15">
        <v>2025</v>
      </c>
      <c r="U1157" s="3" t="s">
        <v>5765</v>
      </c>
      <c r="V1157" s="3" t="s">
        <v>29</v>
      </c>
      <c r="Y1157" s="44">
        <v>45899</v>
      </c>
      <c r="Z1157" t="s">
        <v>3828</v>
      </c>
      <c r="AA1157" t="s">
        <v>7886</v>
      </c>
      <c r="AB1157" s="14" t="s">
        <v>3888</v>
      </c>
      <c r="AD1157" t="s">
        <v>9493</v>
      </c>
    </row>
    <row r="1158" spans="1:30" customFormat="1" hidden="1" x14ac:dyDescent="0.3">
      <c r="A1158" s="1" t="s">
        <v>3086</v>
      </c>
      <c r="B1158" s="1" t="s">
        <v>9289</v>
      </c>
      <c r="C1158" s="1" t="s">
        <v>9290</v>
      </c>
      <c r="D1158" s="1" t="s">
        <v>9291</v>
      </c>
      <c r="E1158" s="1" t="s">
        <v>9292</v>
      </c>
      <c r="F1158" s="1" t="s">
        <v>9293</v>
      </c>
      <c r="G1158" s="1"/>
      <c r="H1158" s="1"/>
      <c r="I1158" s="1"/>
      <c r="J1158" s="1" t="s">
        <v>72</v>
      </c>
      <c r="K1158" s="1" t="s">
        <v>39</v>
      </c>
      <c r="L1158" s="1" t="s">
        <v>9294</v>
      </c>
      <c r="M1158" s="1" t="s">
        <v>42</v>
      </c>
      <c r="N1158" s="1"/>
      <c r="O1158" s="1" t="s">
        <v>7563</v>
      </c>
      <c r="P1158" s="1"/>
      <c r="Q1158" s="1" t="s">
        <v>7651</v>
      </c>
      <c r="R1158" s="1" t="s">
        <v>5359</v>
      </c>
      <c r="S1158" s="1" t="s">
        <v>9295</v>
      </c>
      <c r="T1158" s="15">
        <v>2025</v>
      </c>
      <c r="U1158" s="3" t="s">
        <v>5765</v>
      </c>
      <c r="V1158" s="3" t="s">
        <v>29</v>
      </c>
      <c r="X1158">
        <v>5</v>
      </c>
      <c r="Z1158" t="s">
        <v>3835</v>
      </c>
      <c r="AA1158" t="s">
        <v>7712</v>
      </c>
      <c r="AB1158" s="14" t="s">
        <v>3884</v>
      </c>
      <c r="AD1158" t="s">
        <v>5766</v>
      </c>
    </row>
    <row r="1159" spans="1:30" customFormat="1" ht="27.6" hidden="1" x14ac:dyDescent="0.3">
      <c r="A1159" s="1"/>
      <c r="B1159" s="58" t="s">
        <v>9296</v>
      </c>
      <c r="C1159" s="58" t="s">
        <v>1094</v>
      </c>
      <c r="D1159" s="58" t="s">
        <v>9297</v>
      </c>
      <c r="E1159" s="1" t="s">
        <v>9298</v>
      </c>
      <c r="F1159" s="1" t="s">
        <v>9299</v>
      </c>
      <c r="G1159" s="1" t="s">
        <v>9300</v>
      </c>
      <c r="H1159" s="1"/>
      <c r="I1159" s="1"/>
      <c r="J1159" s="1" t="s">
        <v>72</v>
      </c>
      <c r="K1159" s="1" t="s">
        <v>39</v>
      </c>
      <c r="L1159" s="1" t="s">
        <v>731</v>
      </c>
      <c r="M1159" s="1" t="s">
        <v>141</v>
      </c>
      <c r="N1159" s="1"/>
      <c r="O1159" s="1" t="s">
        <v>7563</v>
      </c>
      <c r="P1159" s="1"/>
      <c r="Q1159" s="1" t="s">
        <v>7651</v>
      </c>
      <c r="R1159" s="1" t="s">
        <v>6962</v>
      </c>
      <c r="S1159" s="1" t="s">
        <v>9301</v>
      </c>
      <c r="U1159" s="3" t="s">
        <v>9501</v>
      </c>
      <c r="V1159" s="3" t="s">
        <v>10080</v>
      </c>
      <c r="W1159" s="3" t="s">
        <v>10079</v>
      </c>
      <c r="X1159">
        <v>5</v>
      </c>
    </row>
    <row r="1160" spans="1:30" customFormat="1" hidden="1" x14ac:dyDescent="0.3">
      <c r="A1160" s="1" t="s">
        <v>254</v>
      </c>
      <c r="B1160" s="1" t="s">
        <v>9302</v>
      </c>
      <c r="C1160" s="1" t="s">
        <v>9303</v>
      </c>
      <c r="D1160" s="1" t="s">
        <v>9304</v>
      </c>
      <c r="E1160" s="1" t="s">
        <v>9305</v>
      </c>
      <c r="F1160" s="1" t="s">
        <v>9306</v>
      </c>
      <c r="G1160" s="1" t="s">
        <v>9307</v>
      </c>
      <c r="H1160" s="1"/>
      <c r="I1160" s="1"/>
      <c r="J1160" s="1" t="s">
        <v>9308</v>
      </c>
      <c r="K1160" s="1" t="s">
        <v>9309</v>
      </c>
      <c r="L1160" s="1" t="s">
        <v>9310</v>
      </c>
      <c r="M1160" s="1" t="s">
        <v>141</v>
      </c>
      <c r="N1160" s="1"/>
      <c r="O1160" s="1" t="s">
        <v>7563</v>
      </c>
      <c r="P1160" s="1" t="s">
        <v>7724</v>
      </c>
      <c r="Q1160" s="1"/>
      <c r="R1160" s="1" t="s">
        <v>5359</v>
      </c>
      <c r="S1160" s="1" t="s">
        <v>9311</v>
      </c>
      <c r="T1160" s="15">
        <v>2025</v>
      </c>
      <c r="U1160" s="3" t="s">
        <v>5765</v>
      </c>
      <c r="V1160" s="3" t="s">
        <v>29</v>
      </c>
      <c r="X1160">
        <v>5</v>
      </c>
      <c r="Z1160" t="s">
        <v>3828</v>
      </c>
      <c r="AA1160" t="s">
        <v>9494</v>
      </c>
      <c r="AB1160" s="14" t="s">
        <v>3885</v>
      </c>
      <c r="AD1160" t="s">
        <v>9495</v>
      </c>
    </row>
    <row r="1161" spans="1:30" customFormat="1" x14ac:dyDescent="0.3">
      <c r="A1161" s="1"/>
      <c r="B1161" s="1" t="s">
        <v>9312</v>
      </c>
      <c r="C1161" s="1" t="s">
        <v>9313</v>
      </c>
      <c r="D1161" s="1" t="s">
        <v>9314</v>
      </c>
      <c r="E1161" s="1" t="s">
        <v>9315</v>
      </c>
      <c r="F1161" s="1" t="s">
        <v>9316</v>
      </c>
      <c r="G1161" s="1"/>
      <c r="H1161" s="1"/>
      <c r="I1161" s="1"/>
      <c r="J1161" s="1" t="s">
        <v>72</v>
      </c>
      <c r="K1161" s="1" t="s">
        <v>39</v>
      </c>
      <c r="L1161" s="1" t="s">
        <v>9317</v>
      </c>
      <c r="M1161" s="1" t="s">
        <v>42</v>
      </c>
      <c r="N1161" s="1"/>
      <c r="O1161" s="1" t="s">
        <v>7563</v>
      </c>
      <c r="P1161" s="1"/>
      <c r="Q1161" s="1" t="s">
        <v>7651</v>
      </c>
      <c r="R1161" s="1" t="s">
        <v>5359</v>
      </c>
      <c r="S1161" s="1" t="s">
        <v>9318</v>
      </c>
      <c r="T1161" s="15">
        <v>2025</v>
      </c>
      <c r="U1161" s="3" t="s">
        <v>5765</v>
      </c>
      <c r="V1161" s="3" t="s">
        <v>29</v>
      </c>
      <c r="Y1161" s="44">
        <v>45899</v>
      </c>
      <c r="Z1161" t="s">
        <v>3828</v>
      </c>
      <c r="AA1161" t="s">
        <v>7887</v>
      </c>
      <c r="AB1161" s="14" t="s">
        <v>3888</v>
      </c>
      <c r="AD1161" t="s">
        <v>764</v>
      </c>
    </row>
    <row r="1162" spans="1:30" customFormat="1" hidden="1" x14ac:dyDescent="0.3">
      <c r="A1162" s="1" t="s">
        <v>5972</v>
      </c>
      <c r="B1162" s="1" t="s">
        <v>9319</v>
      </c>
      <c r="C1162" s="1" t="s">
        <v>3356</v>
      </c>
      <c r="D1162" s="1" t="s">
        <v>9320</v>
      </c>
      <c r="E1162" s="1" t="s">
        <v>9321</v>
      </c>
      <c r="F1162" s="1" t="s">
        <v>9322</v>
      </c>
      <c r="G1162" s="1" t="s">
        <v>9323</v>
      </c>
      <c r="H1162" s="1"/>
      <c r="I1162" s="1"/>
      <c r="J1162" s="1" t="s">
        <v>7334</v>
      </c>
      <c r="K1162" s="1" t="s">
        <v>39</v>
      </c>
      <c r="L1162" s="1" t="s">
        <v>5972</v>
      </c>
      <c r="M1162" s="1" t="s">
        <v>42</v>
      </c>
      <c r="N1162" s="1"/>
      <c r="O1162" s="1" t="s">
        <v>7563</v>
      </c>
      <c r="P1162" s="1"/>
      <c r="Q1162" s="1" t="s">
        <v>7651</v>
      </c>
      <c r="R1162" s="1" t="s">
        <v>5480</v>
      </c>
      <c r="S1162" s="1" t="s">
        <v>9324</v>
      </c>
      <c r="T1162" s="15">
        <v>2025</v>
      </c>
      <c r="U1162" s="3" t="s">
        <v>5765</v>
      </c>
      <c r="V1162" s="3" t="s">
        <v>29</v>
      </c>
      <c r="X1162">
        <v>5</v>
      </c>
      <c r="Z1162" t="s">
        <v>2148</v>
      </c>
      <c r="AA1162" t="s">
        <v>9496</v>
      </c>
      <c r="AB1162" s="14" t="s">
        <v>3890</v>
      </c>
      <c r="AD1162" t="s">
        <v>764</v>
      </c>
    </row>
    <row r="1163" spans="1:30" customFormat="1" ht="41.4" hidden="1" x14ac:dyDescent="0.3">
      <c r="A1163" s="1" t="s">
        <v>22</v>
      </c>
      <c r="B1163" s="1" t="s">
        <v>9325</v>
      </c>
      <c r="C1163" s="1" t="s">
        <v>9326</v>
      </c>
      <c r="D1163" s="1" t="s">
        <v>9327</v>
      </c>
      <c r="E1163" s="1" t="s">
        <v>9328</v>
      </c>
      <c r="F1163" s="1" t="s">
        <v>9329</v>
      </c>
      <c r="G1163" s="1" t="s">
        <v>9330</v>
      </c>
      <c r="H1163" s="1"/>
      <c r="I1163" s="1"/>
      <c r="J1163" s="1" t="s">
        <v>72</v>
      </c>
      <c r="K1163" s="1" t="s">
        <v>39</v>
      </c>
      <c r="L1163" s="1" t="s">
        <v>9331</v>
      </c>
      <c r="M1163" s="1" t="s">
        <v>141</v>
      </c>
      <c r="N1163" s="1" t="s">
        <v>9332</v>
      </c>
      <c r="O1163" s="1" t="s">
        <v>7563</v>
      </c>
      <c r="P1163" s="1"/>
      <c r="Q1163" s="1" t="s">
        <v>7651</v>
      </c>
      <c r="R1163" s="1" t="s">
        <v>5655</v>
      </c>
      <c r="S1163" s="1" t="s">
        <v>9333</v>
      </c>
      <c r="T1163" s="15">
        <v>2025</v>
      </c>
      <c r="U1163" s="3" t="s">
        <v>5765</v>
      </c>
      <c r="V1163" s="3" t="s">
        <v>29</v>
      </c>
      <c r="X1163">
        <v>15</v>
      </c>
      <c r="Z1163" t="s">
        <v>2148</v>
      </c>
      <c r="AA1163" t="s">
        <v>9496</v>
      </c>
      <c r="AB1163" s="14" t="s">
        <v>3890</v>
      </c>
      <c r="AD1163" t="s">
        <v>764</v>
      </c>
    </row>
    <row r="1164" spans="1:30" customFormat="1" x14ac:dyDescent="0.3">
      <c r="A1164" s="1"/>
      <c r="B1164" s="1" t="s">
        <v>9334</v>
      </c>
      <c r="C1164" s="1" t="s">
        <v>8362</v>
      </c>
      <c r="D1164" s="1" t="s">
        <v>9335</v>
      </c>
      <c r="E1164" s="1" t="s">
        <v>9336</v>
      </c>
      <c r="F1164" s="1" t="s">
        <v>9337</v>
      </c>
      <c r="G1164" s="1"/>
      <c r="H1164" s="1"/>
      <c r="I1164" s="1"/>
      <c r="J1164" s="1" t="s">
        <v>7254</v>
      </c>
      <c r="K1164" s="1" t="s">
        <v>39</v>
      </c>
      <c r="L1164" s="1" t="s">
        <v>9338</v>
      </c>
      <c r="M1164" s="1" t="s">
        <v>141</v>
      </c>
      <c r="N1164" s="1"/>
      <c r="O1164" s="1" t="s">
        <v>7563</v>
      </c>
      <c r="P1164" s="1"/>
      <c r="Q1164" s="1" t="s">
        <v>7651</v>
      </c>
      <c r="R1164" s="1" t="s">
        <v>6962</v>
      </c>
      <c r="S1164" s="1" t="s">
        <v>9339</v>
      </c>
      <c r="T1164" s="15">
        <v>2025</v>
      </c>
      <c r="U1164" s="3" t="s">
        <v>5765</v>
      </c>
      <c r="V1164" s="3" t="s">
        <v>29</v>
      </c>
      <c r="Y1164" s="44">
        <v>45899</v>
      </c>
      <c r="Z1164" t="s">
        <v>3828</v>
      </c>
      <c r="AA1164" t="s">
        <v>7887</v>
      </c>
      <c r="AB1164" s="14" t="s">
        <v>3888</v>
      </c>
      <c r="AD1164" t="s">
        <v>764</v>
      </c>
    </row>
    <row r="1165" spans="1:30" customFormat="1" x14ac:dyDescent="0.3">
      <c r="A1165" s="1" t="s">
        <v>1482</v>
      </c>
      <c r="B1165" s="1" t="s">
        <v>9340</v>
      </c>
      <c r="C1165" s="1" t="s">
        <v>9341</v>
      </c>
      <c r="D1165" s="1" t="s">
        <v>9342</v>
      </c>
      <c r="E1165" s="1"/>
      <c r="F1165" s="1" t="s">
        <v>9343</v>
      </c>
      <c r="G1165" s="1"/>
      <c r="H1165" s="1"/>
      <c r="I1165" s="1"/>
      <c r="J1165" s="1" t="s">
        <v>2480</v>
      </c>
      <c r="K1165" s="1" t="s">
        <v>39</v>
      </c>
      <c r="L1165" s="1" t="s">
        <v>1304</v>
      </c>
      <c r="M1165" s="1" t="s">
        <v>42</v>
      </c>
      <c r="N1165" s="1"/>
      <c r="O1165" s="1" t="s">
        <v>7563</v>
      </c>
      <c r="P1165" s="1"/>
      <c r="Q1165" s="1" t="s">
        <v>7651</v>
      </c>
      <c r="R1165" s="1" t="s">
        <v>5429</v>
      </c>
      <c r="S1165" s="1" t="s">
        <v>9344</v>
      </c>
      <c r="T1165" s="15">
        <v>2025</v>
      </c>
      <c r="U1165" s="3" t="s">
        <v>5765</v>
      </c>
      <c r="V1165" s="3" t="s">
        <v>29</v>
      </c>
      <c r="Y1165" s="44">
        <v>45899</v>
      </c>
      <c r="Z1165" t="s">
        <v>3828</v>
      </c>
      <c r="AA1165" t="s">
        <v>7887</v>
      </c>
      <c r="AB1165" s="14" t="s">
        <v>3888</v>
      </c>
      <c r="AD1165" t="s">
        <v>764</v>
      </c>
    </row>
    <row r="1166" spans="1:30" customFormat="1" x14ac:dyDescent="0.3">
      <c r="A1166" s="1" t="s">
        <v>274</v>
      </c>
      <c r="B1166" s="1" t="s">
        <v>9345</v>
      </c>
      <c r="C1166" s="1" t="s">
        <v>9346</v>
      </c>
      <c r="D1166" s="1" t="s">
        <v>9347</v>
      </c>
      <c r="E1166" s="1" t="s">
        <v>9348</v>
      </c>
      <c r="F1166" s="1" t="s">
        <v>9349</v>
      </c>
      <c r="G1166" s="1" t="s">
        <v>9350</v>
      </c>
      <c r="H1166" s="1" t="s">
        <v>9351</v>
      </c>
      <c r="I1166" s="1" t="s">
        <v>9352</v>
      </c>
      <c r="J1166" s="1" t="s">
        <v>9353</v>
      </c>
      <c r="K1166" s="1" t="s">
        <v>4789</v>
      </c>
      <c r="L1166" s="1" t="s">
        <v>9354</v>
      </c>
      <c r="M1166" s="1" t="s">
        <v>42</v>
      </c>
      <c r="N1166" s="1"/>
      <c r="O1166" s="1" t="s">
        <v>7563</v>
      </c>
      <c r="P1166" s="1" t="s">
        <v>7724</v>
      </c>
      <c r="Q1166" s="1"/>
      <c r="R1166" s="1" t="s">
        <v>6962</v>
      </c>
      <c r="S1166" s="1" t="s">
        <v>9355</v>
      </c>
      <c r="T1166" s="15">
        <v>2025</v>
      </c>
      <c r="U1166" s="3" t="s">
        <v>5765</v>
      </c>
      <c r="V1166" s="3" t="s">
        <v>29</v>
      </c>
      <c r="Y1166" s="44">
        <v>45899</v>
      </c>
      <c r="Z1166" t="s">
        <v>3828</v>
      </c>
      <c r="AA1166" t="s">
        <v>9494</v>
      </c>
      <c r="AB1166" s="14" t="s">
        <v>3885</v>
      </c>
      <c r="AD1166" t="s">
        <v>9497</v>
      </c>
    </row>
    <row r="1167" spans="1:30" customFormat="1" ht="41.4" x14ac:dyDescent="0.3">
      <c r="A1167" s="1"/>
      <c r="B1167" s="1" t="s">
        <v>9356</v>
      </c>
      <c r="C1167" s="1" t="s">
        <v>9357</v>
      </c>
      <c r="D1167" s="1" t="s">
        <v>9358</v>
      </c>
      <c r="E1167" s="1" t="s">
        <v>9359</v>
      </c>
      <c r="F1167" s="1" t="s">
        <v>9360</v>
      </c>
      <c r="G1167" s="1" t="s">
        <v>9361</v>
      </c>
      <c r="H1167" s="1" t="s">
        <v>9362</v>
      </c>
      <c r="I1167" s="1" t="s">
        <v>9363</v>
      </c>
      <c r="J1167" s="1" t="s">
        <v>5568</v>
      </c>
      <c r="K1167" s="1" t="s">
        <v>5569</v>
      </c>
      <c r="L1167" s="1" t="s">
        <v>9364</v>
      </c>
      <c r="M1167" s="1" t="s">
        <v>42</v>
      </c>
      <c r="N1167" s="1"/>
      <c r="O1167" s="1" t="s">
        <v>7563</v>
      </c>
      <c r="P1167" s="1"/>
      <c r="Q1167" s="1" t="s">
        <v>7651</v>
      </c>
      <c r="R1167" s="1" t="s">
        <v>5359</v>
      </c>
      <c r="S1167" s="1" t="s">
        <v>9365</v>
      </c>
      <c r="T1167" s="15">
        <v>2025</v>
      </c>
      <c r="U1167" s="3" t="s">
        <v>5765</v>
      </c>
      <c r="V1167" s="3" t="s">
        <v>29</v>
      </c>
      <c r="Y1167" s="44">
        <v>45899</v>
      </c>
      <c r="Z1167" t="s">
        <v>3828</v>
      </c>
      <c r="AA1167" t="s">
        <v>7887</v>
      </c>
      <c r="AB1167" s="14" t="s">
        <v>3888</v>
      </c>
      <c r="AD1167" t="s">
        <v>764</v>
      </c>
    </row>
    <row r="1168" spans="1:30" customFormat="1" ht="27.6" hidden="1" x14ac:dyDescent="0.3">
      <c r="A1168" s="1"/>
      <c r="B1168" s="4" t="s">
        <v>4033</v>
      </c>
      <c r="C1168" s="4" t="s">
        <v>806</v>
      </c>
      <c r="D1168" s="1" t="s">
        <v>9366</v>
      </c>
      <c r="E1168" s="1"/>
      <c r="F1168" s="1" t="s">
        <v>9367</v>
      </c>
      <c r="G1168" s="1"/>
      <c r="H1168" s="1"/>
      <c r="I1168" s="1"/>
      <c r="J1168" s="1" t="s">
        <v>72</v>
      </c>
      <c r="K1168" s="1" t="s">
        <v>39</v>
      </c>
      <c r="L1168" s="1" t="s">
        <v>9368</v>
      </c>
      <c r="M1168" s="1" t="s">
        <v>141</v>
      </c>
      <c r="N1168" s="1" t="s">
        <v>9369</v>
      </c>
      <c r="O1168" s="1" t="s">
        <v>7563</v>
      </c>
      <c r="P1168" s="1"/>
      <c r="Q1168" s="1" t="s">
        <v>7651</v>
      </c>
      <c r="R1168" s="1" t="s">
        <v>5359</v>
      </c>
      <c r="S1168" s="1" t="s">
        <v>9370</v>
      </c>
      <c r="T1168" s="15">
        <v>2025</v>
      </c>
      <c r="U1168" s="3" t="s">
        <v>5765</v>
      </c>
      <c r="V1168" s="3" t="s">
        <v>29</v>
      </c>
      <c r="X1168">
        <v>5</v>
      </c>
      <c r="Z1168" t="s">
        <v>2148</v>
      </c>
      <c r="AA1168" t="s">
        <v>9139</v>
      </c>
      <c r="AB1168" s="14" t="s">
        <v>3890</v>
      </c>
      <c r="AD1168" t="s">
        <v>764</v>
      </c>
    </row>
    <row r="1169" spans="1:30" customFormat="1" ht="27.6" hidden="1" x14ac:dyDescent="0.3">
      <c r="A1169" s="1" t="s">
        <v>100</v>
      </c>
      <c r="B1169" s="1" t="s">
        <v>9371</v>
      </c>
      <c r="C1169" s="1" t="s">
        <v>1678</v>
      </c>
      <c r="D1169" s="1" t="s">
        <v>9372</v>
      </c>
      <c r="E1169" s="1"/>
      <c r="F1169" s="1" t="s">
        <v>9373</v>
      </c>
      <c r="G1169" s="1"/>
      <c r="H1169" s="1" t="s">
        <v>9374</v>
      </c>
      <c r="I1169" s="1" t="s">
        <v>191</v>
      </c>
      <c r="J1169" s="1" t="s">
        <v>72</v>
      </c>
      <c r="K1169" s="1" t="s">
        <v>39</v>
      </c>
      <c r="L1169" s="1" t="s">
        <v>9375</v>
      </c>
      <c r="M1169" s="1" t="s">
        <v>141</v>
      </c>
      <c r="N1169" s="1"/>
      <c r="O1169" s="1" t="s">
        <v>7563</v>
      </c>
      <c r="P1169" s="1"/>
      <c r="Q1169" s="1" t="s">
        <v>7651</v>
      </c>
      <c r="R1169" s="1" t="s">
        <v>5359</v>
      </c>
      <c r="S1169" s="1" t="s">
        <v>9376</v>
      </c>
      <c r="T1169" s="15">
        <v>2025</v>
      </c>
      <c r="U1169" s="3" t="s">
        <v>5765</v>
      </c>
      <c r="V1169" s="3" t="s">
        <v>29</v>
      </c>
      <c r="X1169">
        <v>5</v>
      </c>
      <c r="Y1169" s="44">
        <v>45899</v>
      </c>
      <c r="Z1169" t="s">
        <v>3828</v>
      </c>
      <c r="AA1169" t="s">
        <v>9494</v>
      </c>
      <c r="AB1169" s="14" t="s">
        <v>3885</v>
      </c>
      <c r="AD1169" t="s">
        <v>764</v>
      </c>
    </row>
    <row r="1170" spans="1:30" customFormat="1" ht="27.6" hidden="1" x14ac:dyDescent="0.3">
      <c r="A1170" s="1" t="s">
        <v>1400</v>
      </c>
      <c r="B1170" s="1" t="s">
        <v>9377</v>
      </c>
      <c r="C1170" s="1" t="s">
        <v>9378</v>
      </c>
      <c r="D1170" s="1" t="s">
        <v>9379</v>
      </c>
      <c r="E1170" s="1"/>
      <c r="F1170" s="1" t="s">
        <v>9380</v>
      </c>
      <c r="G1170" s="1" t="s">
        <v>9381</v>
      </c>
      <c r="H1170" s="1"/>
      <c r="I1170" s="1"/>
      <c r="J1170" s="1" t="s">
        <v>9382</v>
      </c>
      <c r="K1170" s="1" t="s">
        <v>9262</v>
      </c>
      <c r="L1170" s="1" t="s">
        <v>9383</v>
      </c>
      <c r="M1170" s="1" t="s">
        <v>141</v>
      </c>
      <c r="N1170" s="1"/>
      <c r="O1170" s="1" t="s">
        <v>7563</v>
      </c>
      <c r="P1170" s="1" t="s">
        <v>7724</v>
      </c>
      <c r="Q1170" s="1"/>
      <c r="R1170" s="1" t="s">
        <v>6962</v>
      </c>
      <c r="S1170" s="1" t="s">
        <v>9384</v>
      </c>
      <c r="T1170" s="15">
        <v>2025</v>
      </c>
      <c r="U1170" s="3" t="s">
        <v>5765</v>
      </c>
      <c r="V1170" s="3" t="s">
        <v>29</v>
      </c>
      <c r="X1170">
        <v>5</v>
      </c>
      <c r="Z1170" t="s">
        <v>3828</v>
      </c>
      <c r="AA1170" t="s">
        <v>9494</v>
      </c>
      <c r="AB1170" s="14" t="s">
        <v>3885</v>
      </c>
      <c r="AD1170" t="s">
        <v>9498</v>
      </c>
    </row>
    <row r="1171" spans="1:30" customFormat="1" ht="27.6" hidden="1" x14ac:dyDescent="0.3">
      <c r="A1171" s="1" t="s">
        <v>6475</v>
      </c>
      <c r="B1171" s="1" t="s">
        <v>1699</v>
      </c>
      <c r="C1171" s="1" t="s">
        <v>1989</v>
      </c>
      <c r="D1171" s="1" t="s">
        <v>9385</v>
      </c>
      <c r="E1171" s="1"/>
      <c r="F1171" s="1" t="s">
        <v>9386</v>
      </c>
      <c r="G1171" s="1"/>
      <c r="H1171" s="1" t="s">
        <v>9387</v>
      </c>
      <c r="I1171" s="1" t="s">
        <v>9388</v>
      </c>
      <c r="J1171" s="1" t="s">
        <v>9389</v>
      </c>
      <c r="K1171" s="1" t="s">
        <v>39</v>
      </c>
      <c r="L1171" s="1" t="s">
        <v>9390</v>
      </c>
      <c r="M1171" s="1" t="s">
        <v>141</v>
      </c>
      <c r="N1171" s="1"/>
      <c r="O1171" s="1" t="s">
        <v>7563</v>
      </c>
      <c r="P1171" s="1"/>
      <c r="Q1171" s="1" t="s">
        <v>7651</v>
      </c>
      <c r="R1171" s="1" t="s">
        <v>5359</v>
      </c>
      <c r="S1171" s="1" t="s">
        <v>9391</v>
      </c>
      <c r="T1171" s="15">
        <v>2025</v>
      </c>
      <c r="U1171" s="3" t="s">
        <v>5765</v>
      </c>
      <c r="V1171" s="3" t="s">
        <v>29</v>
      </c>
      <c r="X1171">
        <v>5</v>
      </c>
      <c r="Z1171" t="s">
        <v>3828</v>
      </c>
      <c r="AA1171" t="s">
        <v>7886</v>
      </c>
      <c r="AB1171" s="14" t="s">
        <v>3888</v>
      </c>
      <c r="AD1171" t="s">
        <v>764</v>
      </c>
    </row>
    <row r="1172" spans="1:30" customFormat="1" hidden="1" x14ac:dyDescent="0.3">
      <c r="A1172" s="1" t="s">
        <v>22</v>
      </c>
      <c r="B1172" s="1" t="s">
        <v>9392</v>
      </c>
      <c r="C1172" s="1" t="s">
        <v>523</v>
      </c>
      <c r="D1172" s="1" t="s">
        <v>9393</v>
      </c>
      <c r="E1172" s="1" t="s">
        <v>9394</v>
      </c>
      <c r="F1172" s="1" t="s">
        <v>9395</v>
      </c>
      <c r="G1172" s="1" t="s">
        <v>9396</v>
      </c>
      <c r="H1172" s="1" t="s">
        <v>9397</v>
      </c>
      <c r="I1172" s="1"/>
      <c r="J1172" s="1" t="s">
        <v>9398</v>
      </c>
      <c r="K1172" s="1" t="s">
        <v>39</v>
      </c>
      <c r="L1172" s="1" t="s">
        <v>520</v>
      </c>
      <c r="M1172" s="1" t="s">
        <v>42</v>
      </c>
      <c r="N1172" s="1"/>
      <c r="O1172" s="1" t="s">
        <v>7563</v>
      </c>
      <c r="P1172" s="1"/>
      <c r="Q1172" s="1" t="s">
        <v>7651</v>
      </c>
      <c r="R1172" s="1" t="s">
        <v>5359</v>
      </c>
      <c r="S1172" s="1" t="s">
        <v>9399</v>
      </c>
      <c r="T1172" s="15">
        <v>2025</v>
      </c>
      <c r="U1172" s="3" t="s">
        <v>5765</v>
      </c>
      <c r="V1172" s="3" t="s">
        <v>29</v>
      </c>
      <c r="X1172">
        <v>5</v>
      </c>
      <c r="Z1172" t="s">
        <v>2148</v>
      </c>
      <c r="AA1172" t="s">
        <v>9139</v>
      </c>
      <c r="AB1172" s="14" t="s">
        <v>3890</v>
      </c>
      <c r="AD1172" t="s">
        <v>764</v>
      </c>
    </row>
    <row r="1173" spans="1:30" customFormat="1" hidden="1" x14ac:dyDescent="0.3">
      <c r="A1173" s="1" t="s">
        <v>100</v>
      </c>
      <c r="B1173" s="1" t="s">
        <v>5737</v>
      </c>
      <c r="C1173" s="1" t="s">
        <v>354</v>
      </c>
      <c r="D1173" s="1" t="s">
        <v>9400</v>
      </c>
      <c r="E1173" s="1" t="s">
        <v>9401</v>
      </c>
      <c r="F1173" s="1" t="s">
        <v>9402</v>
      </c>
      <c r="G1173" s="1" t="s">
        <v>9403</v>
      </c>
      <c r="H1173" s="1" t="s">
        <v>310</v>
      </c>
      <c r="I1173" s="1" t="s">
        <v>9404</v>
      </c>
      <c r="J1173" s="1" t="s">
        <v>4854</v>
      </c>
      <c r="K1173" s="1" t="s">
        <v>39</v>
      </c>
      <c r="L1173" s="1" t="s">
        <v>9405</v>
      </c>
      <c r="M1173" s="1" t="s">
        <v>42</v>
      </c>
      <c r="N1173" s="1"/>
      <c r="O1173" s="1" t="s">
        <v>7563</v>
      </c>
      <c r="P1173" s="1"/>
      <c r="Q1173" s="1" t="s">
        <v>7651</v>
      </c>
      <c r="R1173" s="1" t="s">
        <v>5655</v>
      </c>
      <c r="S1173" s="1" t="s">
        <v>9406</v>
      </c>
      <c r="T1173" s="15">
        <v>2025</v>
      </c>
      <c r="U1173" s="3" t="s">
        <v>5765</v>
      </c>
      <c r="V1173" s="3" t="s">
        <v>29</v>
      </c>
      <c r="X1173">
        <v>5</v>
      </c>
      <c r="Z1173" t="s">
        <v>3828</v>
      </c>
      <c r="AA1173" t="s">
        <v>9499</v>
      </c>
      <c r="AB1173" s="14" t="s">
        <v>3888</v>
      </c>
      <c r="AD1173" t="s">
        <v>764</v>
      </c>
    </row>
    <row r="1174" spans="1:30" customFormat="1" x14ac:dyDescent="0.3">
      <c r="A1174" s="1" t="s">
        <v>6367</v>
      </c>
      <c r="B1174" s="1" t="s">
        <v>9407</v>
      </c>
      <c r="C1174" s="1" t="s">
        <v>9408</v>
      </c>
      <c r="D1174" s="1" t="s">
        <v>9409</v>
      </c>
      <c r="E1174" s="1" t="s">
        <v>9410</v>
      </c>
      <c r="F1174" s="1" t="s">
        <v>9411</v>
      </c>
      <c r="G1174" s="1" t="s">
        <v>9412</v>
      </c>
      <c r="H1174" s="1" t="s">
        <v>6367</v>
      </c>
      <c r="I1174" s="1"/>
      <c r="J1174" s="1" t="s">
        <v>72</v>
      </c>
      <c r="K1174" s="1" t="s">
        <v>39</v>
      </c>
      <c r="L1174" s="1" t="s">
        <v>9413</v>
      </c>
      <c r="M1174" s="1" t="s">
        <v>42</v>
      </c>
      <c r="N1174" s="1"/>
      <c r="O1174" s="1" t="s">
        <v>7563</v>
      </c>
      <c r="P1174" s="1" t="s">
        <v>7724</v>
      </c>
      <c r="Q1174" s="1"/>
      <c r="R1174" s="1" t="s">
        <v>6962</v>
      </c>
      <c r="S1174" s="1" t="s">
        <v>9414</v>
      </c>
      <c r="T1174" s="15">
        <v>2025</v>
      </c>
      <c r="U1174" s="3" t="s">
        <v>5765</v>
      </c>
      <c r="V1174" s="3" t="s">
        <v>29</v>
      </c>
      <c r="Y1174" s="44">
        <v>45899</v>
      </c>
      <c r="Z1174" t="s">
        <v>3828</v>
      </c>
      <c r="AA1174" t="s">
        <v>9494</v>
      </c>
      <c r="AB1174" s="14" t="s">
        <v>3885</v>
      </c>
      <c r="AD1174" t="s">
        <v>7498</v>
      </c>
    </row>
    <row r="1175" spans="1:30" customFormat="1" hidden="1" x14ac:dyDescent="0.3">
      <c r="A1175" s="1" t="s">
        <v>274</v>
      </c>
      <c r="B1175" s="1" t="s">
        <v>3100</v>
      </c>
      <c r="C1175" s="1" t="s">
        <v>2065</v>
      </c>
      <c r="D1175" s="1" t="s">
        <v>9415</v>
      </c>
      <c r="E1175" s="1" t="s">
        <v>9416</v>
      </c>
      <c r="F1175" s="1" t="s">
        <v>9417</v>
      </c>
      <c r="G1175" s="1"/>
      <c r="H1175" s="1"/>
      <c r="I1175" s="1"/>
      <c r="J1175" s="1" t="s">
        <v>1371</v>
      </c>
      <c r="K1175" s="1" t="s">
        <v>39</v>
      </c>
      <c r="L1175" s="1" t="s">
        <v>9418</v>
      </c>
      <c r="M1175" s="1" t="s">
        <v>141</v>
      </c>
      <c r="N1175" s="1"/>
      <c r="O1175" s="1" t="s">
        <v>7563</v>
      </c>
      <c r="P1175" s="1"/>
      <c r="Q1175" s="1" t="s">
        <v>7651</v>
      </c>
      <c r="R1175" s="1" t="s">
        <v>5359</v>
      </c>
      <c r="S1175" s="1" t="s">
        <v>9419</v>
      </c>
      <c r="T1175" s="15">
        <v>2025</v>
      </c>
      <c r="U1175" s="3" t="s">
        <v>5765</v>
      </c>
      <c r="V1175" s="3" t="s">
        <v>29</v>
      </c>
      <c r="X1175">
        <v>5</v>
      </c>
      <c r="Z1175" t="s">
        <v>2148</v>
      </c>
      <c r="AA1175" t="s">
        <v>9139</v>
      </c>
      <c r="AB1175" s="14" t="s">
        <v>3890</v>
      </c>
      <c r="AD1175" t="s">
        <v>764</v>
      </c>
    </row>
    <row r="1176" spans="1:30" customFormat="1" hidden="1" x14ac:dyDescent="0.3">
      <c r="A1176" s="1" t="s">
        <v>1482</v>
      </c>
      <c r="B1176" s="1" t="s">
        <v>9420</v>
      </c>
      <c r="C1176" s="1" t="s">
        <v>237</v>
      </c>
      <c r="D1176" s="1" t="s">
        <v>9421</v>
      </c>
      <c r="E1176" s="1" t="s">
        <v>9422</v>
      </c>
      <c r="F1176" s="1" t="s">
        <v>9423</v>
      </c>
      <c r="G1176" s="1"/>
      <c r="H1176" s="1"/>
      <c r="I1176" s="1"/>
      <c r="J1176" s="1" t="s">
        <v>1886</v>
      </c>
      <c r="K1176" s="1" t="s">
        <v>39</v>
      </c>
      <c r="L1176" s="1" t="s">
        <v>9424</v>
      </c>
      <c r="M1176" s="1" t="s">
        <v>42</v>
      </c>
      <c r="N1176" s="1"/>
      <c r="O1176" s="1" t="s">
        <v>7563</v>
      </c>
      <c r="P1176" s="1"/>
      <c r="Q1176" s="1" t="s">
        <v>7651</v>
      </c>
      <c r="R1176" s="1" t="s">
        <v>6962</v>
      </c>
      <c r="S1176" s="1" t="s">
        <v>9425</v>
      </c>
      <c r="T1176" s="15">
        <v>2025</v>
      </c>
      <c r="U1176" s="3" t="s">
        <v>5765</v>
      </c>
      <c r="V1176" s="3" t="s">
        <v>29</v>
      </c>
      <c r="X1176">
        <v>5</v>
      </c>
      <c r="Y1176" s="44">
        <v>45899</v>
      </c>
      <c r="Z1176" t="s">
        <v>2148</v>
      </c>
      <c r="AA1176" t="s">
        <v>9139</v>
      </c>
      <c r="AB1176" s="14" t="s">
        <v>3890</v>
      </c>
      <c r="AD1176" t="s">
        <v>764</v>
      </c>
    </row>
    <row r="1177" spans="1:30" customFormat="1" ht="27.6" x14ac:dyDescent="0.3">
      <c r="A1177" s="1"/>
      <c r="B1177" s="1" t="s">
        <v>9426</v>
      </c>
      <c r="C1177" s="1" t="s">
        <v>2487</v>
      </c>
      <c r="D1177" s="1" t="s">
        <v>9427</v>
      </c>
      <c r="E1177" s="1" t="s">
        <v>9428</v>
      </c>
      <c r="F1177" s="1" t="s">
        <v>9429</v>
      </c>
      <c r="G1177" s="1" t="s">
        <v>9430</v>
      </c>
      <c r="H1177" s="1" t="s">
        <v>9431</v>
      </c>
      <c r="I1177" s="1" t="s">
        <v>191</v>
      </c>
      <c r="J1177" s="1" t="s">
        <v>9122</v>
      </c>
      <c r="K1177" s="1" t="s">
        <v>39</v>
      </c>
      <c r="L1177" s="1" t="s">
        <v>9432</v>
      </c>
      <c r="M1177" s="1" t="s">
        <v>42</v>
      </c>
      <c r="N1177" s="1"/>
      <c r="O1177" s="1" t="s">
        <v>7563</v>
      </c>
      <c r="P1177" s="1"/>
      <c r="Q1177" s="1" t="s">
        <v>7651</v>
      </c>
      <c r="R1177" s="1" t="s">
        <v>5480</v>
      </c>
      <c r="S1177" s="1" t="s">
        <v>9433</v>
      </c>
      <c r="T1177" s="15">
        <v>2025</v>
      </c>
      <c r="U1177" s="3" t="s">
        <v>5765</v>
      </c>
      <c r="V1177" s="3" t="s">
        <v>29</v>
      </c>
      <c r="Y1177" s="44">
        <v>45899</v>
      </c>
      <c r="Z1177" t="s">
        <v>3828</v>
      </c>
      <c r="AA1177" t="s">
        <v>7037</v>
      </c>
      <c r="AB1177" s="14" t="s">
        <v>3888</v>
      </c>
      <c r="AD1177" t="s">
        <v>764</v>
      </c>
    </row>
    <row r="1178" spans="1:30" customFormat="1" hidden="1" x14ac:dyDescent="0.3">
      <c r="A1178" s="1"/>
      <c r="B1178" s="1" t="s">
        <v>9434</v>
      </c>
      <c r="C1178" s="1" t="s">
        <v>9435</v>
      </c>
      <c r="D1178" s="1" t="s">
        <v>9436</v>
      </c>
      <c r="E1178" s="1" t="s">
        <v>9437</v>
      </c>
      <c r="F1178" s="1" t="s">
        <v>9438</v>
      </c>
      <c r="G1178" s="1" t="s">
        <v>9439</v>
      </c>
      <c r="H1178" s="1" t="s">
        <v>5028</v>
      </c>
      <c r="I1178" s="1"/>
      <c r="J1178" s="1" t="s">
        <v>72</v>
      </c>
      <c r="K1178" s="1" t="s">
        <v>39</v>
      </c>
      <c r="L1178" s="1" t="s">
        <v>9440</v>
      </c>
      <c r="M1178" s="1" t="s">
        <v>141</v>
      </c>
      <c r="N1178" s="1"/>
      <c r="O1178" s="1" t="s">
        <v>7563</v>
      </c>
      <c r="P1178" s="1"/>
      <c r="Q1178" s="1" t="s">
        <v>7651</v>
      </c>
      <c r="R1178" s="1" t="s">
        <v>5359</v>
      </c>
      <c r="S1178" s="1" t="s">
        <v>9441</v>
      </c>
      <c r="T1178" s="15">
        <v>2025</v>
      </c>
      <c r="U1178" s="3" t="s">
        <v>5765</v>
      </c>
      <c r="V1178" s="3" t="s">
        <v>29</v>
      </c>
      <c r="X1178">
        <v>5</v>
      </c>
      <c r="Z1178" t="s">
        <v>3870</v>
      </c>
      <c r="AA1178" t="s">
        <v>9500</v>
      </c>
      <c r="AB1178" s="14" t="s">
        <v>3886</v>
      </c>
      <c r="AD1178" t="s">
        <v>764</v>
      </c>
    </row>
    <row r="1179" spans="1:30" customFormat="1" hidden="1" x14ac:dyDescent="0.3">
      <c r="A1179" s="1" t="s">
        <v>1902</v>
      </c>
      <c r="B1179" s="1" t="s">
        <v>9442</v>
      </c>
      <c r="C1179" s="1" t="s">
        <v>3260</v>
      </c>
      <c r="D1179" s="1" t="s">
        <v>9443</v>
      </c>
      <c r="E1179" s="1"/>
      <c r="F1179" s="1" t="s">
        <v>9444</v>
      </c>
      <c r="G1179" s="1" t="s">
        <v>9445</v>
      </c>
      <c r="H1179" s="1" t="s">
        <v>9446</v>
      </c>
      <c r="I1179" s="1" t="s">
        <v>9447</v>
      </c>
      <c r="J1179" s="1" t="s">
        <v>9448</v>
      </c>
      <c r="K1179" s="1" t="s">
        <v>39</v>
      </c>
      <c r="L1179" s="1" t="s">
        <v>9449</v>
      </c>
      <c r="M1179" s="1" t="s">
        <v>141</v>
      </c>
      <c r="N1179" s="1"/>
      <c r="O1179" s="1" t="s">
        <v>7563</v>
      </c>
      <c r="P1179" s="1"/>
      <c r="Q1179" s="1" t="s">
        <v>7651</v>
      </c>
      <c r="R1179" s="1" t="s">
        <v>5359</v>
      </c>
      <c r="S1179" s="1" t="s">
        <v>9450</v>
      </c>
      <c r="T1179" s="15">
        <v>2025</v>
      </c>
      <c r="U1179" s="3" t="s">
        <v>5765</v>
      </c>
      <c r="V1179" s="3" t="s">
        <v>29</v>
      </c>
      <c r="X1179">
        <v>5</v>
      </c>
      <c r="Z1179" t="s">
        <v>3835</v>
      </c>
      <c r="AA1179" t="s">
        <v>8795</v>
      </c>
      <c r="AB1179" s="14" t="s">
        <v>3884</v>
      </c>
      <c r="AD1179" t="s">
        <v>764</v>
      </c>
    </row>
    <row r="1180" spans="1:30" customFormat="1" ht="27.6" hidden="1" x14ac:dyDescent="0.3">
      <c r="A1180" s="1" t="s">
        <v>9451</v>
      </c>
      <c r="B1180" s="1" t="s">
        <v>9452</v>
      </c>
      <c r="C1180" s="1" t="s">
        <v>9453</v>
      </c>
      <c r="D1180" s="1" t="s">
        <v>9454</v>
      </c>
      <c r="E1180" s="1" t="s">
        <v>9455</v>
      </c>
      <c r="F1180" s="1" t="s">
        <v>9456</v>
      </c>
      <c r="G1180" s="1"/>
      <c r="H1180" s="1" t="s">
        <v>7203</v>
      </c>
      <c r="I1180" s="1" t="s">
        <v>9457</v>
      </c>
      <c r="J1180" s="1" t="s">
        <v>1114</v>
      </c>
      <c r="K1180" s="1" t="s">
        <v>39</v>
      </c>
      <c r="L1180" s="1" t="s">
        <v>9458</v>
      </c>
      <c r="M1180" s="1" t="s">
        <v>141</v>
      </c>
      <c r="N1180" s="1"/>
      <c r="O1180" s="1" t="s">
        <v>7563</v>
      </c>
      <c r="P1180" s="1"/>
      <c r="Q1180" s="1" t="s">
        <v>7651</v>
      </c>
      <c r="R1180" s="1" t="s">
        <v>5371</v>
      </c>
      <c r="S1180" s="1" t="s">
        <v>9459</v>
      </c>
      <c r="T1180" s="15">
        <v>2025</v>
      </c>
      <c r="U1180" s="3" t="s">
        <v>5765</v>
      </c>
      <c r="V1180" s="3" t="s">
        <v>29</v>
      </c>
      <c r="X1180">
        <v>5</v>
      </c>
      <c r="Z1180" t="s">
        <v>3835</v>
      </c>
      <c r="AA1180" t="s">
        <v>8335</v>
      </c>
      <c r="AB1180" s="14" t="s">
        <v>3884</v>
      </c>
      <c r="AD1180" t="s">
        <v>764</v>
      </c>
    </row>
    <row r="1181" spans="1:30" customFormat="1" hidden="1" x14ac:dyDescent="0.3">
      <c r="A1181" s="1"/>
      <c r="B1181" s="1" t="s">
        <v>3403</v>
      </c>
      <c r="C1181" s="1" t="s">
        <v>9460</v>
      </c>
      <c r="D1181" s="1" t="s">
        <v>9461</v>
      </c>
      <c r="E1181" s="1"/>
      <c r="F1181" s="1" t="s">
        <v>9462</v>
      </c>
      <c r="G1181" s="1"/>
      <c r="H1181" s="1"/>
      <c r="I1181" s="1"/>
      <c r="J1181" s="1" t="s">
        <v>2926</v>
      </c>
      <c r="K1181" s="1" t="s">
        <v>39</v>
      </c>
      <c r="L1181" s="1" t="s">
        <v>9463</v>
      </c>
      <c r="M1181" s="1" t="s">
        <v>42</v>
      </c>
      <c r="N1181" s="1"/>
      <c r="O1181" s="1" t="s">
        <v>7563</v>
      </c>
      <c r="P1181" s="1"/>
      <c r="Q1181" s="1" t="s">
        <v>7651</v>
      </c>
      <c r="R1181" s="1" t="s">
        <v>5359</v>
      </c>
      <c r="S1181" s="1" t="s">
        <v>9464</v>
      </c>
      <c r="T1181" s="15">
        <v>2025</v>
      </c>
      <c r="U1181" s="3" t="s">
        <v>5765</v>
      </c>
      <c r="V1181" s="3" t="s">
        <v>29</v>
      </c>
      <c r="X1181">
        <v>5</v>
      </c>
      <c r="Z1181" t="s">
        <v>3828</v>
      </c>
      <c r="AA1181" t="s">
        <v>7956</v>
      </c>
      <c r="AB1181" s="14" t="s">
        <v>3887</v>
      </c>
      <c r="AD1181" t="s">
        <v>764</v>
      </c>
    </row>
    <row r="1182" spans="1:30" customFormat="1" hidden="1" x14ac:dyDescent="0.3">
      <c r="A1182" s="1" t="s">
        <v>2635</v>
      </c>
      <c r="B1182" s="1" t="s">
        <v>2120</v>
      </c>
      <c r="C1182" s="1" t="s">
        <v>370</v>
      </c>
      <c r="D1182" s="1" t="s">
        <v>9465</v>
      </c>
      <c r="E1182" s="1"/>
      <c r="F1182" s="1" t="s">
        <v>9466</v>
      </c>
      <c r="G1182" s="1"/>
      <c r="H1182" s="1" t="s">
        <v>5972</v>
      </c>
      <c r="I1182" s="1"/>
      <c r="J1182" s="1" t="s">
        <v>72</v>
      </c>
      <c r="K1182" s="1" t="s">
        <v>39</v>
      </c>
      <c r="L1182" s="1" t="s">
        <v>9467</v>
      </c>
      <c r="M1182" s="1" t="s">
        <v>42</v>
      </c>
      <c r="N1182" s="1"/>
      <c r="O1182" s="1" t="s">
        <v>7563</v>
      </c>
      <c r="P1182" s="1"/>
      <c r="Q1182" s="1" t="s">
        <v>7651</v>
      </c>
      <c r="R1182" s="1" t="s">
        <v>5359</v>
      </c>
      <c r="S1182" s="1" t="s">
        <v>9468</v>
      </c>
      <c r="T1182" s="15">
        <v>2025</v>
      </c>
      <c r="U1182" s="3" t="s">
        <v>5765</v>
      </c>
      <c r="V1182" s="3" t="s">
        <v>29</v>
      </c>
      <c r="X1182">
        <v>5</v>
      </c>
      <c r="Z1182" t="s">
        <v>2148</v>
      </c>
      <c r="AA1182" t="s">
        <v>9139</v>
      </c>
      <c r="AB1182" s="14" t="s">
        <v>3890</v>
      </c>
      <c r="AD1182" t="s">
        <v>764</v>
      </c>
    </row>
    <row r="1183" spans="1:30" customFormat="1" x14ac:dyDescent="0.3">
      <c r="A1183" s="1" t="s">
        <v>9469</v>
      </c>
      <c r="B1183" s="1" t="s">
        <v>9470</v>
      </c>
      <c r="C1183" s="1" t="s">
        <v>7141</v>
      </c>
      <c r="D1183" s="1" t="s">
        <v>9471</v>
      </c>
      <c r="E1183" s="1"/>
      <c r="F1183" s="1" t="s">
        <v>9472</v>
      </c>
      <c r="G1183" s="1"/>
      <c r="H1183" s="1"/>
      <c r="I1183" s="1"/>
      <c r="J1183" s="1" t="s">
        <v>9473</v>
      </c>
      <c r="K1183" s="1" t="s">
        <v>39</v>
      </c>
      <c r="L1183" s="1" t="s">
        <v>9474</v>
      </c>
      <c r="M1183" s="1" t="s">
        <v>42</v>
      </c>
      <c r="N1183" s="1"/>
      <c r="O1183" s="1" t="s">
        <v>7563</v>
      </c>
      <c r="P1183" s="1"/>
      <c r="Q1183" s="1" t="s">
        <v>7651</v>
      </c>
      <c r="R1183" s="1" t="s">
        <v>5359</v>
      </c>
      <c r="S1183" s="1" t="s">
        <v>9475</v>
      </c>
      <c r="T1183" s="15">
        <v>2025</v>
      </c>
      <c r="U1183" s="3" t="s">
        <v>5765</v>
      </c>
      <c r="V1183" s="3" t="s">
        <v>29</v>
      </c>
      <c r="Y1183" s="44">
        <v>45899</v>
      </c>
      <c r="Z1183" t="s">
        <v>2148</v>
      </c>
      <c r="AA1183" t="s">
        <v>9139</v>
      </c>
      <c r="AB1183" s="14" t="s">
        <v>3890</v>
      </c>
      <c r="AD1183" t="s">
        <v>764</v>
      </c>
    </row>
    <row r="1184" spans="1:30" customFormat="1" ht="41.4" hidden="1" x14ac:dyDescent="0.3">
      <c r="A1184" s="1" t="s">
        <v>1379</v>
      </c>
      <c r="B1184" s="1" t="s">
        <v>9476</v>
      </c>
      <c r="C1184" s="1" t="s">
        <v>9477</v>
      </c>
      <c r="D1184" s="1" t="s">
        <v>9478</v>
      </c>
      <c r="E1184" s="1" t="s">
        <v>9479</v>
      </c>
      <c r="F1184" s="1" t="s">
        <v>9480</v>
      </c>
      <c r="G1184" s="1" t="s">
        <v>9481</v>
      </c>
      <c r="H1184" s="1" t="s">
        <v>9482</v>
      </c>
      <c r="I1184" s="1" t="s">
        <v>9483</v>
      </c>
      <c r="J1184" s="1" t="s">
        <v>72</v>
      </c>
      <c r="K1184" s="1" t="s">
        <v>39</v>
      </c>
      <c r="L1184" s="1" t="s">
        <v>9484</v>
      </c>
      <c r="M1184" s="1" t="s">
        <v>141</v>
      </c>
      <c r="N1184" s="1" t="s">
        <v>9485</v>
      </c>
      <c r="O1184" s="1" t="s">
        <v>7563</v>
      </c>
      <c r="P1184" s="1"/>
      <c r="Q1184" s="1" t="s">
        <v>7651</v>
      </c>
      <c r="R1184" s="1" t="s">
        <v>5429</v>
      </c>
      <c r="S1184" s="1" t="s">
        <v>9486</v>
      </c>
      <c r="T1184" s="15">
        <v>2025</v>
      </c>
      <c r="U1184" s="3" t="s">
        <v>5765</v>
      </c>
      <c r="V1184" s="3" t="s">
        <v>29</v>
      </c>
      <c r="X1184">
        <v>10</v>
      </c>
      <c r="Z1184" t="s">
        <v>3828</v>
      </c>
      <c r="AA1184" t="s">
        <v>9499</v>
      </c>
      <c r="AB1184" s="14" t="s">
        <v>3888</v>
      </c>
      <c r="AD1184" t="s">
        <v>764</v>
      </c>
    </row>
    <row r="1185" spans="1:30" customFormat="1" hidden="1" x14ac:dyDescent="0.3">
      <c r="A1185" s="1" t="s">
        <v>1531</v>
      </c>
      <c r="B1185" s="4" t="s">
        <v>9503</v>
      </c>
      <c r="C1185" s="4" t="s">
        <v>406</v>
      </c>
      <c r="D1185" s="1" t="s">
        <v>9504</v>
      </c>
      <c r="E1185" s="1" t="s">
        <v>9505</v>
      </c>
      <c r="F1185" s="1" t="s">
        <v>9506</v>
      </c>
      <c r="G1185" s="1"/>
      <c r="H1185" s="1"/>
      <c r="I1185" s="1"/>
      <c r="J1185" s="1" t="s">
        <v>72</v>
      </c>
      <c r="K1185" s="1" t="s">
        <v>39</v>
      </c>
      <c r="L1185" s="1" t="s">
        <v>9507</v>
      </c>
      <c r="M1185" s="1" t="s">
        <v>42</v>
      </c>
      <c r="N1185" s="1"/>
      <c r="O1185" s="1" t="s">
        <v>7563</v>
      </c>
      <c r="P1185" s="1"/>
      <c r="Q1185" s="1" t="s">
        <v>7651</v>
      </c>
      <c r="R1185" s="1" t="s">
        <v>6962</v>
      </c>
      <c r="S1185" s="1" t="s">
        <v>9508</v>
      </c>
      <c r="T1185" s="15">
        <v>2025</v>
      </c>
      <c r="U1185" s="3" t="s">
        <v>5765</v>
      </c>
      <c r="V1185" s="3" t="s">
        <v>29</v>
      </c>
      <c r="X1185">
        <v>10</v>
      </c>
      <c r="Z1185" t="s">
        <v>3870</v>
      </c>
      <c r="AA1185" t="s">
        <v>9500</v>
      </c>
      <c r="AB1185" s="14" t="s">
        <v>3886</v>
      </c>
      <c r="AD1185" t="s">
        <v>764</v>
      </c>
    </row>
    <row r="1186" spans="1:30" customFormat="1" x14ac:dyDescent="0.3">
      <c r="A1186" s="1" t="s">
        <v>274</v>
      </c>
      <c r="B1186" s="1" t="s">
        <v>9509</v>
      </c>
      <c r="C1186" s="1" t="s">
        <v>9510</v>
      </c>
      <c r="D1186" s="1" t="s">
        <v>9511</v>
      </c>
      <c r="E1186" s="1" t="s">
        <v>9512</v>
      </c>
      <c r="F1186" s="1" t="s">
        <v>9513</v>
      </c>
      <c r="G1186" s="1"/>
      <c r="H1186" s="1"/>
      <c r="I1186" s="1"/>
      <c r="J1186" s="1" t="s">
        <v>9514</v>
      </c>
      <c r="K1186" s="1" t="s">
        <v>39</v>
      </c>
      <c r="L1186" s="1" t="s">
        <v>9515</v>
      </c>
      <c r="M1186" s="1" t="s">
        <v>42</v>
      </c>
      <c r="N1186" s="1"/>
      <c r="O1186" s="1" t="s">
        <v>7563</v>
      </c>
      <c r="P1186" s="1"/>
      <c r="Q1186" s="1" t="s">
        <v>7651</v>
      </c>
      <c r="R1186" s="1" t="s">
        <v>6962</v>
      </c>
      <c r="S1186" s="1" t="s">
        <v>9516</v>
      </c>
      <c r="T1186" s="15">
        <v>2025</v>
      </c>
      <c r="U1186" s="3" t="s">
        <v>5765</v>
      </c>
      <c r="V1186" s="3" t="s">
        <v>29</v>
      </c>
      <c r="Y1186" s="44">
        <v>45899</v>
      </c>
      <c r="Z1186" t="s">
        <v>2148</v>
      </c>
      <c r="AA1186" t="s">
        <v>9783</v>
      </c>
      <c r="AB1186" s="14" t="s">
        <v>3891</v>
      </c>
      <c r="AD1186" t="s">
        <v>764</v>
      </c>
    </row>
    <row r="1187" spans="1:30" customFormat="1" hidden="1" x14ac:dyDescent="0.3">
      <c r="A1187" s="1"/>
      <c r="B1187" s="1" t="s">
        <v>9517</v>
      </c>
      <c r="C1187" s="1" t="s">
        <v>99</v>
      </c>
      <c r="D1187" s="1" t="s">
        <v>9518</v>
      </c>
      <c r="E1187" s="1"/>
      <c r="F1187" s="1" t="s">
        <v>9519</v>
      </c>
      <c r="G1187" s="1"/>
      <c r="H1187" s="1" t="s">
        <v>9520</v>
      </c>
      <c r="I1187" s="1"/>
      <c r="J1187" s="1" t="s">
        <v>3722</v>
      </c>
      <c r="K1187" s="1" t="s">
        <v>39</v>
      </c>
      <c r="L1187" s="1" t="s">
        <v>9521</v>
      </c>
      <c r="M1187" s="1" t="s">
        <v>42</v>
      </c>
      <c r="N1187" s="1"/>
      <c r="O1187" s="1" t="s">
        <v>7563</v>
      </c>
      <c r="P1187" s="1"/>
      <c r="Q1187" s="1" t="s">
        <v>7651</v>
      </c>
      <c r="R1187" s="1" t="s">
        <v>6962</v>
      </c>
      <c r="S1187" s="1" t="s">
        <v>9522</v>
      </c>
      <c r="T1187" s="15">
        <v>2025</v>
      </c>
      <c r="U1187" s="3" t="s">
        <v>5765</v>
      </c>
      <c r="V1187" s="3" t="s">
        <v>29</v>
      </c>
      <c r="X1187">
        <v>5</v>
      </c>
      <c r="Z1187" t="s">
        <v>2148</v>
      </c>
      <c r="AA1187" t="s">
        <v>9784</v>
      </c>
      <c r="AB1187" s="14" t="s">
        <v>4594</v>
      </c>
      <c r="AD1187" t="s">
        <v>764</v>
      </c>
    </row>
    <row r="1188" spans="1:30" customFormat="1" ht="41.4" hidden="1" x14ac:dyDescent="0.3">
      <c r="A1188" s="1" t="s">
        <v>9523</v>
      </c>
      <c r="B1188" s="1" t="s">
        <v>9524</v>
      </c>
      <c r="C1188" s="1" t="s">
        <v>406</v>
      </c>
      <c r="D1188" s="1" t="s">
        <v>9525</v>
      </c>
      <c r="E1188" s="1" t="s">
        <v>9526</v>
      </c>
      <c r="F1188" s="1" t="s">
        <v>9527</v>
      </c>
      <c r="G1188" s="1" t="s">
        <v>9528</v>
      </c>
      <c r="H1188" s="1" t="s">
        <v>9529</v>
      </c>
      <c r="I1188" s="1"/>
      <c r="J1188" s="1" t="s">
        <v>9530</v>
      </c>
      <c r="K1188" s="1" t="s">
        <v>39</v>
      </c>
      <c r="L1188" s="1" t="s">
        <v>9531</v>
      </c>
      <c r="M1188" s="1" t="s">
        <v>141</v>
      </c>
      <c r="N1188" s="1"/>
      <c r="O1188" s="1" t="s">
        <v>7563</v>
      </c>
      <c r="P1188" s="1" t="s">
        <v>7724</v>
      </c>
      <c r="Q1188" s="1"/>
      <c r="R1188" s="1" t="s">
        <v>6962</v>
      </c>
      <c r="S1188" s="1" t="s">
        <v>9532</v>
      </c>
      <c r="T1188" s="15">
        <v>2025</v>
      </c>
      <c r="U1188" s="3" t="s">
        <v>5765</v>
      </c>
      <c r="V1188" s="3" t="s">
        <v>29</v>
      </c>
      <c r="X1188">
        <v>5</v>
      </c>
      <c r="Z1188" t="s">
        <v>3828</v>
      </c>
      <c r="AA1188" t="s">
        <v>6777</v>
      </c>
      <c r="AB1188" s="14" t="s">
        <v>3887</v>
      </c>
      <c r="AD1188" t="s">
        <v>764</v>
      </c>
    </row>
    <row r="1189" spans="1:30" customFormat="1" hidden="1" x14ac:dyDescent="0.3">
      <c r="A1189" s="1" t="s">
        <v>9533</v>
      </c>
      <c r="B1189" s="1" t="s">
        <v>9534</v>
      </c>
      <c r="C1189" s="1" t="s">
        <v>7165</v>
      </c>
      <c r="D1189" s="1" t="s">
        <v>9535</v>
      </c>
      <c r="E1189" s="1" t="s">
        <v>9536</v>
      </c>
      <c r="F1189" s="1" t="s">
        <v>9537</v>
      </c>
      <c r="G1189" s="1"/>
      <c r="H1189" s="1" t="s">
        <v>9538</v>
      </c>
      <c r="I1189" s="1"/>
      <c r="J1189" s="1" t="s">
        <v>9539</v>
      </c>
      <c r="K1189" s="1" t="s">
        <v>39</v>
      </c>
      <c r="L1189" s="1" t="s">
        <v>9540</v>
      </c>
      <c r="M1189" s="1" t="s">
        <v>141</v>
      </c>
      <c r="N1189" s="1"/>
      <c r="O1189" s="1" t="s">
        <v>7563</v>
      </c>
      <c r="P1189" s="1"/>
      <c r="Q1189" s="1" t="s">
        <v>7651</v>
      </c>
      <c r="R1189" s="1" t="s">
        <v>6962</v>
      </c>
      <c r="S1189" s="1" t="s">
        <v>9541</v>
      </c>
      <c r="T1189" s="15">
        <v>2025</v>
      </c>
      <c r="U1189" s="3" t="s">
        <v>5765</v>
      </c>
      <c r="V1189" s="3" t="s">
        <v>29</v>
      </c>
      <c r="X1189">
        <v>5</v>
      </c>
      <c r="Z1189" t="s">
        <v>2148</v>
      </c>
      <c r="AA1189" t="s">
        <v>9139</v>
      </c>
      <c r="AB1189" s="14" t="s">
        <v>3890</v>
      </c>
      <c r="AD1189" t="s">
        <v>764</v>
      </c>
    </row>
    <row r="1190" spans="1:30" customFormat="1" ht="41.4" x14ac:dyDescent="0.3">
      <c r="A1190" s="1" t="s">
        <v>2039</v>
      </c>
      <c r="B1190" s="1" t="s">
        <v>9542</v>
      </c>
      <c r="C1190" s="1" t="s">
        <v>9543</v>
      </c>
      <c r="D1190" s="1" t="s">
        <v>9544</v>
      </c>
      <c r="E1190" s="1" t="s">
        <v>9545</v>
      </c>
      <c r="F1190" s="1" t="s">
        <v>9546</v>
      </c>
      <c r="G1190" s="1" t="s">
        <v>9547</v>
      </c>
      <c r="H1190" s="1" t="s">
        <v>8673</v>
      </c>
      <c r="I1190" s="1"/>
      <c r="J1190" s="1" t="s">
        <v>72</v>
      </c>
      <c r="K1190" s="1" t="s">
        <v>39</v>
      </c>
      <c r="L1190" s="1" t="s">
        <v>9548</v>
      </c>
      <c r="M1190" s="1" t="s">
        <v>42</v>
      </c>
      <c r="N1190" s="1"/>
      <c r="O1190" s="1" t="s">
        <v>7563</v>
      </c>
      <c r="P1190" s="1"/>
      <c r="Q1190" s="1" t="s">
        <v>7651</v>
      </c>
      <c r="R1190" s="1" t="s">
        <v>5429</v>
      </c>
      <c r="S1190" s="1" t="s">
        <v>9549</v>
      </c>
      <c r="T1190" s="15">
        <v>2025</v>
      </c>
      <c r="U1190" s="3" t="s">
        <v>5765</v>
      </c>
      <c r="V1190" s="3" t="s">
        <v>29</v>
      </c>
      <c r="Y1190" s="44">
        <v>45899</v>
      </c>
      <c r="Z1190" t="s">
        <v>2148</v>
      </c>
      <c r="AA1190" t="s">
        <v>8466</v>
      </c>
      <c r="AB1190" s="14" t="s">
        <v>4594</v>
      </c>
      <c r="AD1190" t="s">
        <v>764</v>
      </c>
    </row>
    <row r="1191" spans="1:30" customFormat="1" hidden="1" x14ac:dyDescent="0.3">
      <c r="A1191" s="1" t="s">
        <v>254</v>
      </c>
      <c r="B1191" s="1" t="s">
        <v>9550</v>
      </c>
      <c r="C1191" s="1" t="s">
        <v>68</v>
      </c>
      <c r="D1191" s="1" t="s">
        <v>9551</v>
      </c>
      <c r="E1191" s="1" t="s">
        <v>9552</v>
      </c>
      <c r="F1191" s="1" t="s">
        <v>9553</v>
      </c>
      <c r="G1191" s="1"/>
      <c r="H1191" s="1" t="s">
        <v>9554</v>
      </c>
      <c r="I1191" s="1" t="s">
        <v>9555</v>
      </c>
      <c r="J1191" s="1" t="s">
        <v>72</v>
      </c>
      <c r="K1191" s="1" t="s">
        <v>39</v>
      </c>
      <c r="L1191" s="1" t="s">
        <v>4262</v>
      </c>
      <c r="M1191" s="1" t="s">
        <v>141</v>
      </c>
      <c r="N1191" s="1"/>
      <c r="O1191" s="1" t="s">
        <v>7563</v>
      </c>
      <c r="P1191" s="1"/>
      <c r="Q1191" s="1" t="s">
        <v>7651</v>
      </c>
      <c r="R1191" s="1" t="s">
        <v>6962</v>
      </c>
      <c r="S1191" s="1" t="s">
        <v>9556</v>
      </c>
      <c r="T1191" s="15">
        <v>2025</v>
      </c>
      <c r="U1191" s="3" t="s">
        <v>5765</v>
      </c>
      <c r="V1191" s="3" t="s">
        <v>29</v>
      </c>
      <c r="X1191">
        <v>20</v>
      </c>
      <c r="Z1191" t="s">
        <v>2148</v>
      </c>
      <c r="AA1191" t="s">
        <v>9139</v>
      </c>
      <c r="AB1191" s="14" t="s">
        <v>3890</v>
      </c>
      <c r="AD1191" t="s">
        <v>764</v>
      </c>
    </row>
    <row r="1192" spans="1:30" customFormat="1" ht="27.6" x14ac:dyDescent="0.3">
      <c r="A1192" s="1" t="s">
        <v>9557</v>
      </c>
      <c r="B1192" s="1" t="s">
        <v>9558</v>
      </c>
      <c r="C1192" s="1" t="s">
        <v>557</v>
      </c>
      <c r="D1192" s="1" t="s">
        <v>9559</v>
      </c>
      <c r="E1192" s="1" t="s">
        <v>9560</v>
      </c>
      <c r="F1192" s="1" t="s">
        <v>9561</v>
      </c>
      <c r="G1192" s="1"/>
      <c r="H1192" s="1"/>
      <c r="I1192" s="1"/>
      <c r="J1192" s="1" t="s">
        <v>9562</v>
      </c>
      <c r="K1192" s="1" t="s">
        <v>1702</v>
      </c>
      <c r="L1192" s="1" t="s">
        <v>9563</v>
      </c>
      <c r="M1192" s="1" t="s">
        <v>42</v>
      </c>
      <c r="N1192" s="1"/>
      <c r="O1192" s="1" t="s">
        <v>7563</v>
      </c>
      <c r="P1192" s="1" t="s">
        <v>7724</v>
      </c>
      <c r="Q1192" s="1"/>
      <c r="R1192" s="1" t="s">
        <v>6962</v>
      </c>
      <c r="S1192" s="1" t="s">
        <v>9564</v>
      </c>
      <c r="T1192" s="15">
        <v>2025</v>
      </c>
      <c r="U1192" s="3" t="s">
        <v>5765</v>
      </c>
      <c r="V1192" s="3" t="s">
        <v>29</v>
      </c>
      <c r="Y1192" s="44">
        <v>45899</v>
      </c>
      <c r="Z1192" t="s">
        <v>2148</v>
      </c>
      <c r="AA1192" t="s">
        <v>8677</v>
      </c>
      <c r="AB1192" s="14" t="s">
        <v>3890</v>
      </c>
      <c r="AD1192" t="s">
        <v>764</v>
      </c>
    </row>
    <row r="1193" spans="1:30" customFormat="1" ht="27.6" x14ac:dyDescent="0.3">
      <c r="A1193" s="1" t="s">
        <v>872</v>
      </c>
      <c r="B1193" s="1" t="s">
        <v>9565</v>
      </c>
      <c r="C1193" s="1" t="s">
        <v>9566</v>
      </c>
      <c r="D1193" s="1" t="s">
        <v>9567</v>
      </c>
      <c r="E1193" s="1" t="s">
        <v>9568</v>
      </c>
      <c r="F1193" s="1" t="s">
        <v>9569</v>
      </c>
      <c r="G1193" s="1"/>
      <c r="H1193" s="1" t="s">
        <v>9570</v>
      </c>
      <c r="I1193" s="1" t="s">
        <v>9571</v>
      </c>
      <c r="J1193" s="1" t="s">
        <v>9572</v>
      </c>
      <c r="K1193" s="1" t="s">
        <v>39</v>
      </c>
      <c r="L1193" s="1" t="s">
        <v>9573</v>
      </c>
      <c r="M1193" s="1" t="s">
        <v>42</v>
      </c>
      <c r="N1193" s="1"/>
      <c r="O1193" s="1" t="s">
        <v>7563</v>
      </c>
      <c r="P1193" s="1" t="s">
        <v>7724</v>
      </c>
      <c r="Q1193" s="1" t="s">
        <v>7651</v>
      </c>
      <c r="R1193" s="1" t="s">
        <v>6962</v>
      </c>
      <c r="S1193" s="1" t="s">
        <v>9574</v>
      </c>
      <c r="T1193" s="15">
        <v>2025</v>
      </c>
      <c r="U1193" s="3" t="s">
        <v>5765</v>
      </c>
      <c r="V1193" s="3" t="s">
        <v>29</v>
      </c>
      <c r="Y1193" s="44">
        <v>45899</v>
      </c>
      <c r="Z1193" t="s">
        <v>3870</v>
      </c>
      <c r="AA1193" t="s">
        <v>9500</v>
      </c>
      <c r="AB1193" s="14" t="s">
        <v>3886</v>
      </c>
      <c r="AD1193" t="s">
        <v>764</v>
      </c>
    </row>
    <row r="1194" spans="1:30" customFormat="1" ht="27.6" hidden="1" x14ac:dyDescent="0.3">
      <c r="A1194" s="1" t="s">
        <v>2635</v>
      </c>
      <c r="B1194" s="1" t="s">
        <v>9575</v>
      </c>
      <c r="C1194" s="1" t="s">
        <v>7972</v>
      </c>
      <c r="D1194" s="1" t="s">
        <v>9576</v>
      </c>
      <c r="E1194" s="1"/>
      <c r="F1194" s="1" t="s">
        <v>9577</v>
      </c>
      <c r="G1194" s="1"/>
      <c r="H1194" s="1" t="s">
        <v>9578</v>
      </c>
      <c r="I1194" s="1"/>
      <c r="J1194" s="1" t="s">
        <v>1060</v>
      </c>
      <c r="K1194" s="1" t="s">
        <v>39</v>
      </c>
      <c r="L1194" s="1" t="s">
        <v>9579</v>
      </c>
      <c r="M1194" s="1" t="s">
        <v>42</v>
      </c>
      <c r="N1194" s="1"/>
      <c r="O1194" s="1" t="s">
        <v>7563</v>
      </c>
      <c r="P1194" s="1"/>
      <c r="Q1194" s="1" t="s">
        <v>7651</v>
      </c>
      <c r="R1194" s="1" t="s">
        <v>6962</v>
      </c>
      <c r="S1194" s="1" t="s">
        <v>9580</v>
      </c>
      <c r="T1194" s="15">
        <v>2025</v>
      </c>
      <c r="U1194" s="3" t="s">
        <v>5765</v>
      </c>
      <c r="V1194" s="3" t="s">
        <v>29</v>
      </c>
      <c r="X1194">
        <v>5</v>
      </c>
      <c r="Z1194" t="s">
        <v>2148</v>
      </c>
      <c r="AA1194" t="s">
        <v>9139</v>
      </c>
      <c r="AB1194" s="14" t="s">
        <v>3890</v>
      </c>
      <c r="AD1194" t="s">
        <v>764</v>
      </c>
    </row>
    <row r="1195" spans="1:30" customFormat="1" hidden="1" x14ac:dyDescent="0.3">
      <c r="A1195" s="1"/>
      <c r="B1195" s="1" t="s">
        <v>9581</v>
      </c>
      <c r="C1195" s="1" t="s">
        <v>2303</v>
      </c>
      <c r="D1195" s="1" t="s">
        <v>9582</v>
      </c>
      <c r="E1195" s="1" t="s">
        <v>9583</v>
      </c>
      <c r="F1195" s="1" t="s">
        <v>9584</v>
      </c>
      <c r="G1195" s="1"/>
      <c r="H1195" s="1"/>
      <c r="I1195" s="1"/>
      <c r="J1195" s="1" t="s">
        <v>72</v>
      </c>
      <c r="K1195" s="1" t="s">
        <v>39</v>
      </c>
      <c r="L1195" s="1" t="s">
        <v>9585</v>
      </c>
      <c r="M1195" s="1" t="s">
        <v>141</v>
      </c>
      <c r="N1195" s="1"/>
      <c r="O1195" s="1" t="s">
        <v>7563</v>
      </c>
      <c r="P1195" s="1" t="s">
        <v>7724</v>
      </c>
      <c r="Q1195" s="1"/>
      <c r="R1195" s="1" t="s">
        <v>6962</v>
      </c>
      <c r="S1195" s="1" t="s">
        <v>9586</v>
      </c>
      <c r="T1195" s="15">
        <v>2025</v>
      </c>
      <c r="U1195" s="3" t="s">
        <v>5765</v>
      </c>
      <c r="V1195" s="3" t="s">
        <v>29</v>
      </c>
      <c r="X1195">
        <v>5</v>
      </c>
      <c r="Z1195" t="s">
        <v>2148</v>
      </c>
      <c r="AA1195" t="s">
        <v>9785</v>
      </c>
      <c r="AB1195" s="14" t="s">
        <v>3890</v>
      </c>
      <c r="AD1195" t="s">
        <v>764</v>
      </c>
    </row>
    <row r="1196" spans="1:30" customFormat="1" ht="41.4" hidden="1" x14ac:dyDescent="0.3">
      <c r="A1196" s="1"/>
      <c r="B1196" s="1" t="s">
        <v>9587</v>
      </c>
      <c r="C1196" s="1" t="s">
        <v>1732</v>
      </c>
      <c r="D1196" s="1" t="s">
        <v>9588</v>
      </c>
      <c r="E1196" s="1" t="s">
        <v>9589</v>
      </c>
      <c r="F1196" s="1" t="s">
        <v>9590</v>
      </c>
      <c r="G1196" s="1" t="s">
        <v>9591</v>
      </c>
      <c r="H1196" s="1" t="s">
        <v>1531</v>
      </c>
      <c r="I1196" s="1" t="s">
        <v>9592</v>
      </c>
      <c r="J1196" s="1" t="s">
        <v>72</v>
      </c>
      <c r="K1196" s="1" t="s">
        <v>39</v>
      </c>
      <c r="L1196" s="1" t="s">
        <v>731</v>
      </c>
      <c r="M1196" s="1" t="s">
        <v>42</v>
      </c>
      <c r="N1196" s="1"/>
      <c r="O1196" s="1" t="s">
        <v>7563</v>
      </c>
      <c r="P1196" s="1"/>
      <c r="Q1196" s="1" t="s">
        <v>7651</v>
      </c>
      <c r="R1196" s="1" t="s">
        <v>5480</v>
      </c>
      <c r="S1196" s="1" t="s">
        <v>9593</v>
      </c>
      <c r="T1196" s="15">
        <v>2025</v>
      </c>
      <c r="U1196" s="3" t="s">
        <v>5765</v>
      </c>
      <c r="V1196" s="3" t="s">
        <v>29</v>
      </c>
      <c r="X1196">
        <v>5</v>
      </c>
      <c r="Z1196" t="s">
        <v>3870</v>
      </c>
      <c r="AA1196" t="s">
        <v>8349</v>
      </c>
      <c r="AB1196" s="14" t="s">
        <v>3886</v>
      </c>
      <c r="AD1196" t="s">
        <v>764</v>
      </c>
    </row>
    <row r="1197" spans="1:30" customFormat="1" hidden="1" x14ac:dyDescent="0.3">
      <c r="A1197" s="1"/>
      <c r="B1197" s="1" t="s">
        <v>453</v>
      </c>
      <c r="C1197" s="1" t="s">
        <v>370</v>
      </c>
      <c r="D1197" s="1" t="s">
        <v>9594</v>
      </c>
      <c r="E1197" s="1"/>
      <c r="F1197" s="1" t="s">
        <v>9595</v>
      </c>
      <c r="G1197" s="1"/>
      <c r="H1197" s="1"/>
      <c r="I1197" s="1"/>
      <c r="J1197" s="1" t="s">
        <v>9596</v>
      </c>
      <c r="K1197" s="1" t="s">
        <v>39</v>
      </c>
      <c r="L1197" s="1" t="s">
        <v>9597</v>
      </c>
      <c r="M1197" s="1" t="s">
        <v>141</v>
      </c>
      <c r="N1197" s="1"/>
      <c r="O1197" s="1" t="s">
        <v>7563</v>
      </c>
      <c r="P1197" s="1"/>
      <c r="Q1197" s="1" t="s">
        <v>7651</v>
      </c>
      <c r="R1197" s="1" t="s">
        <v>5480</v>
      </c>
      <c r="S1197" s="1" t="s">
        <v>9598</v>
      </c>
      <c r="T1197" s="15">
        <v>2025</v>
      </c>
      <c r="U1197" s="3" t="s">
        <v>5765</v>
      </c>
      <c r="V1197" s="3" t="s">
        <v>29</v>
      </c>
      <c r="X1197">
        <v>5</v>
      </c>
      <c r="Z1197" t="s">
        <v>3870</v>
      </c>
      <c r="AA1197" t="s">
        <v>8349</v>
      </c>
      <c r="AB1197" s="14" t="s">
        <v>3886</v>
      </c>
      <c r="AD1197" t="s">
        <v>764</v>
      </c>
    </row>
    <row r="1198" spans="1:30" customFormat="1" hidden="1" x14ac:dyDescent="0.3">
      <c r="A1198" s="1" t="s">
        <v>9599</v>
      </c>
      <c r="B1198" s="1" t="s">
        <v>9600</v>
      </c>
      <c r="C1198" s="1" t="s">
        <v>9601</v>
      </c>
      <c r="D1198" s="1" t="s">
        <v>9602</v>
      </c>
      <c r="E1198" s="1" t="s">
        <v>9603</v>
      </c>
      <c r="F1198" s="1" t="s">
        <v>9604</v>
      </c>
      <c r="G1198" s="1" t="s">
        <v>9605</v>
      </c>
      <c r="H1198" s="1" t="s">
        <v>9606</v>
      </c>
      <c r="I1198" s="1" t="s">
        <v>9607</v>
      </c>
      <c r="J1198" s="1" t="s">
        <v>5045</v>
      </c>
      <c r="K1198" s="1" t="s">
        <v>39</v>
      </c>
      <c r="L1198" s="1" t="s">
        <v>9608</v>
      </c>
      <c r="M1198" s="1" t="s">
        <v>141</v>
      </c>
      <c r="N1198" s="1"/>
      <c r="O1198" s="1" t="s">
        <v>7563</v>
      </c>
      <c r="P1198" s="1"/>
      <c r="Q1198" s="1" t="s">
        <v>7651</v>
      </c>
      <c r="R1198" s="1" t="s">
        <v>6962</v>
      </c>
      <c r="S1198" s="1" t="s">
        <v>9609</v>
      </c>
      <c r="T1198" s="15">
        <v>2025</v>
      </c>
      <c r="U1198" s="3" t="s">
        <v>5765</v>
      </c>
      <c r="V1198" s="3" t="s">
        <v>29</v>
      </c>
      <c r="X1198">
        <v>15</v>
      </c>
      <c r="Z1198" t="s">
        <v>3835</v>
      </c>
      <c r="AA1198" t="s">
        <v>8335</v>
      </c>
      <c r="AB1198" s="14" t="s">
        <v>3884</v>
      </c>
      <c r="AD1198" t="s">
        <v>764</v>
      </c>
    </row>
    <row r="1199" spans="1:30" customFormat="1" ht="27.6" x14ac:dyDescent="0.3">
      <c r="A1199" s="1" t="s">
        <v>9610</v>
      </c>
      <c r="B1199" s="1" t="s">
        <v>9611</v>
      </c>
      <c r="C1199" s="1" t="s">
        <v>1094</v>
      </c>
      <c r="D1199" s="1" t="s">
        <v>9612</v>
      </c>
      <c r="E1199" s="1" t="s">
        <v>9613</v>
      </c>
      <c r="F1199" s="1" t="s">
        <v>9614</v>
      </c>
      <c r="G1199" s="1" t="s">
        <v>9615</v>
      </c>
      <c r="H1199" s="1"/>
      <c r="I1199" s="1" t="s">
        <v>3627</v>
      </c>
      <c r="J1199" s="1" t="s">
        <v>284</v>
      </c>
      <c r="K1199" s="1" t="s">
        <v>39</v>
      </c>
      <c r="L1199" s="1" t="s">
        <v>9616</v>
      </c>
      <c r="M1199" s="1" t="s">
        <v>42</v>
      </c>
      <c r="N1199" s="1"/>
      <c r="O1199" s="1" t="s">
        <v>7563</v>
      </c>
      <c r="P1199" s="1"/>
      <c r="Q1199" s="1" t="s">
        <v>7651</v>
      </c>
      <c r="R1199" s="1" t="s">
        <v>5371</v>
      </c>
      <c r="S1199" s="1" t="s">
        <v>9617</v>
      </c>
      <c r="T1199" s="15">
        <v>2025</v>
      </c>
      <c r="U1199" s="3" t="s">
        <v>5765</v>
      </c>
      <c r="V1199" s="3" t="s">
        <v>29</v>
      </c>
      <c r="Y1199" s="44">
        <v>45899</v>
      </c>
      <c r="Z1199" t="s">
        <v>3828</v>
      </c>
      <c r="AA1199" t="s">
        <v>7037</v>
      </c>
      <c r="AB1199" s="14" t="s">
        <v>3888</v>
      </c>
      <c r="AD1199" t="s">
        <v>764</v>
      </c>
    </row>
    <row r="1200" spans="1:30" customFormat="1" hidden="1" x14ac:dyDescent="0.3">
      <c r="A1200" s="1" t="s">
        <v>4384</v>
      </c>
      <c r="B1200" s="1" t="s">
        <v>9618</v>
      </c>
      <c r="C1200" s="1" t="s">
        <v>9619</v>
      </c>
      <c r="D1200" s="1" t="s">
        <v>9620</v>
      </c>
      <c r="E1200" s="1" t="s">
        <v>9621</v>
      </c>
      <c r="F1200" s="1" t="s">
        <v>9622</v>
      </c>
      <c r="G1200" s="1"/>
      <c r="H1200" s="1" t="s">
        <v>9623</v>
      </c>
      <c r="I1200" s="1" t="s">
        <v>9624</v>
      </c>
      <c r="J1200" s="1" t="s">
        <v>72</v>
      </c>
      <c r="K1200" s="1" t="s">
        <v>39</v>
      </c>
      <c r="L1200" s="1" t="s">
        <v>9625</v>
      </c>
      <c r="M1200" s="1" t="s">
        <v>42</v>
      </c>
      <c r="N1200" s="1"/>
      <c r="O1200" s="1" t="s">
        <v>7563</v>
      </c>
      <c r="P1200" s="1"/>
      <c r="Q1200" s="1" t="s">
        <v>7651</v>
      </c>
      <c r="R1200" s="1" t="s">
        <v>6962</v>
      </c>
      <c r="S1200" s="1" t="s">
        <v>9626</v>
      </c>
      <c r="T1200" s="15">
        <v>2025</v>
      </c>
      <c r="U1200" s="3" t="s">
        <v>5765</v>
      </c>
      <c r="V1200" s="3" t="s">
        <v>29</v>
      </c>
      <c r="X1200">
        <v>10</v>
      </c>
      <c r="Z1200" t="s">
        <v>3835</v>
      </c>
      <c r="AA1200" t="s">
        <v>8335</v>
      </c>
      <c r="AB1200" s="14" t="s">
        <v>3884</v>
      </c>
      <c r="AD1200" t="s">
        <v>764</v>
      </c>
    </row>
    <row r="1201" spans="1:30" customFormat="1" hidden="1" x14ac:dyDescent="0.3">
      <c r="A1201" s="1" t="s">
        <v>9627</v>
      </c>
      <c r="B1201" s="1" t="s">
        <v>9628</v>
      </c>
      <c r="C1201" s="1" t="s">
        <v>6369</v>
      </c>
      <c r="D1201" s="1" t="s">
        <v>9629</v>
      </c>
      <c r="E1201" s="1" t="s">
        <v>9630</v>
      </c>
      <c r="F1201" s="1" t="s">
        <v>9631</v>
      </c>
      <c r="G1201" s="1" t="s">
        <v>9632</v>
      </c>
      <c r="H1201" s="1"/>
      <c r="I1201" s="1"/>
      <c r="J1201" s="1" t="s">
        <v>9633</v>
      </c>
      <c r="K1201" s="1" t="s">
        <v>39</v>
      </c>
      <c r="L1201" s="1" t="s">
        <v>9634</v>
      </c>
      <c r="M1201" s="1" t="s">
        <v>141</v>
      </c>
      <c r="N1201" s="1"/>
      <c r="O1201" s="1" t="s">
        <v>7563</v>
      </c>
      <c r="P1201" s="1" t="s">
        <v>7724</v>
      </c>
      <c r="Q1201" s="1" t="s">
        <v>7651</v>
      </c>
      <c r="R1201" s="1" t="s">
        <v>6962</v>
      </c>
      <c r="S1201" s="1" t="s">
        <v>9635</v>
      </c>
      <c r="T1201" s="15">
        <v>2025</v>
      </c>
      <c r="U1201" s="3" t="s">
        <v>5765</v>
      </c>
      <c r="V1201" s="3" t="s">
        <v>29</v>
      </c>
      <c r="X1201">
        <v>50</v>
      </c>
      <c r="Z1201" t="s">
        <v>2148</v>
      </c>
      <c r="AA1201" t="s">
        <v>9786</v>
      </c>
      <c r="AB1201" s="14" t="s">
        <v>3890</v>
      </c>
      <c r="AD1201" t="s">
        <v>764</v>
      </c>
    </row>
    <row r="1202" spans="1:30" customFormat="1" hidden="1" x14ac:dyDescent="0.3">
      <c r="A1202" s="1" t="s">
        <v>22</v>
      </c>
      <c r="B1202" s="1" t="s">
        <v>9636</v>
      </c>
      <c r="C1202" s="1" t="s">
        <v>229</v>
      </c>
      <c r="D1202" s="1" t="s">
        <v>9637</v>
      </c>
      <c r="E1202" s="1" t="s">
        <v>9638</v>
      </c>
      <c r="F1202" s="1" t="s">
        <v>9639</v>
      </c>
      <c r="G1202" s="1" t="s">
        <v>9640</v>
      </c>
      <c r="H1202" s="1" t="s">
        <v>9641</v>
      </c>
      <c r="I1202" s="1" t="s">
        <v>9642</v>
      </c>
      <c r="J1202" s="1" t="s">
        <v>9643</v>
      </c>
      <c r="K1202" s="1" t="s">
        <v>39</v>
      </c>
      <c r="L1202" s="1" t="s">
        <v>9644</v>
      </c>
      <c r="M1202" s="1" t="s">
        <v>141</v>
      </c>
      <c r="N1202" s="1" t="s">
        <v>9645</v>
      </c>
      <c r="O1202" s="1" t="s">
        <v>7563</v>
      </c>
      <c r="P1202" s="1" t="s">
        <v>7724</v>
      </c>
      <c r="Q1202" s="1"/>
      <c r="R1202" s="1" t="s">
        <v>6962</v>
      </c>
      <c r="S1202" s="1" t="s">
        <v>9646</v>
      </c>
      <c r="T1202" s="15">
        <v>2025</v>
      </c>
      <c r="U1202" s="3" t="s">
        <v>5765</v>
      </c>
      <c r="V1202" s="3" t="s">
        <v>29</v>
      </c>
      <c r="X1202">
        <v>10</v>
      </c>
      <c r="Z1202" t="s">
        <v>3835</v>
      </c>
      <c r="AA1202" t="s">
        <v>7139</v>
      </c>
      <c r="AB1202" s="14" t="s">
        <v>3884</v>
      </c>
      <c r="AD1202" t="s">
        <v>764</v>
      </c>
    </row>
    <row r="1203" spans="1:30" customFormat="1" ht="27.6" x14ac:dyDescent="0.3">
      <c r="A1203" s="1" t="s">
        <v>2039</v>
      </c>
      <c r="B1203" s="1" t="s">
        <v>265</v>
      </c>
      <c r="C1203" s="1" t="s">
        <v>3978</v>
      </c>
      <c r="D1203" s="1" t="s">
        <v>9647</v>
      </c>
      <c r="E1203" s="1"/>
      <c r="F1203" s="1" t="s">
        <v>9648</v>
      </c>
      <c r="G1203" s="1"/>
      <c r="H1203" s="1" t="s">
        <v>9649</v>
      </c>
      <c r="I1203" s="1"/>
      <c r="J1203" s="1" t="s">
        <v>72</v>
      </c>
      <c r="K1203" s="1" t="s">
        <v>39</v>
      </c>
      <c r="L1203" s="1" t="s">
        <v>9650</v>
      </c>
      <c r="M1203" s="1" t="s">
        <v>42</v>
      </c>
      <c r="N1203" s="1"/>
      <c r="O1203" s="1" t="s">
        <v>7563</v>
      </c>
      <c r="P1203" s="1"/>
      <c r="Q1203" s="1" t="s">
        <v>7651</v>
      </c>
      <c r="R1203" s="1" t="s">
        <v>5359</v>
      </c>
      <c r="S1203" s="1" t="s">
        <v>9651</v>
      </c>
      <c r="T1203" s="15">
        <v>2025</v>
      </c>
      <c r="U1203" s="3" t="s">
        <v>5765</v>
      </c>
      <c r="V1203" s="3" t="s">
        <v>29</v>
      </c>
      <c r="Y1203" s="44">
        <v>45899</v>
      </c>
      <c r="Z1203" t="s">
        <v>3835</v>
      </c>
      <c r="AA1203" t="s">
        <v>7926</v>
      </c>
      <c r="AB1203" s="14" t="s">
        <v>3884</v>
      </c>
      <c r="AD1203" t="s">
        <v>764</v>
      </c>
    </row>
    <row r="1204" spans="1:30" customFormat="1" x14ac:dyDescent="0.3">
      <c r="A1204" s="1" t="s">
        <v>7827</v>
      </c>
      <c r="B1204" s="1" t="s">
        <v>9652</v>
      </c>
      <c r="C1204" s="1" t="s">
        <v>9653</v>
      </c>
      <c r="D1204" s="1" t="s">
        <v>9654</v>
      </c>
      <c r="E1204" s="1" t="s">
        <v>9655</v>
      </c>
      <c r="F1204" s="1" t="s">
        <v>9656</v>
      </c>
      <c r="G1204" s="1" t="s">
        <v>9657</v>
      </c>
      <c r="H1204" s="1" t="s">
        <v>4506</v>
      </c>
      <c r="I1204" s="1" t="s">
        <v>9658</v>
      </c>
      <c r="J1204" s="1" t="s">
        <v>9659</v>
      </c>
      <c r="K1204" s="1" t="s">
        <v>39</v>
      </c>
      <c r="L1204" s="1" t="s">
        <v>6091</v>
      </c>
      <c r="M1204" s="1" t="s">
        <v>141</v>
      </c>
      <c r="N1204" s="1" t="s">
        <v>9660</v>
      </c>
      <c r="O1204" s="1" t="s">
        <v>7563</v>
      </c>
      <c r="P1204" s="1"/>
      <c r="Q1204" s="1" t="s">
        <v>7651</v>
      </c>
      <c r="R1204" s="1" t="s">
        <v>5429</v>
      </c>
      <c r="S1204" s="1" t="s">
        <v>9661</v>
      </c>
      <c r="T1204" s="15">
        <v>2025</v>
      </c>
      <c r="U1204" s="3" t="s">
        <v>5765</v>
      </c>
      <c r="V1204" s="3" t="s">
        <v>29</v>
      </c>
      <c r="Y1204" s="44">
        <v>45899</v>
      </c>
      <c r="Z1204" t="s">
        <v>3835</v>
      </c>
      <c r="AA1204" t="s">
        <v>8335</v>
      </c>
      <c r="AB1204" s="14" t="s">
        <v>3884</v>
      </c>
      <c r="AD1204" t="s">
        <v>764</v>
      </c>
    </row>
    <row r="1205" spans="1:30" customFormat="1" ht="41.4" x14ac:dyDescent="0.3">
      <c r="A1205" s="1" t="s">
        <v>1379</v>
      </c>
      <c r="B1205" s="1" t="s">
        <v>9662</v>
      </c>
      <c r="C1205" s="1" t="s">
        <v>79</v>
      </c>
      <c r="D1205" s="1" t="s">
        <v>9663</v>
      </c>
      <c r="E1205" s="1" t="s">
        <v>9664</v>
      </c>
      <c r="F1205" s="1" t="s">
        <v>9665</v>
      </c>
      <c r="G1205" s="1" t="s">
        <v>9666</v>
      </c>
      <c r="H1205" s="1" t="s">
        <v>9667</v>
      </c>
      <c r="I1205" s="1" t="s">
        <v>9668</v>
      </c>
      <c r="J1205" s="1" t="s">
        <v>1497</v>
      </c>
      <c r="K1205" s="1" t="s">
        <v>39</v>
      </c>
      <c r="L1205" s="1" t="s">
        <v>9669</v>
      </c>
      <c r="M1205" s="1" t="s">
        <v>42</v>
      </c>
      <c r="N1205" s="1"/>
      <c r="O1205" s="1" t="s">
        <v>7563</v>
      </c>
      <c r="P1205" s="1"/>
      <c r="Q1205" s="1" t="s">
        <v>7651</v>
      </c>
      <c r="R1205" s="1" t="s">
        <v>6962</v>
      </c>
      <c r="S1205" s="1" t="s">
        <v>9670</v>
      </c>
      <c r="T1205" s="15">
        <v>2025</v>
      </c>
      <c r="U1205" s="3" t="s">
        <v>5765</v>
      </c>
      <c r="V1205" s="3" t="s">
        <v>29</v>
      </c>
      <c r="Y1205" s="44">
        <v>45899</v>
      </c>
      <c r="Z1205" t="s">
        <v>3828</v>
      </c>
      <c r="AA1205" t="s">
        <v>7364</v>
      </c>
      <c r="AB1205" s="14" t="s">
        <v>3888</v>
      </c>
      <c r="AD1205" t="s">
        <v>764</v>
      </c>
    </row>
    <row r="1206" spans="1:30" customFormat="1" hidden="1" x14ac:dyDescent="0.3">
      <c r="A1206" s="1" t="s">
        <v>9671</v>
      </c>
      <c r="B1206" s="1" t="s">
        <v>9672</v>
      </c>
      <c r="C1206" s="1" t="s">
        <v>9673</v>
      </c>
      <c r="D1206" s="1" t="s">
        <v>9674</v>
      </c>
      <c r="E1206" s="1" t="s">
        <v>9675</v>
      </c>
      <c r="F1206" s="1" t="s">
        <v>9676</v>
      </c>
      <c r="G1206" s="1"/>
      <c r="H1206" s="1" t="s">
        <v>9677</v>
      </c>
      <c r="I1206" s="1" t="s">
        <v>8883</v>
      </c>
      <c r="J1206" s="1" t="s">
        <v>9678</v>
      </c>
      <c r="K1206" s="1" t="s">
        <v>39</v>
      </c>
      <c r="L1206" s="1" t="s">
        <v>9679</v>
      </c>
      <c r="M1206" s="1" t="s">
        <v>42</v>
      </c>
      <c r="N1206" s="1"/>
      <c r="O1206" s="1" t="s">
        <v>7563</v>
      </c>
      <c r="P1206" s="1"/>
      <c r="Q1206" s="1" t="s">
        <v>7651</v>
      </c>
      <c r="R1206" s="1" t="s">
        <v>6962</v>
      </c>
      <c r="S1206" s="1" t="s">
        <v>9680</v>
      </c>
      <c r="T1206" s="15">
        <v>2025</v>
      </c>
      <c r="U1206" s="3" t="s">
        <v>5765</v>
      </c>
      <c r="V1206" s="3" t="s">
        <v>29</v>
      </c>
      <c r="X1206">
        <v>5</v>
      </c>
      <c r="Y1206" s="44">
        <v>45899</v>
      </c>
      <c r="Z1206" t="s">
        <v>3828</v>
      </c>
      <c r="AA1206" t="s">
        <v>7956</v>
      </c>
      <c r="AB1206" s="14" t="s">
        <v>3887</v>
      </c>
      <c r="AD1206" t="s">
        <v>764</v>
      </c>
    </row>
    <row r="1207" spans="1:30" customFormat="1" x14ac:dyDescent="0.3">
      <c r="A1207" s="1" t="s">
        <v>1388</v>
      </c>
      <c r="B1207" s="1" t="s">
        <v>3203</v>
      </c>
      <c r="C1207" s="1" t="s">
        <v>806</v>
      </c>
      <c r="D1207" s="1" t="s">
        <v>9681</v>
      </c>
      <c r="E1207" s="1"/>
      <c r="F1207" s="1" t="s">
        <v>9682</v>
      </c>
      <c r="G1207" s="1"/>
      <c r="H1207" s="1" t="s">
        <v>9683</v>
      </c>
      <c r="I1207" s="1" t="s">
        <v>81</v>
      </c>
      <c r="J1207" s="1" t="s">
        <v>8520</v>
      </c>
      <c r="K1207" s="1" t="s">
        <v>39</v>
      </c>
      <c r="L1207" s="1" t="s">
        <v>1059</v>
      </c>
      <c r="M1207" s="1" t="s">
        <v>42</v>
      </c>
      <c r="N1207" s="1"/>
      <c r="O1207" s="1" t="s">
        <v>7563</v>
      </c>
      <c r="P1207" s="1"/>
      <c r="Q1207" s="1" t="s">
        <v>7651</v>
      </c>
      <c r="R1207" s="1" t="s">
        <v>5429</v>
      </c>
      <c r="S1207" s="1" t="s">
        <v>9684</v>
      </c>
      <c r="T1207" s="15">
        <v>2025</v>
      </c>
      <c r="U1207" s="3" t="s">
        <v>5765</v>
      </c>
      <c r="V1207" s="3" t="s">
        <v>29</v>
      </c>
      <c r="Y1207" s="44">
        <v>45899</v>
      </c>
      <c r="Z1207" t="s">
        <v>3835</v>
      </c>
      <c r="AA1207" t="s">
        <v>7926</v>
      </c>
      <c r="AB1207" s="14" t="s">
        <v>3884</v>
      </c>
      <c r="AD1207" t="s">
        <v>764</v>
      </c>
    </row>
    <row r="1208" spans="1:30" customFormat="1" hidden="1" x14ac:dyDescent="0.3">
      <c r="A1208" s="1"/>
      <c r="B1208" s="1" t="s">
        <v>1110</v>
      </c>
      <c r="C1208" s="1" t="s">
        <v>9685</v>
      </c>
      <c r="D1208" s="1" t="s">
        <v>9686</v>
      </c>
      <c r="E1208" s="1" t="s">
        <v>9687</v>
      </c>
      <c r="F1208" s="1" t="s">
        <v>9688</v>
      </c>
      <c r="G1208" s="1" t="s">
        <v>9689</v>
      </c>
      <c r="H1208" s="1" t="s">
        <v>2909</v>
      </c>
      <c r="I1208" s="1" t="s">
        <v>9690</v>
      </c>
      <c r="J1208" s="1" t="s">
        <v>9691</v>
      </c>
      <c r="K1208" s="1" t="s">
        <v>39</v>
      </c>
      <c r="L1208" s="1" t="s">
        <v>9692</v>
      </c>
      <c r="M1208" s="1" t="s">
        <v>141</v>
      </c>
      <c r="N1208" s="1"/>
      <c r="O1208" s="1" t="s">
        <v>7563</v>
      </c>
      <c r="P1208" s="1" t="s">
        <v>7724</v>
      </c>
      <c r="Q1208" s="1"/>
      <c r="R1208" s="1" t="s">
        <v>6962</v>
      </c>
      <c r="S1208" s="1" t="s">
        <v>9693</v>
      </c>
      <c r="T1208" s="15">
        <v>2025</v>
      </c>
      <c r="U1208" s="3" t="s">
        <v>5765</v>
      </c>
      <c r="V1208" s="3" t="s">
        <v>29</v>
      </c>
      <c r="X1208">
        <v>5</v>
      </c>
      <c r="Z1208" t="s">
        <v>3835</v>
      </c>
      <c r="AA1208" t="s">
        <v>7712</v>
      </c>
      <c r="AB1208" s="14" t="s">
        <v>3884</v>
      </c>
      <c r="AD1208" t="s">
        <v>764</v>
      </c>
    </row>
    <row r="1209" spans="1:30" customFormat="1" x14ac:dyDescent="0.3">
      <c r="A1209" s="1"/>
      <c r="B1209" s="1" t="s">
        <v>9694</v>
      </c>
      <c r="C1209" s="1" t="s">
        <v>5039</v>
      </c>
      <c r="D1209" s="1" t="s">
        <v>9695</v>
      </c>
      <c r="E1209" s="1" t="s">
        <v>9696</v>
      </c>
      <c r="F1209" s="1" t="s">
        <v>9697</v>
      </c>
      <c r="G1209" s="1"/>
      <c r="H1209" s="1" t="s">
        <v>9698</v>
      </c>
      <c r="I1209" s="1" t="s">
        <v>9699</v>
      </c>
      <c r="J1209" s="1" t="s">
        <v>9700</v>
      </c>
      <c r="K1209" s="1" t="s">
        <v>39</v>
      </c>
      <c r="L1209" s="1" t="s">
        <v>9701</v>
      </c>
      <c r="M1209" s="1" t="s">
        <v>42</v>
      </c>
      <c r="N1209" s="1"/>
      <c r="O1209" s="1" t="s">
        <v>7563</v>
      </c>
      <c r="P1209" s="1"/>
      <c r="Q1209" s="1" t="s">
        <v>7651</v>
      </c>
      <c r="R1209" s="1" t="s">
        <v>6962</v>
      </c>
      <c r="S1209" s="1" t="s">
        <v>9702</v>
      </c>
      <c r="T1209" s="15">
        <v>2025</v>
      </c>
      <c r="U1209" s="3" t="s">
        <v>5765</v>
      </c>
      <c r="V1209" s="3" t="s">
        <v>29</v>
      </c>
      <c r="Y1209" s="44">
        <v>45899</v>
      </c>
      <c r="Z1209" t="s">
        <v>3835</v>
      </c>
      <c r="AA1209" t="s">
        <v>8335</v>
      </c>
      <c r="AB1209" s="14" t="s">
        <v>3884</v>
      </c>
      <c r="AD1209" t="s">
        <v>764</v>
      </c>
    </row>
    <row r="1210" spans="1:30" customFormat="1" ht="27.6" hidden="1" x14ac:dyDescent="0.3">
      <c r="A1210" s="1" t="s">
        <v>9703</v>
      </c>
      <c r="B1210" s="1" t="s">
        <v>9704</v>
      </c>
      <c r="C1210" s="1" t="s">
        <v>523</v>
      </c>
      <c r="D1210" s="1" t="s">
        <v>9705</v>
      </c>
      <c r="E1210" s="1" t="s">
        <v>9706</v>
      </c>
      <c r="F1210" s="1" t="s">
        <v>9707</v>
      </c>
      <c r="G1210" s="1" t="s">
        <v>9708</v>
      </c>
      <c r="H1210" s="1" t="s">
        <v>9709</v>
      </c>
      <c r="I1210" s="1"/>
      <c r="J1210" s="1" t="s">
        <v>5045</v>
      </c>
      <c r="K1210" s="1" t="s">
        <v>39</v>
      </c>
      <c r="L1210" s="1" t="s">
        <v>9710</v>
      </c>
      <c r="M1210" s="1" t="s">
        <v>42</v>
      </c>
      <c r="N1210" s="1"/>
      <c r="O1210" s="1" t="s">
        <v>7563</v>
      </c>
      <c r="P1210" s="1"/>
      <c r="Q1210" s="1" t="s">
        <v>7651</v>
      </c>
      <c r="R1210" s="1" t="s">
        <v>5359</v>
      </c>
      <c r="S1210" s="1" t="s">
        <v>9711</v>
      </c>
      <c r="T1210" s="15">
        <v>2025</v>
      </c>
      <c r="U1210" s="3" t="s">
        <v>5765</v>
      </c>
      <c r="V1210" s="3" t="s">
        <v>29</v>
      </c>
      <c r="X1210">
        <v>5</v>
      </c>
      <c r="Y1210" s="44">
        <v>45899</v>
      </c>
      <c r="Z1210" t="s">
        <v>3828</v>
      </c>
      <c r="AA1210" t="s">
        <v>8585</v>
      </c>
      <c r="AB1210" s="14" t="s">
        <v>3885</v>
      </c>
      <c r="AD1210" t="s">
        <v>764</v>
      </c>
    </row>
    <row r="1211" spans="1:30" customFormat="1" hidden="1" x14ac:dyDescent="0.3">
      <c r="A1211" s="1" t="s">
        <v>1379</v>
      </c>
      <c r="B1211" s="1" t="s">
        <v>4130</v>
      </c>
      <c r="C1211" s="1" t="s">
        <v>282</v>
      </c>
      <c r="D1211" s="1" t="s">
        <v>9787</v>
      </c>
      <c r="E1211" s="1" t="s">
        <v>9712</v>
      </c>
      <c r="F1211" s="1" t="s">
        <v>9713</v>
      </c>
      <c r="G1211" s="1" t="s">
        <v>9714</v>
      </c>
      <c r="H1211" s="1" t="s">
        <v>9715</v>
      </c>
      <c r="I1211" s="1" t="s">
        <v>9716</v>
      </c>
      <c r="J1211" s="1" t="s">
        <v>9717</v>
      </c>
      <c r="K1211" s="1" t="s">
        <v>39</v>
      </c>
      <c r="L1211" s="1" t="s">
        <v>9718</v>
      </c>
      <c r="M1211" s="1" t="s">
        <v>42</v>
      </c>
      <c r="N1211" s="1"/>
      <c r="O1211" s="1" t="s">
        <v>7563</v>
      </c>
      <c r="P1211" s="1"/>
      <c r="Q1211" s="1" t="s">
        <v>7651</v>
      </c>
      <c r="R1211" s="1" t="s">
        <v>5359</v>
      </c>
      <c r="S1211" s="1" t="s">
        <v>9719</v>
      </c>
      <c r="T1211" s="15">
        <v>2025</v>
      </c>
      <c r="U1211" s="3" t="s">
        <v>5765</v>
      </c>
      <c r="V1211" s="3" t="s">
        <v>29</v>
      </c>
      <c r="X1211">
        <v>5</v>
      </c>
      <c r="Z1211" t="s">
        <v>3828</v>
      </c>
      <c r="AA1211" t="s">
        <v>9788</v>
      </c>
      <c r="AB1211" s="14" t="s">
        <v>3885</v>
      </c>
      <c r="AD1211" t="s">
        <v>764</v>
      </c>
    </row>
    <row r="1212" spans="1:30" customFormat="1" hidden="1" x14ac:dyDescent="0.3">
      <c r="A1212" s="1"/>
      <c r="B1212" s="1" t="s">
        <v>603</v>
      </c>
      <c r="C1212" s="1" t="s">
        <v>769</v>
      </c>
      <c r="D1212" s="1" t="s">
        <v>9720</v>
      </c>
      <c r="E1212" s="1" t="s">
        <v>9721</v>
      </c>
      <c r="F1212" s="1" t="s">
        <v>9722</v>
      </c>
      <c r="G1212" s="1" t="s">
        <v>9723</v>
      </c>
      <c r="H1212" s="1"/>
      <c r="I1212" s="1"/>
      <c r="J1212" s="1" t="s">
        <v>72</v>
      </c>
      <c r="K1212" s="1" t="s">
        <v>39</v>
      </c>
      <c r="L1212" s="1" t="s">
        <v>3019</v>
      </c>
      <c r="M1212" s="1" t="s">
        <v>141</v>
      </c>
      <c r="N1212" s="1"/>
      <c r="O1212" s="1" t="s">
        <v>7563</v>
      </c>
      <c r="P1212" s="1"/>
      <c r="Q1212" s="1" t="s">
        <v>7651</v>
      </c>
      <c r="R1212" s="1" t="s">
        <v>6962</v>
      </c>
      <c r="S1212" s="1" t="s">
        <v>9724</v>
      </c>
      <c r="T1212" s="15">
        <v>2025</v>
      </c>
      <c r="U1212" s="3" t="s">
        <v>5765</v>
      </c>
      <c r="V1212" s="3" t="s">
        <v>29</v>
      </c>
      <c r="X1212">
        <v>5</v>
      </c>
      <c r="Z1212" t="s">
        <v>3828</v>
      </c>
      <c r="AA1212" t="s">
        <v>7364</v>
      </c>
      <c r="AB1212" s="14" t="s">
        <v>3888</v>
      </c>
      <c r="AD1212" t="s">
        <v>764</v>
      </c>
    </row>
    <row r="1213" spans="1:30" customFormat="1" hidden="1" x14ac:dyDescent="0.3">
      <c r="A1213" s="1"/>
      <c r="B1213" s="1" t="s">
        <v>9725</v>
      </c>
      <c r="C1213" s="1" t="s">
        <v>2065</v>
      </c>
      <c r="D1213" s="1" t="s">
        <v>9726</v>
      </c>
      <c r="E1213" s="1"/>
      <c r="F1213" s="1" t="s">
        <v>9727</v>
      </c>
      <c r="G1213" s="1"/>
      <c r="H1213" s="1"/>
      <c r="I1213" s="1"/>
      <c r="J1213" s="1" t="s">
        <v>5312</v>
      </c>
      <c r="K1213" s="1" t="s">
        <v>39</v>
      </c>
      <c r="L1213" s="1" t="s">
        <v>9728</v>
      </c>
      <c r="M1213" s="1" t="s">
        <v>42</v>
      </c>
      <c r="N1213" s="1"/>
      <c r="O1213" s="1" t="s">
        <v>7563</v>
      </c>
      <c r="P1213" s="1"/>
      <c r="Q1213" s="1" t="s">
        <v>7651</v>
      </c>
      <c r="R1213" s="1" t="s">
        <v>6962</v>
      </c>
      <c r="S1213" s="1" t="s">
        <v>9729</v>
      </c>
      <c r="T1213" s="15">
        <v>2025</v>
      </c>
      <c r="U1213" s="3" t="s">
        <v>5765</v>
      </c>
      <c r="V1213" s="3" t="s">
        <v>29</v>
      </c>
      <c r="X1213">
        <v>5</v>
      </c>
      <c r="Y1213" s="44">
        <v>45899</v>
      </c>
      <c r="Z1213" t="s">
        <v>2148</v>
      </c>
      <c r="AA1213" t="s">
        <v>9139</v>
      </c>
      <c r="AB1213" s="14" t="s">
        <v>3890</v>
      </c>
      <c r="AD1213" t="s">
        <v>764</v>
      </c>
    </row>
    <row r="1214" spans="1:30" customFormat="1" hidden="1" x14ac:dyDescent="0.3">
      <c r="A1214" s="1" t="s">
        <v>9730</v>
      </c>
      <c r="B1214" s="1" t="s">
        <v>9731</v>
      </c>
      <c r="C1214" s="1" t="s">
        <v>109</v>
      </c>
      <c r="D1214" s="1" t="s">
        <v>9732</v>
      </c>
      <c r="E1214" s="1" t="s">
        <v>9733</v>
      </c>
      <c r="F1214" s="1" t="s">
        <v>9734</v>
      </c>
      <c r="G1214" s="1" t="s">
        <v>9735</v>
      </c>
      <c r="H1214" s="1" t="s">
        <v>3166</v>
      </c>
      <c r="I1214" s="1"/>
      <c r="J1214" s="1" t="s">
        <v>9736</v>
      </c>
      <c r="K1214" s="1" t="s">
        <v>39</v>
      </c>
      <c r="L1214" s="1" t="s">
        <v>8182</v>
      </c>
      <c r="M1214" s="1" t="s">
        <v>141</v>
      </c>
      <c r="N1214" s="1"/>
      <c r="O1214" s="1" t="s">
        <v>7563</v>
      </c>
      <c r="P1214" s="1"/>
      <c r="Q1214" s="1" t="s">
        <v>7651</v>
      </c>
      <c r="R1214" s="1" t="s">
        <v>5429</v>
      </c>
      <c r="S1214" s="1" t="s">
        <v>9737</v>
      </c>
      <c r="T1214" s="15">
        <v>2025</v>
      </c>
      <c r="U1214" s="3" t="s">
        <v>5765</v>
      </c>
      <c r="V1214" s="3" t="s">
        <v>29</v>
      </c>
      <c r="X1214">
        <v>5</v>
      </c>
      <c r="Z1214" t="s">
        <v>3828</v>
      </c>
      <c r="AA1214" t="s">
        <v>8361</v>
      </c>
      <c r="AB1214" s="14" t="s">
        <v>3887</v>
      </c>
      <c r="AD1214" t="s">
        <v>764</v>
      </c>
    </row>
    <row r="1215" spans="1:30" customFormat="1" x14ac:dyDescent="0.3">
      <c r="A1215" s="1" t="s">
        <v>2635</v>
      </c>
      <c r="B1215" s="1" t="s">
        <v>7773</v>
      </c>
      <c r="C1215" s="1" t="s">
        <v>9738</v>
      </c>
      <c r="D1215" s="1" t="s">
        <v>9739</v>
      </c>
      <c r="E1215" s="1" t="s">
        <v>9740</v>
      </c>
      <c r="F1215" s="1" t="s">
        <v>9741</v>
      </c>
      <c r="G1215" s="1"/>
      <c r="H1215" s="1" t="s">
        <v>9742</v>
      </c>
      <c r="I1215" s="1" t="s">
        <v>9743</v>
      </c>
      <c r="J1215" s="1" t="s">
        <v>4543</v>
      </c>
      <c r="K1215" s="1" t="s">
        <v>39</v>
      </c>
      <c r="L1215" s="1" t="s">
        <v>9744</v>
      </c>
      <c r="M1215" s="1" t="s">
        <v>42</v>
      </c>
      <c r="N1215" s="1"/>
      <c r="O1215" s="1" t="s">
        <v>7563</v>
      </c>
      <c r="P1215" s="1"/>
      <c r="Q1215" s="1" t="s">
        <v>7651</v>
      </c>
      <c r="R1215" s="1" t="s">
        <v>5429</v>
      </c>
      <c r="S1215" s="1" t="s">
        <v>9745</v>
      </c>
      <c r="T1215" s="15">
        <v>2025</v>
      </c>
      <c r="U1215" s="3" t="s">
        <v>5765</v>
      </c>
      <c r="V1215" s="3" t="s">
        <v>29</v>
      </c>
      <c r="Y1215" s="44">
        <v>45899</v>
      </c>
      <c r="Z1215" t="s">
        <v>2148</v>
      </c>
      <c r="AA1215" t="s">
        <v>9789</v>
      </c>
      <c r="AB1215" s="14" t="s">
        <v>3890</v>
      </c>
      <c r="AD1215" t="s">
        <v>764</v>
      </c>
    </row>
    <row r="1216" spans="1:30" customFormat="1" x14ac:dyDescent="0.3">
      <c r="A1216" s="1" t="s">
        <v>5868</v>
      </c>
      <c r="B1216" s="1" t="s">
        <v>9746</v>
      </c>
      <c r="C1216" s="1" t="s">
        <v>9747</v>
      </c>
      <c r="D1216" s="1" t="s">
        <v>9790</v>
      </c>
      <c r="E1216" s="1" t="s">
        <v>9748</v>
      </c>
      <c r="F1216" s="1" t="s">
        <v>9749</v>
      </c>
      <c r="G1216" s="1"/>
      <c r="H1216" s="1"/>
      <c r="I1216" s="1"/>
      <c r="J1216" s="1" t="s">
        <v>9750</v>
      </c>
      <c r="K1216" s="1" t="s">
        <v>39</v>
      </c>
      <c r="L1216" s="1" t="s">
        <v>9751</v>
      </c>
      <c r="M1216" s="1" t="s">
        <v>42</v>
      </c>
      <c r="N1216" s="1"/>
      <c r="O1216" s="1" t="s">
        <v>7563</v>
      </c>
      <c r="P1216" s="1"/>
      <c r="Q1216" s="1" t="s">
        <v>7651</v>
      </c>
      <c r="R1216" s="1" t="s">
        <v>5359</v>
      </c>
      <c r="S1216" s="1" t="s">
        <v>9752</v>
      </c>
      <c r="T1216" s="15">
        <v>2025</v>
      </c>
      <c r="U1216" s="3" t="s">
        <v>5765</v>
      </c>
      <c r="V1216" s="3" t="s">
        <v>29</v>
      </c>
      <c r="Y1216" s="44">
        <v>45899</v>
      </c>
      <c r="Z1216" t="s">
        <v>2148</v>
      </c>
      <c r="AA1216" t="s">
        <v>9791</v>
      </c>
      <c r="AB1216" s="14" t="s">
        <v>3891</v>
      </c>
      <c r="AD1216" t="s">
        <v>764</v>
      </c>
    </row>
    <row r="1217" spans="1:30" customFormat="1" ht="41.4" hidden="1" x14ac:dyDescent="0.3">
      <c r="A1217" s="1" t="s">
        <v>4040</v>
      </c>
      <c r="B1217" s="1" t="s">
        <v>9753</v>
      </c>
      <c r="C1217" s="1" t="s">
        <v>4920</v>
      </c>
      <c r="D1217" s="1" t="s">
        <v>9754</v>
      </c>
      <c r="E1217" s="1" t="s">
        <v>9755</v>
      </c>
      <c r="F1217" s="1" t="s">
        <v>9756</v>
      </c>
      <c r="G1217" s="1" t="s">
        <v>9757</v>
      </c>
      <c r="H1217" s="1" t="s">
        <v>4001</v>
      </c>
      <c r="I1217" s="1" t="s">
        <v>9758</v>
      </c>
      <c r="J1217" s="1" t="s">
        <v>2345</v>
      </c>
      <c r="K1217" s="1" t="s">
        <v>39</v>
      </c>
      <c r="L1217" s="1" t="s">
        <v>731</v>
      </c>
      <c r="M1217" s="1" t="s">
        <v>141</v>
      </c>
      <c r="N1217" s="1"/>
      <c r="O1217" s="1" t="s">
        <v>7563</v>
      </c>
      <c r="P1217" s="1"/>
      <c r="Q1217" s="1" t="s">
        <v>7651</v>
      </c>
      <c r="R1217" s="1" t="s">
        <v>5359</v>
      </c>
      <c r="S1217" s="1" t="s">
        <v>9759</v>
      </c>
      <c r="T1217" s="15">
        <v>2025</v>
      </c>
      <c r="U1217" s="3" t="s">
        <v>5765</v>
      </c>
      <c r="V1217" s="3" t="s">
        <v>29</v>
      </c>
      <c r="X1217">
        <v>5</v>
      </c>
      <c r="Z1217" t="s">
        <v>3835</v>
      </c>
      <c r="AA1217" t="s">
        <v>8586</v>
      </c>
      <c r="AB1217" s="14" t="s">
        <v>3884</v>
      </c>
      <c r="AD1217" t="s">
        <v>764</v>
      </c>
    </row>
    <row r="1218" spans="1:30" customFormat="1" hidden="1" x14ac:dyDescent="0.3">
      <c r="A1218" s="1"/>
      <c r="B1218" s="1" t="s">
        <v>9760</v>
      </c>
      <c r="C1218" s="1" t="s">
        <v>87</v>
      </c>
      <c r="D1218" s="1" t="s">
        <v>9761</v>
      </c>
      <c r="E1218" s="1" t="s">
        <v>9762</v>
      </c>
      <c r="F1218" s="1" t="s">
        <v>9763</v>
      </c>
      <c r="G1218" s="1"/>
      <c r="H1218" s="1"/>
      <c r="I1218" s="1"/>
      <c r="J1218" s="1" t="s">
        <v>4431</v>
      </c>
      <c r="K1218" s="1" t="s">
        <v>39</v>
      </c>
      <c r="L1218" s="1" t="s">
        <v>9764</v>
      </c>
      <c r="M1218" s="1" t="s">
        <v>141</v>
      </c>
      <c r="N1218" s="1"/>
      <c r="O1218" s="1" t="s">
        <v>7563</v>
      </c>
      <c r="P1218" s="1"/>
      <c r="Q1218" s="1" t="s">
        <v>7651</v>
      </c>
      <c r="R1218" s="1" t="s">
        <v>5359</v>
      </c>
      <c r="S1218" s="1" t="s">
        <v>9765</v>
      </c>
      <c r="T1218" s="15">
        <v>2025</v>
      </c>
      <c r="U1218" s="3" t="s">
        <v>5765</v>
      </c>
      <c r="V1218" s="3" t="s">
        <v>29</v>
      </c>
      <c r="X1218">
        <v>5</v>
      </c>
      <c r="Y1218" s="44">
        <v>45899</v>
      </c>
      <c r="Z1218" t="s">
        <v>3870</v>
      </c>
      <c r="AA1218" t="s">
        <v>9500</v>
      </c>
      <c r="AB1218" s="14" t="s">
        <v>3886</v>
      </c>
      <c r="AD1218" t="s">
        <v>764</v>
      </c>
    </row>
    <row r="1219" spans="1:30" customFormat="1" hidden="1" x14ac:dyDescent="0.3">
      <c r="A1219" s="1"/>
      <c r="B1219" s="1" t="s">
        <v>9766</v>
      </c>
      <c r="C1219" s="1" t="s">
        <v>8362</v>
      </c>
      <c r="D1219" s="1" t="s">
        <v>9767</v>
      </c>
      <c r="E1219" s="1"/>
      <c r="F1219" s="1" t="s">
        <v>9768</v>
      </c>
      <c r="G1219" s="1"/>
      <c r="H1219" s="1"/>
      <c r="I1219" s="1"/>
      <c r="J1219" s="1" t="s">
        <v>72</v>
      </c>
      <c r="K1219" s="1" t="s">
        <v>39</v>
      </c>
      <c r="L1219" s="1" t="s">
        <v>520</v>
      </c>
      <c r="M1219" s="1" t="s">
        <v>152</v>
      </c>
      <c r="N1219" s="1"/>
      <c r="O1219" s="1" t="s">
        <v>7563</v>
      </c>
      <c r="P1219" s="1"/>
      <c r="Q1219" s="1" t="s">
        <v>7651</v>
      </c>
      <c r="R1219" s="1" t="s">
        <v>5480</v>
      </c>
      <c r="S1219" s="1" t="s">
        <v>9769</v>
      </c>
      <c r="T1219" s="15">
        <v>2025</v>
      </c>
      <c r="U1219" s="3" t="s">
        <v>5765</v>
      </c>
      <c r="V1219" s="3" t="s">
        <v>29</v>
      </c>
      <c r="X1219">
        <v>5</v>
      </c>
      <c r="Y1219" s="44">
        <v>45899</v>
      </c>
      <c r="Z1219" t="s">
        <v>2148</v>
      </c>
      <c r="AA1219" t="s">
        <v>9139</v>
      </c>
      <c r="AB1219" s="14" t="s">
        <v>3890</v>
      </c>
      <c r="AD1219" t="s">
        <v>764</v>
      </c>
    </row>
    <row r="1220" spans="1:30" customFormat="1" x14ac:dyDescent="0.3">
      <c r="A1220" s="1"/>
      <c r="B1220" s="1" t="s">
        <v>9770</v>
      </c>
      <c r="C1220" s="1" t="s">
        <v>5216</v>
      </c>
      <c r="D1220" s="1" t="s">
        <v>9771</v>
      </c>
      <c r="E1220" s="1"/>
      <c r="F1220" s="1" t="s">
        <v>9772</v>
      </c>
      <c r="G1220" s="1"/>
      <c r="H1220" s="1"/>
      <c r="I1220" s="1"/>
      <c r="J1220" s="1" t="s">
        <v>9773</v>
      </c>
      <c r="K1220" s="1" t="s">
        <v>39</v>
      </c>
      <c r="L1220" s="1" t="s">
        <v>9774</v>
      </c>
      <c r="M1220" s="1" t="s">
        <v>42</v>
      </c>
      <c r="N1220" s="1"/>
      <c r="O1220" s="1" t="s">
        <v>7563</v>
      </c>
      <c r="P1220" s="1"/>
      <c r="Q1220" s="1" t="s">
        <v>7651</v>
      </c>
      <c r="R1220" s="1" t="s">
        <v>6962</v>
      </c>
      <c r="S1220" s="1" t="s">
        <v>9775</v>
      </c>
      <c r="T1220" s="15">
        <v>2025</v>
      </c>
      <c r="U1220" s="3" t="s">
        <v>5765</v>
      </c>
      <c r="V1220" s="3" t="s">
        <v>29</v>
      </c>
      <c r="Y1220" s="44">
        <v>45899</v>
      </c>
      <c r="Z1220" t="s">
        <v>3828</v>
      </c>
      <c r="AA1220" t="s">
        <v>9788</v>
      </c>
      <c r="AB1220" s="14" t="s">
        <v>3885</v>
      </c>
      <c r="AD1220" t="s">
        <v>764</v>
      </c>
    </row>
    <row r="1221" spans="1:30" customFormat="1" hidden="1" x14ac:dyDescent="0.3">
      <c r="A1221" s="1"/>
      <c r="B1221" s="1" t="s">
        <v>9776</v>
      </c>
      <c r="C1221" s="1" t="s">
        <v>1463</v>
      </c>
      <c r="D1221" s="1" t="s">
        <v>9777</v>
      </c>
      <c r="E1221" s="1"/>
      <c r="F1221" s="1" t="s">
        <v>9778</v>
      </c>
      <c r="G1221" s="1" t="s">
        <v>9779</v>
      </c>
      <c r="H1221" s="1" t="s">
        <v>9780</v>
      </c>
      <c r="I1221" s="1" t="s">
        <v>9781</v>
      </c>
      <c r="J1221" s="1" t="s">
        <v>72</v>
      </c>
      <c r="K1221" s="1" t="s">
        <v>39</v>
      </c>
      <c r="L1221" s="1" t="s">
        <v>731</v>
      </c>
      <c r="M1221" s="1" t="s">
        <v>141</v>
      </c>
      <c r="N1221" s="1"/>
      <c r="O1221" s="1" t="s">
        <v>7563</v>
      </c>
      <c r="P1221" s="1"/>
      <c r="Q1221" s="1" t="s">
        <v>7651</v>
      </c>
      <c r="R1221" s="1" t="s">
        <v>5429</v>
      </c>
      <c r="S1221" s="1" t="s">
        <v>9782</v>
      </c>
      <c r="T1221" s="15">
        <v>2025</v>
      </c>
      <c r="U1221" s="3" t="s">
        <v>5765</v>
      </c>
      <c r="V1221" s="3" t="s">
        <v>29</v>
      </c>
      <c r="X1221">
        <v>5</v>
      </c>
      <c r="Z1221" t="s">
        <v>3828</v>
      </c>
      <c r="AA1221" t="s">
        <v>8361</v>
      </c>
      <c r="AB1221" s="14" t="s">
        <v>3887</v>
      </c>
      <c r="AD1221" t="s">
        <v>764</v>
      </c>
    </row>
    <row r="1222" spans="1:30" customFormat="1" hidden="1" x14ac:dyDescent="0.3">
      <c r="A1222" s="1" t="s">
        <v>1379</v>
      </c>
      <c r="B1222" s="7" t="s">
        <v>9793</v>
      </c>
      <c r="C1222" s="7" t="s">
        <v>229</v>
      </c>
      <c r="D1222" s="1" t="s">
        <v>9794</v>
      </c>
      <c r="E1222" s="1" t="s">
        <v>9795</v>
      </c>
      <c r="F1222" s="1" t="s">
        <v>9796</v>
      </c>
      <c r="G1222" s="1"/>
      <c r="H1222" s="1" t="s">
        <v>9797</v>
      </c>
      <c r="I1222" s="1" t="s">
        <v>9798</v>
      </c>
      <c r="J1222" s="1" t="s">
        <v>72</v>
      </c>
      <c r="K1222" s="1" t="s">
        <v>39</v>
      </c>
      <c r="L1222" s="1" t="s">
        <v>9799</v>
      </c>
      <c r="M1222" s="1" t="s">
        <v>141</v>
      </c>
      <c r="N1222" s="1"/>
      <c r="O1222" s="1" t="s">
        <v>7563</v>
      </c>
      <c r="P1222" s="1"/>
      <c r="Q1222" s="1" t="s">
        <v>7651</v>
      </c>
      <c r="R1222" s="1" t="s">
        <v>5359</v>
      </c>
      <c r="S1222" s="1" t="s">
        <v>9800</v>
      </c>
      <c r="T1222" s="15">
        <v>2025</v>
      </c>
      <c r="U1222" s="3" t="s">
        <v>5765</v>
      </c>
      <c r="V1222" s="3" t="s">
        <v>29</v>
      </c>
      <c r="X1222">
        <v>5</v>
      </c>
      <c r="Z1222" t="s">
        <v>3828</v>
      </c>
      <c r="AA1222" t="s">
        <v>7497</v>
      </c>
      <c r="AB1222" s="14" t="s">
        <v>3885</v>
      </c>
      <c r="AD1222" t="s">
        <v>764</v>
      </c>
    </row>
    <row r="1223" spans="1:30" customFormat="1" ht="55.2" hidden="1" x14ac:dyDescent="0.3">
      <c r="A1223" s="1" t="s">
        <v>2635</v>
      </c>
      <c r="B1223" s="1" t="s">
        <v>9801</v>
      </c>
      <c r="C1223" s="1" t="s">
        <v>99</v>
      </c>
      <c r="D1223" s="1" t="s">
        <v>9802</v>
      </c>
      <c r="E1223" s="1" t="s">
        <v>9803</v>
      </c>
      <c r="F1223" s="1" t="s">
        <v>9804</v>
      </c>
      <c r="G1223" s="1"/>
      <c r="H1223" s="1"/>
      <c r="I1223" s="1"/>
      <c r="J1223" s="1" t="s">
        <v>9805</v>
      </c>
      <c r="K1223" s="1" t="s">
        <v>39</v>
      </c>
      <c r="L1223" s="1" t="s">
        <v>9806</v>
      </c>
      <c r="M1223" s="1" t="s">
        <v>141</v>
      </c>
      <c r="N1223" s="1"/>
      <c r="O1223" s="1" t="s">
        <v>7563</v>
      </c>
      <c r="P1223" s="1"/>
      <c r="Q1223" s="1" t="s">
        <v>7651</v>
      </c>
      <c r="R1223" s="1" t="s">
        <v>6962</v>
      </c>
      <c r="S1223" s="1" t="s">
        <v>9807</v>
      </c>
      <c r="T1223" s="15">
        <v>2025</v>
      </c>
      <c r="U1223" s="3" t="s">
        <v>5765</v>
      </c>
      <c r="V1223" s="3" t="s">
        <v>29</v>
      </c>
      <c r="X1223">
        <v>5</v>
      </c>
      <c r="Z1223" t="s">
        <v>3828</v>
      </c>
      <c r="AA1223" t="s">
        <v>9945</v>
      </c>
      <c r="AB1223" s="14" t="s">
        <v>3885</v>
      </c>
      <c r="AD1223" t="s">
        <v>9946</v>
      </c>
    </row>
    <row r="1224" spans="1:30" customFormat="1" hidden="1" x14ac:dyDescent="0.3">
      <c r="A1224" s="1"/>
      <c r="B1224" s="1" t="s">
        <v>2183</v>
      </c>
      <c r="C1224" s="1" t="s">
        <v>229</v>
      </c>
      <c r="D1224" s="1" t="s">
        <v>9808</v>
      </c>
      <c r="E1224" s="1" t="s">
        <v>9809</v>
      </c>
      <c r="F1224" s="1" t="s">
        <v>9810</v>
      </c>
      <c r="G1224" s="1"/>
      <c r="H1224" s="1" t="s">
        <v>9811</v>
      </c>
      <c r="I1224" s="1" t="s">
        <v>9812</v>
      </c>
      <c r="J1224" s="1" t="s">
        <v>9813</v>
      </c>
      <c r="K1224" s="1" t="s">
        <v>39</v>
      </c>
      <c r="L1224" s="1" t="s">
        <v>9814</v>
      </c>
      <c r="M1224" s="1" t="s">
        <v>42</v>
      </c>
      <c r="N1224" s="1"/>
      <c r="O1224" s="1" t="s">
        <v>7563</v>
      </c>
      <c r="P1224" s="1"/>
      <c r="Q1224" s="1" t="s">
        <v>7651</v>
      </c>
      <c r="R1224" s="1" t="s">
        <v>6962</v>
      </c>
      <c r="S1224" s="1" t="s">
        <v>9815</v>
      </c>
      <c r="T1224" s="15">
        <v>2025</v>
      </c>
      <c r="U1224" s="3" t="s">
        <v>5765</v>
      </c>
      <c r="V1224" s="3" t="s">
        <v>29</v>
      </c>
      <c r="X1224">
        <v>5</v>
      </c>
      <c r="Y1224" s="44">
        <v>45899</v>
      </c>
      <c r="Z1224" t="s">
        <v>3828</v>
      </c>
      <c r="AA1224" t="s">
        <v>4868</v>
      </c>
      <c r="AB1224" s="14" t="s">
        <v>3888</v>
      </c>
      <c r="AD1224" t="s">
        <v>764</v>
      </c>
    </row>
    <row r="1225" spans="1:30" customFormat="1" ht="27.6" hidden="1" x14ac:dyDescent="0.3">
      <c r="A1225" s="1"/>
      <c r="B1225" s="58" t="s">
        <v>9816</v>
      </c>
      <c r="C1225" s="58" t="s">
        <v>9817</v>
      </c>
      <c r="D1225" s="1" t="s">
        <v>9818</v>
      </c>
      <c r="E1225" s="1" t="s">
        <v>9819</v>
      </c>
      <c r="F1225" s="1" t="s">
        <v>9820</v>
      </c>
      <c r="G1225" s="1"/>
      <c r="H1225" s="1"/>
      <c r="I1225" s="1"/>
      <c r="J1225" s="1" t="s">
        <v>1114</v>
      </c>
      <c r="K1225" s="1" t="s">
        <v>39</v>
      </c>
      <c r="L1225" s="1" t="s">
        <v>9821</v>
      </c>
      <c r="M1225" s="1" t="s">
        <v>141</v>
      </c>
      <c r="N1225" s="1"/>
      <c r="O1225" s="1" t="s">
        <v>7563</v>
      </c>
      <c r="P1225" s="1"/>
      <c r="Q1225" s="1" t="s">
        <v>7651</v>
      </c>
      <c r="R1225" s="1" t="s">
        <v>6962</v>
      </c>
      <c r="S1225" s="1" t="s">
        <v>9822</v>
      </c>
      <c r="U1225" s="3" t="s">
        <v>9501</v>
      </c>
      <c r="V1225" s="3" t="s">
        <v>10080</v>
      </c>
      <c r="W1225" s="3" t="s">
        <v>10079</v>
      </c>
      <c r="X1225">
        <v>5</v>
      </c>
    </row>
    <row r="1226" spans="1:30" customFormat="1" hidden="1" x14ac:dyDescent="0.3">
      <c r="A1226" s="1" t="s">
        <v>2635</v>
      </c>
      <c r="B1226" s="1" t="s">
        <v>3763</v>
      </c>
      <c r="C1226" s="1" t="s">
        <v>3515</v>
      </c>
      <c r="D1226" s="1" t="s">
        <v>9823</v>
      </c>
      <c r="E1226" s="1" t="s">
        <v>9824</v>
      </c>
      <c r="F1226" s="1" t="s">
        <v>9825</v>
      </c>
      <c r="G1226" s="1" t="s">
        <v>9826</v>
      </c>
      <c r="H1226" s="1" t="s">
        <v>9827</v>
      </c>
      <c r="I1226" s="1" t="s">
        <v>9828</v>
      </c>
      <c r="J1226" s="1" t="s">
        <v>72</v>
      </c>
      <c r="K1226" s="1" t="s">
        <v>39</v>
      </c>
      <c r="L1226" s="1" t="s">
        <v>9829</v>
      </c>
      <c r="M1226" s="1" t="s">
        <v>141</v>
      </c>
      <c r="N1226" s="1"/>
      <c r="O1226" s="1" t="s">
        <v>7563</v>
      </c>
      <c r="P1226" s="1"/>
      <c r="Q1226" s="1" t="s">
        <v>7651</v>
      </c>
      <c r="R1226" s="1" t="s">
        <v>6962</v>
      </c>
      <c r="S1226" s="1" t="s">
        <v>9830</v>
      </c>
      <c r="T1226" s="15">
        <v>2025</v>
      </c>
      <c r="U1226" s="3" t="s">
        <v>5765</v>
      </c>
      <c r="V1226" s="3" t="s">
        <v>29</v>
      </c>
      <c r="X1226">
        <v>5</v>
      </c>
      <c r="Z1226" t="s">
        <v>3870</v>
      </c>
      <c r="AA1226" t="s">
        <v>8349</v>
      </c>
      <c r="AB1226" s="14" t="s">
        <v>3886</v>
      </c>
      <c r="AD1226" t="s">
        <v>764</v>
      </c>
    </row>
    <row r="1227" spans="1:30" customFormat="1" hidden="1" x14ac:dyDescent="0.3">
      <c r="A1227" s="1"/>
      <c r="B1227" s="1" t="s">
        <v>9831</v>
      </c>
      <c r="C1227" s="1" t="s">
        <v>447</v>
      </c>
      <c r="D1227" s="1" t="s">
        <v>9832</v>
      </c>
      <c r="E1227" s="1" t="s">
        <v>9833</v>
      </c>
      <c r="F1227" s="1" t="s">
        <v>9834</v>
      </c>
      <c r="G1227" s="1" t="s">
        <v>9835</v>
      </c>
      <c r="H1227" s="1" t="s">
        <v>9836</v>
      </c>
      <c r="I1227" s="1" t="s">
        <v>9837</v>
      </c>
      <c r="J1227" s="1" t="s">
        <v>4862</v>
      </c>
      <c r="K1227" s="1" t="s">
        <v>39</v>
      </c>
      <c r="L1227" s="1" t="s">
        <v>9838</v>
      </c>
      <c r="M1227" s="1" t="s">
        <v>141</v>
      </c>
      <c r="N1227" s="1"/>
      <c r="O1227" s="1" t="s">
        <v>7563</v>
      </c>
      <c r="P1227" s="1"/>
      <c r="Q1227" s="1" t="s">
        <v>7651</v>
      </c>
      <c r="R1227" s="1" t="s">
        <v>6962</v>
      </c>
      <c r="S1227" s="1" t="s">
        <v>9839</v>
      </c>
      <c r="T1227" s="15">
        <v>2025</v>
      </c>
      <c r="U1227" s="3" t="s">
        <v>5765</v>
      </c>
      <c r="V1227" s="3" t="s">
        <v>29</v>
      </c>
      <c r="X1227">
        <v>10</v>
      </c>
      <c r="Z1227" t="s">
        <v>3828</v>
      </c>
      <c r="AA1227" t="s">
        <v>7956</v>
      </c>
      <c r="AB1227" s="14" t="s">
        <v>3887</v>
      </c>
      <c r="AD1227" t="s">
        <v>764</v>
      </c>
    </row>
    <row r="1228" spans="1:30" customFormat="1" hidden="1" x14ac:dyDescent="0.3">
      <c r="A1228" s="1" t="s">
        <v>9840</v>
      </c>
      <c r="B1228" s="1" t="s">
        <v>7426</v>
      </c>
      <c r="C1228" s="1" t="s">
        <v>1989</v>
      </c>
      <c r="D1228" s="1" t="s">
        <v>9841</v>
      </c>
      <c r="E1228" s="1" t="s">
        <v>9842</v>
      </c>
      <c r="F1228" s="1" t="s">
        <v>9843</v>
      </c>
      <c r="G1228" s="1" t="s">
        <v>9844</v>
      </c>
      <c r="H1228" s="1" t="s">
        <v>9845</v>
      </c>
      <c r="I1228" s="1" t="s">
        <v>9846</v>
      </c>
      <c r="J1228" s="1" t="s">
        <v>72</v>
      </c>
      <c r="K1228" s="1" t="s">
        <v>39</v>
      </c>
      <c r="L1228" s="1" t="s">
        <v>9847</v>
      </c>
      <c r="M1228" s="1" t="s">
        <v>42</v>
      </c>
      <c r="N1228" s="1"/>
      <c r="O1228" s="1" t="s">
        <v>7563</v>
      </c>
      <c r="P1228" s="1"/>
      <c r="Q1228" s="1" t="s">
        <v>7651</v>
      </c>
      <c r="R1228" s="1" t="s">
        <v>6962</v>
      </c>
      <c r="S1228" s="1" t="s">
        <v>9848</v>
      </c>
      <c r="T1228" s="15">
        <v>2025</v>
      </c>
      <c r="U1228" s="3" t="s">
        <v>5765</v>
      </c>
      <c r="V1228" s="3" t="s">
        <v>29</v>
      </c>
      <c r="X1228">
        <v>20</v>
      </c>
      <c r="Z1228" t="s">
        <v>3835</v>
      </c>
      <c r="AA1228" t="s">
        <v>7712</v>
      </c>
      <c r="AB1228" s="14" t="s">
        <v>3884</v>
      </c>
      <c r="AD1228" t="s">
        <v>764</v>
      </c>
    </row>
    <row r="1229" spans="1:30" customFormat="1" hidden="1" x14ac:dyDescent="0.3">
      <c r="A1229" s="1"/>
      <c r="B1229" s="1" t="s">
        <v>9849</v>
      </c>
      <c r="C1229" s="1" t="s">
        <v>9850</v>
      </c>
      <c r="D1229" s="1" t="s">
        <v>9851</v>
      </c>
      <c r="E1229" s="1" t="s">
        <v>9852</v>
      </c>
      <c r="F1229" s="1" t="s">
        <v>9853</v>
      </c>
      <c r="G1229" s="1" t="s">
        <v>9854</v>
      </c>
      <c r="H1229" s="1"/>
      <c r="I1229" s="1"/>
      <c r="J1229" s="1" t="s">
        <v>9855</v>
      </c>
      <c r="K1229" s="1" t="s">
        <v>39</v>
      </c>
      <c r="L1229" s="1" t="s">
        <v>9856</v>
      </c>
      <c r="M1229" s="1" t="s">
        <v>141</v>
      </c>
      <c r="N1229" s="1"/>
      <c r="O1229" s="1" t="s">
        <v>7563</v>
      </c>
      <c r="P1229" s="1"/>
      <c r="Q1229" s="1" t="s">
        <v>7651</v>
      </c>
      <c r="R1229" s="1" t="s">
        <v>5429</v>
      </c>
      <c r="S1229" s="1" t="s">
        <v>9857</v>
      </c>
      <c r="T1229" s="15">
        <v>2025</v>
      </c>
      <c r="U1229" s="3" t="s">
        <v>5765</v>
      </c>
      <c r="V1229" s="3" t="s">
        <v>29</v>
      </c>
      <c r="X1229">
        <v>5</v>
      </c>
      <c r="Z1229" t="s">
        <v>2148</v>
      </c>
      <c r="AA1229" t="s">
        <v>9947</v>
      </c>
      <c r="AB1229" s="14" t="s">
        <v>3890</v>
      </c>
      <c r="AD1229" t="s">
        <v>764</v>
      </c>
    </row>
    <row r="1230" spans="1:30" customFormat="1" hidden="1" x14ac:dyDescent="0.3">
      <c r="A1230" s="1"/>
      <c r="B1230" s="1" t="s">
        <v>9858</v>
      </c>
      <c r="C1230" s="1" t="s">
        <v>4920</v>
      </c>
      <c r="D1230" s="1" t="s">
        <v>9859</v>
      </c>
      <c r="E1230" s="1" t="s">
        <v>9860</v>
      </c>
      <c r="F1230" s="1" t="s">
        <v>9861</v>
      </c>
      <c r="G1230" s="1"/>
      <c r="H1230" s="1"/>
      <c r="I1230" s="1"/>
      <c r="J1230" s="1" t="s">
        <v>8221</v>
      </c>
      <c r="K1230" s="1" t="s">
        <v>39</v>
      </c>
      <c r="L1230" s="1" t="s">
        <v>9862</v>
      </c>
      <c r="M1230" s="1" t="s">
        <v>42</v>
      </c>
      <c r="N1230" s="1"/>
      <c r="O1230" s="1" t="s">
        <v>7563</v>
      </c>
      <c r="P1230" s="1"/>
      <c r="Q1230" s="1" t="s">
        <v>7651</v>
      </c>
      <c r="R1230" s="1" t="s">
        <v>5359</v>
      </c>
      <c r="S1230" s="1" t="s">
        <v>9863</v>
      </c>
      <c r="T1230" s="15">
        <v>2025</v>
      </c>
      <c r="U1230" s="3" t="s">
        <v>5765</v>
      </c>
      <c r="V1230" s="3" t="s">
        <v>29</v>
      </c>
      <c r="X1230">
        <v>5</v>
      </c>
      <c r="Y1230" s="44">
        <v>45899</v>
      </c>
      <c r="Z1230" t="s">
        <v>3828</v>
      </c>
      <c r="AA1230" t="s">
        <v>7364</v>
      </c>
      <c r="AB1230" s="14" t="s">
        <v>3888</v>
      </c>
      <c r="AD1230" t="s">
        <v>764</v>
      </c>
    </row>
    <row r="1231" spans="1:30" customFormat="1" hidden="1" x14ac:dyDescent="0.3">
      <c r="A1231" s="1"/>
      <c r="B1231" s="1" t="s">
        <v>9864</v>
      </c>
      <c r="C1231" s="1" t="s">
        <v>9865</v>
      </c>
      <c r="D1231" s="1" t="s">
        <v>9866</v>
      </c>
      <c r="E1231" s="1" t="s">
        <v>9867</v>
      </c>
      <c r="F1231" s="1" t="s">
        <v>9868</v>
      </c>
      <c r="G1231" s="1"/>
      <c r="H1231" s="1"/>
      <c r="I1231" s="1"/>
      <c r="J1231" s="1" t="s">
        <v>1060</v>
      </c>
      <c r="K1231" s="1" t="s">
        <v>39</v>
      </c>
      <c r="L1231" s="1" t="s">
        <v>9869</v>
      </c>
      <c r="M1231" s="1" t="s">
        <v>141</v>
      </c>
      <c r="N1231" s="1"/>
      <c r="O1231" s="1" t="s">
        <v>7563</v>
      </c>
      <c r="P1231" s="1"/>
      <c r="Q1231" s="1" t="s">
        <v>7651</v>
      </c>
      <c r="R1231" s="1" t="s">
        <v>5480</v>
      </c>
      <c r="S1231" s="1" t="s">
        <v>9870</v>
      </c>
      <c r="T1231" s="15">
        <v>2025</v>
      </c>
      <c r="U1231" s="3" t="s">
        <v>5765</v>
      </c>
      <c r="V1231" s="3" t="s">
        <v>29</v>
      </c>
      <c r="X1231">
        <v>50</v>
      </c>
      <c r="Z1231" t="s">
        <v>6312</v>
      </c>
      <c r="AA1231" t="s">
        <v>8335</v>
      </c>
      <c r="AB1231" s="14" t="s">
        <v>3884</v>
      </c>
      <c r="AD1231" t="s">
        <v>764</v>
      </c>
    </row>
    <row r="1232" spans="1:30" customFormat="1" ht="27.6" hidden="1" x14ac:dyDescent="0.3">
      <c r="A1232" s="1" t="s">
        <v>9871</v>
      </c>
      <c r="B1232" s="1" t="s">
        <v>9801</v>
      </c>
      <c r="C1232" s="1" t="s">
        <v>9872</v>
      </c>
      <c r="D1232" s="1" t="s">
        <v>9873</v>
      </c>
      <c r="E1232" s="1" t="s">
        <v>9874</v>
      </c>
      <c r="F1232" s="1" t="s">
        <v>9875</v>
      </c>
      <c r="G1232" s="1" t="s">
        <v>9876</v>
      </c>
      <c r="H1232" s="1"/>
      <c r="I1232" s="1"/>
      <c r="J1232" s="1" t="s">
        <v>9877</v>
      </c>
      <c r="K1232" s="1" t="s">
        <v>2743</v>
      </c>
      <c r="L1232" s="1" t="s">
        <v>9878</v>
      </c>
      <c r="M1232" s="1" t="s">
        <v>141</v>
      </c>
      <c r="N1232" s="1" t="s">
        <v>9879</v>
      </c>
      <c r="O1232" s="1" t="s">
        <v>7563</v>
      </c>
      <c r="P1232" s="1" t="s">
        <v>7724</v>
      </c>
      <c r="Q1232" s="1"/>
      <c r="R1232" s="1" t="s">
        <v>5655</v>
      </c>
      <c r="S1232" s="1" t="s">
        <v>9880</v>
      </c>
      <c r="T1232" s="15">
        <v>2025</v>
      </c>
      <c r="U1232" s="3" t="s">
        <v>5765</v>
      </c>
      <c r="V1232" s="3" t="s">
        <v>29</v>
      </c>
      <c r="X1232">
        <v>5</v>
      </c>
      <c r="Z1232" t="s">
        <v>2148</v>
      </c>
      <c r="AA1232" t="s">
        <v>9948</v>
      </c>
      <c r="AB1232" s="14" t="s">
        <v>3890</v>
      </c>
      <c r="AD1232" t="s">
        <v>764</v>
      </c>
    </row>
    <row r="1233" spans="1:30" customFormat="1" ht="27.6" hidden="1" x14ac:dyDescent="0.3">
      <c r="A1233" s="1" t="s">
        <v>5972</v>
      </c>
      <c r="B1233" s="1" t="s">
        <v>9881</v>
      </c>
      <c r="C1233" s="1" t="s">
        <v>1649</v>
      </c>
      <c r="D1233" s="1" t="s">
        <v>9882</v>
      </c>
      <c r="E1233" s="1"/>
      <c r="F1233" s="1" t="s">
        <v>9883</v>
      </c>
      <c r="G1233" s="1"/>
      <c r="H1233" s="1"/>
      <c r="I1233" s="1"/>
      <c r="J1233" s="1" t="s">
        <v>9884</v>
      </c>
      <c r="K1233" s="1" t="s">
        <v>39</v>
      </c>
      <c r="L1233" s="1" t="s">
        <v>9885</v>
      </c>
      <c r="M1233" s="1" t="s">
        <v>141</v>
      </c>
      <c r="N1233" s="1"/>
      <c r="O1233" s="1" t="s">
        <v>7563</v>
      </c>
      <c r="P1233" s="1"/>
      <c r="Q1233" s="1" t="s">
        <v>7651</v>
      </c>
      <c r="R1233" s="1" t="s">
        <v>6962</v>
      </c>
      <c r="S1233" s="1" t="s">
        <v>9886</v>
      </c>
      <c r="T1233" s="15">
        <v>2025</v>
      </c>
      <c r="U1233" s="3" t="s">
        <v>5765</v>
      </c>
      <c r="V1233" s="3" t="s">
        <v>29</v>
      </c>
      <c r="X1233">
        <v>30</v>
      </c>
      <c r="Z1233" t="s">
        <v>2148</v>
      </c>
      <c r="AA1233" t="s">
        <v>9949</v>
      </c>
      <c r="AB1233" s="14" t="s">
        <v>3891</v>
      </c>
      <c r="AD1233" t="s">
        <v>764</v>
      </c>
    </row>
    <row r="1234" spans="1:30" customFormat="1" hidden="1" x14ac:dyDescent="0.3">
      <c r="A1234" s="1" t="s">
        <v>9887</v>
      </c>
      <c r="B1234" s="1" t="s">
        <v>9888</v>
      </c>
      <c r="C1234" s="1" t="s">
        <v>994</v>
      </c>
      <c r="D1234" s="1" t="s">
        <v>9889</v>
      </c>
      <c r="E1234" s="1" t="s">
        <v>9890</v>
      </c>
      <c r="F1234" s="1" t="s">
        <v>9891</v>
      </c>
      <c r="G1234" s="1"/>
      <c r="H1234" s="1" t="s">
        <v>1371</v>
      </c>
      <c r="I1234" s="1"/>
      <c r="J1234" s="1" t="s">
        <v>9892</v>
      </c>
      <c r="K1234" s="1" t="s">
        <v>39</v>
      </c>
      <c r="L1234" s="1" t="s">
        <v>9893</v>
      </c>
      <c r="M1234" s="1" t="s">
        <v>42</v>
      </c>
      <c r="N1234" s="1"/>
      <c r="O1234" s="1" t="s">
        <v>7563</v>
      </c>
      <c r="P1234" s="1" t="s">
        <v>7724</v>
      </c>
      <c r="Q1234" s="1"/>
      <c r="R1234" s="1" t="s">
        <v>6962</v>
      </c>
      <c r="S1234" s="1" t="s">
        <v>9894</v>
      </c>
      <c r="T1234" s="15">
        <v>2025</v>
      </c>
      <c r="U1234" s="3" t="s">
        <v>5765</v>
      </c>
      <c r="V1234" s="3" t="s">
        <v>29</v>
      </c>
      <c r="X1234">
        <v>5</v>
      </c>
      <c r="Z1234" t="s">
        <v>2148</v>
      </c>
      <c r="AA1234" t="s">
        <v>7957</v>
      </c>
      <c r="AB1234" s="14" t="s">
        <v>3891</v>
      </c>
      <c r="AD1234" t="s">
        <v>764</v>
      </c>
    </row>
    <row r="1235" spans="1:30" customFormat="1" ht="55.2" hidden="1" x14ac:dyDescent="0.3">
      <c r="A1235" s="1" t="s">
        <v>254</v>
      </c>
      <c r="B1235" s="1" t="s">
        <v>5383</v>
      </c>
      <c r="C1235" s="1" t="s">
        <v>3985</v>
      </c>
      <c r="D1235" s="1" t="s">
        <v>9895</v>
      </c>
      <c r="E1235" s="1"/>
      <c r="F1235" s="1" t="s">
        <v>9896</v>
      </c>
      <c r="G1235" s="1" t="s">
        <v>9897</v>
      </c>
      <c r="H1235" s="1" t="s">
        <v>9898</v>
      </c>
      <c r="I1235" s="1" t="s">
        <v>9899</v>
      </c>
      <c r="J1235" s="1" t="s">
        <v>9900</v>
      </c>
      <c r="K1235" s="1" t="s">
        <v>92</v>
      </c>
      <c r="L1235" s="1" t="s">
        <v>9901</v>
      </c>
      <c r="M1235" s="1" t="s">
        <v>141</v>
      </c>
      <c r="N1235" s="1"/>
      <c r="O1235" s="1" t="s">
        <v>7563</v>
      </c>
      <c r="P1235" s="1" t="s">
        <v>7724</v>
      </c>
      <c r="Q1235" s="1"/>
      <c r="R1235" s="1" t="s">
        <v>6962</v>
      </c>
      <c r="S1235" s="1" t="s">
        <v>9902</v>
      </c>
      <c r="T1235" s="15">
        <v>2025</v>
      </c>
      <c r="U1235" s="3" t="s">
        <v>5765</v>
      </c>
      <c r="V1235" s="3" t="s">
        <v>29</v>
      </c>
      <c r="X1235">
        <v>5</v>
      </c>
      <c r="Z1235" t="s">
        <v>3835</v>
      </c>
      <c r="AA1235" t="s">
        <v>7703</v>
      </c>
      <c r="AB1235" s="14" t="s">
        <v>3884</v>
      </c>
      <c r="AD1235" t="s">
        <v>764</v>
      </c>
    </row>
    <row r="1236" spans="1:30" customFormat="1" hidden="1" x14ac:dyDescent="0.3">
      <c r="A1236" s="1"/>
      <c r="B1236" s="1" t="s">
        <v>9903</v>
      </c>
      <c r="C1236" s="1" t="s">
        <v>336</v>
      </c>
      <c r="D1236" s="1" t="s">
        <v>9904</v>
      </c>
      <c r="E1236" s="1" t="s">
        <v>9905</v>
      </c>
      <c r="F1236" s="1" t="s">
        <v>9906</v>
      </c>
      <c r="G1236" s="1"/>
      <c r="H1236" s="1"/>
      <c r="I1236" s="1"/>
      <c r="J1236" s="1" t="s">
        <v>9907</v>
      </c>
      <c r="K1236" s="1" t="s">
        <v>39</v>
      </c>
      <c r="L1236" s="1" t="s">
        <v>5892</v>
      </c>
      <c r="M1236" s="1" t="s">
        <v>141</v>
      </c>
      <c r="N1236" s="1"/>
      <c r="O1236" s="1" t="s">
        <v>7563</v>
      </c>
      <c r="P1236" s="1"/>
      <c r="Q1236" s="1" t="s">
        <v>7651</v>
      </c>
      <c r="R1236" s="1" t="s">
        <v>5359</v>
      </c>
      <c r="S1236" s="1" t="s">
        <v>9908</v>
      </c>
      <c r="T1236" s="15">
        <v>2025</v>
      </c>
      <c r="U1236" s="3" t="s">
        <v>5765</v>
      </c>
      <c r="V1236" s="3" t="s">
        <v>29</v>
      </c>
      <c r="X1236">
        <v>5</v>
      </c>
      <c r="Z1236" t="s">
        <v>2148</v>
      </c>
      <c r="AA1236" t="s">
        <v>9950</v>
      </c>
      <c r="AB1236" s="14" t="s">
        <v>4594</v>
      </c>
      <c r="AD1236" t="s">
        <v>764</v>
      </c>
    </row>
    <row r="1237" spans="1:30" customFormat="1" hidden="1" x14ac:dyDescent="0.3">
      <c r="A1237" s="1"/>
      <c r="B1237" s="1" t="s">
        <v>9909</v>
      </c>
      <c r="C1237" s="1" t="s">
        <v>406</v>
      </c>
      <c r="D1237" s="1" t="s">
        <v>9910</v>
      </c>
      <c r="E1237" s="1" t="s">
        <v>9911</v>
      </c>
      <c r="F1237" s="1" t="s">
        <v>9912</v>
      </c>
      <c r="G1237" s="1"/>
      <c r="H1237" s="1" t="s">
        <v>9913</v>
      </c>
      <c r="I1237" s="1" t="s">
        <v>9914</v>
      </c>
      <c r="J1237" s="1" t="s">
        <v>72</v>
      </c>
      <c r="K1237" s="1" t="s">
        <v>39</v>
      </c>
      <c r="L1237" s="1" t="s">
        <v>9915</v>
      </c>
      <c r="M1237" s="1" t="s">
        <v>141</v>
      </c>
      <c r="N1237" s="1"/>
      <c r="O1237" s="1" t="s">
        <v>7563</v>
      </c>
      <c r="P1237" s="1"/>
      <c r="Q1237" s="1" t="s">
        <v>7651</v>
      </c>
      <c r="R1237" s="1" t="s">
        <v>6962</v>
      </c>
      <c r="S1237" s="1" t="s">
        <v>9916</v>
      </c>
      <c r="T1237" s="15">
        <v>2025</v>
      </c>
      <c r="U1237" s="3" t="s">
        <v>5765</v>
      </c>
      <c r="V1237" s="3" t="s">
        <v>29</v>
      </c>
      <c r="X1237">
        <v>5</v>
      </c>
      <c r="Z1237" t="s">
        <v>3828</v>
      </c>
      <c r="AA1237" t="s">
        <v>7497</v>
      </c>
      <c r="AB1237" s="14" t="s">
        <v>3885</v>
      </c>
      <c r="AD1237" t="s">
        <v>9946</v>
      </c>
    </row>
    <row r="1238" spans="1:30" customFormat="1" hidden="1" x14ac:dyDescent="0.3">
      <c r="A1238" s="1" t="s">
        <v>9917</v>
      </c>
      <c r="B1238" s="1" t="s">
        <v>4306</v>
      </c>
      <c r="C1238" s="1" t="s">
        <v>68</v>
      </c>
      <c r="D1238" s="1" t="s">
        <v>9918</v>
      </c>
      <c r="E1238" s="1" t="s">
        <v>9919</v>
      </c>
      <c r="F1238" s="1" t="s">
        <v>9920</v>
      </c>
      <c r="G1238" s="1" t="s">
        <v>9921</v>
      </c>
      <c r="H1238" s="1"/>
      <c r="I1238" s="1"/>
      <c r="J1238" s="1" t="s">
        <v>5850</v>
      </c>
      <c r="K1238" s="1" t="s">
        <v>39</v>
      </c>
      <c r="L1238" s="1" t="s">
        <v>9922</v>
      </c>
      <c r="M1238" s="1" t="s">
        <v>42</v>
      </c>
      <c r="N1238" s="1"/>
      <c r="O1238" s="1" t="s">
        <v>7563</v>
      </c>
      <c r="P1238" s="1"/>
      <c r="Q1238" s="1" t="s">
        <v>7651</v>
      </c>
      <c r="R1238" s="1" t="s">
        <v>5359</v>
      </c>
      <c r="S1238" s="1" t="s">
        <v>9923</v>
      </c>
      <c r="T1238" s="15">
        <v>2025</v>
      </c>
      <c r="U1238" s="3" t="s">
        <v>5765</v>
      </c>
      <c r="V1238" s="3" t="s">
        <v>29</v>
      </c>
      <c r="X1238">
        <v>5</v>
      </c>
      <c r="Z1238" t="s">
        <v>3828</v>
      </c>
      <c r="AA1238" t="s">
        <v>9951</v>
      </c>
      <c r="AB1238" s="14" t="s">
        <v>3887</v>
      </c>
      <c r="AD1238" t="s">
        <v>764</v>
      </c>
    </row>
    <row r="1239" spans="1:30" customFormat="1" ht="27.6" hidden="1" x14ac:dyDescent="0.3">
      <c r="A1239" s="1"/>
      <c r="B1239" s="1" t="s">
        <v>9924</v>
      </c>
      <c r="C1239" s="1" t="s">
        <v>9925</v>
      </c>
      <c r="D1239" s="1" t="s">
        <v>9926</v>
      </c>
      <c r="E1239" s="1"/>
      <c r="F1239" s="1" t="s">
        <v>9927</v>
      </c>
      <c r="G1239" s="1"/>
      <c r="H1239" s="1"/>
      <c r="I1239" s="1"/>
      <c r="J1239" s="1" t="s">
        <v>1060</v>
      </c>
      <c r="K1239" s="1" t="s">
        <v>39</v>
      </c>
      <c r="L1239" s="1" t="s">
        <v>9928</v>
      </c>
      <c r="M1239" s="1" t="s">
        <v>42</v>
      </c>
      <c r="N1239" s="1" t="s">
        <v>9929</v>
      </c>
      <c r="O1239" s="1" t="s">
        <v>7563</v>
      </c>
      <c r="P1239" s="1"/>
      <c r="Q1239" s="1" t="s">
        <v>7651</v>
      </c>
      <c r="R1239" s="1" t="s">
        <v>5359</v>
      </c>
      <c r="S1239" s="1" t="s">
        <v>9930</v>
      </c>
      <c r="T1239" s="15">
        <v>2025</v>
      </c>
      <c r="U1239" s="3" t="s">
        <v>5765</v>
      </c>
      <c r="V1239" s="3" t="s">
        <v>29</v>
      </c>
      <c r="X1239">
        <v>5</v>
      </c>
      <c r="Z1239" t="s">
        <v>3828</v>
      </c>
      <c r="AA1239" t="s">
        <v>9952</v>
      </c>
      <c r="AB1239" s="14" t="s">
        <v>3888</v>
      </c>
      <c r="AD1239" t="s">
        <v>764</v>
      </c>
    </row>
    <row r="1240" spans="1:30" customFormat="1" ht="55.2" hidden="1" x14ac:dyDescent="0.3">
      <c r="A1240" s="1"/>
      <c r="B1240" s="1" t="s">
        <v>9931</v>
      </c>
      <c r="C1240" s="1" t="s">
        <v>1882</v>
      </c>
      <c r="D1240" s="1" t="s">
        <v>9932</v>
      </c>
      <c r="E1240" s="1" t="s">
        <v>9933</v>
      </c>
      <c r="F1240" s="1" t="s">
        <v>9934</v>
      </c>
      <c r="G1240" s="1"/>
      <c r="H1240" s="1" t="s">
        <v>5445</v>
      </c>
      <c r="I1240" s="1" t="s">
        <v>9935</v>
      </c>
      <c r="J1240" s="1" t="s">
        <v>9900</v>
      </c>
      <c r="K1240" s="1" t="s">
        <v>92</v>
      </c>
      <c r="L1240" s="1" t="s">
        <v>9936</v>
      </c>
      <c r="M1240" s="1" t="s">
        <v>141</v>
      </c>
      <c r="N1240" s="1"/>
      <c r="O1240" s="1" t="s">
        <v>7563</v>
      </c>
      <c r="P1240" s="1"/>
      <c r="Q1240" s="1" t="s">
        <v>7651</v>
      </c>
      <c r="R1240" s="1" t="s">
        <v>6962</v>
      </c>
      <c r="S1240" s="1" t="s">
        <v>9937</v>
      </c>
      <c r="T1240" s="15">
        <v>2025</v>
      </c>
      <c r="U1240" s="3" t="s">
        <v>5765</v>
      </c>
      <c r="V1240" s="3" t="s">
        <v>29</v>
      </c>
      <c r="X1240">
        <v>5</v>
      </c>
      <c r="Z1240" t="s">
        <v>3828</v>
      </c>
      <c r="AA1240" t="s">
        <v>9953</v>
      </c>
      <c r="AB1240" s="14" t="s">
        <v>3887</v>
      </c>
      <c r="AD1240" t="s">
        <v>764</v>
      </c>
    </row>
    <row r="1241" spans="1:30" customFormat="1" hidden="1" x14ac:dyDescent="0.3">
      <c r="A1241" s="1"/>
      <c r="B1241" s="1" t="s">
        <v>196</v>
      </c>
      <c r="C1241" s="1" t="s">
        <v>494</v>
      </c>
      <c r="D1241" s="1" t="s">
        <v>9938</v>
      </c>
      <c r="E1241" s="1"/>
      <c r="F1241" s="1" t="s">
        <v>9939</v>
      </c>
      <c r="G1241" s="1" t="s">
        <v>9940</v>
      </c>
      <c r="H1241" s="1" t="s">
        <v>9941</v>
      </c>
      <c r="I1241" s="1" t="s">
        <v>9942</v>
      </c>
      <c r="J1241" s="1" t="s">
        <v>72</v>
      </c>
      <c r="K1241" s="1" t="s">
        <v>39</v>
      </c>
      <c r="L1241" s="1" t="s">
        <v>9943</v>
      </c>
      <c r="M1241" s="1" t="s">
        <v>141</v>
      </c>
      <c r="N1241" s="1"/>
      <c r="O1241" s="1" t="s">
        <v>7563</v>
      </c>
      <c r="P1241" s="1"/>
      <c r="Q1241" s="1" t="s">
        <v>7651</v>
      </c>
      <c r="R1241" s="1" t="s">
        <v>6962</v>
      </c>
      <c r="S1241" s="1" t="s">
        <v>9944</v>
      </c>
      <c r="T1241" s="15">
        <v>2025</v>
      </c>
      <c r="U1241" s="3" t="s">
        <v>5765</v>
      </c>
      <c r="V1241" s="3" t="s">
        <v>29</v>
      </c>
      <c r="X1241">
        <v>5</v>
      </c>
      <c r="Z1241" t="s">
        <v>3828</v>
      </c>
      <c r="AA1241" t="s">
        <v>8741</v>
      </c>
      <c r="AB1241" s="14" t="s">
        <v>3887</v>
      </c>
      <c r="AD1241" t="s">
        <v>764</v>
      </c>
    </row>
    <row r="1242" spans="1:30" customFormat="1" ht="55.2" hidden="1" x14ac:dyDescent="0.3">
      <c r="A1242" s="1"/>
      <c r="B1242" s="4" t="s">
        <v>9956</v>
      </c>
      <c r="C1242" s="4" t="s">
        <v>557</v>
      </c>
      <c r="D1242" s="1" t="s">
        <v>9957</v>
      </c>
      <c r="E1242" s="1" t="s">
        <v>9958</v>
      </c>
      <c r="F1242" s="1" t="s">
        <v>9959</v>
      </c>
      <c r="G1242" s="1" t="s">
        <v>9960</v>
      </c>
      <c r="H1242" s="1" t="s">
        <v>9961</v>
      </c>
      <c r="I1242" s="1" t="s">
        <v>9962</v>
      </c>
      <c r="J1242" s="1" t="s">
        <v>382</v>
      </c>
      <c r="K1242" s="1" t="s">
        <v>92</v>
      </c>
      <c r="L1242" s="1" t="s">
        <v>9963</v>
      </c>
      <c r="M1242" s="1" t="s">
        <v>141</v>
      </c>
      <c r="N1242" s="1"/>
      <c r="O1242" s="1" t="s">
        <v>7563</v>
      </c>
      <c r="P1242" s="1"/>
      <c r="Q1242" s="1" t="s">
        <v>7651</v>
      </c>
      <c r="R1242" s="1" t="s">
        <v>6962</v>
      </c>
      <c r="S1242" s="1" t="s">
        <v>9964</v>
      </c>
      <c r="T1242" s="15">
        <v>2025</v>
      </c>
      <c r="U1242" s="3" t="s">
        <v>5765</v>
      </c>
      <c r="V1242" s="3" t="s">
        <v>29</v>
      </c>
      <c r="X1242">
        <v>5</v>
      </c>
      <c r="Z1242" t="s">
        <v>3835</v>
      </c>
      <c r="AA1242" t="s">
        <v>8587</v>
      </c>
      <c r="AB1242" s="14" t="s">
        <v>3884</v>
      </c>
      <c r="AD1242" t="s">
        <v>764</v>
      </c>
    </row>
    <row r="1243" spans="1:30" customFormat="1" hidden="1" x14ac:dyDescent="0.3">
      <c r="A1243" s="1"/>
      <c r="B1243" s="1" t="s">
        <v>9965</v>
      </c>
      <c r="C1243" s="1" t="s">
        <v>346</v>
      </c>
      <c r="D1243" s="1" t="s">
        <v>9966</v>
      </c>
      <c r="E1243" s="1"/>
      <c r="F1243" s="1" t="s">
        <v>9967</v>
      </c>
      <c r="G1243" s="1"/>
      <c r="H1243" s="1"/>
      <c r="I1243" s="1"/>
      <c r="J1243" s="1" t="s">
        <v>2926</v>
      </c>
      <c r="K1243" s="1" t="s">
        <v>39</v>
      </c>
      <c r="L1243" s="1" t="s">
        <v>4583</v>
      </c>
      <c r="M1243" s="1" t="s">
        <v>141</v>
      </c>
      <c r="N1243" s="1"/>
      <c r="O1243" s="1" t="s">
        <v>7563</v>
      </c>
      <c r="P1243" s="1"/>
      <c r="Q1243" s="1" t="s">
        <v>7651</v>
      </c>
      <c r="R1243" s="1" t="s">
        <v>6962</v>
      </c>
      <c r="S1243" s="1" t="s">
        <v>9968</v>
      </c>
      <c r="T1243" s="15">
        <v>2025</v>
      </c>
      <c r="U1243" s="3" t="s">
        <v>5765</v>
      </c>
      <c r="V1243" s="3" t="s">
        <v>29</v>
      </c>
      <c r="X1243">
        <v>5</v>
      </c>
      <c r="Z1243" t="s">
        <v>3828</v>
      </c>
      <c r="AA1243" t="s">
        <v>7364</v>
      </c>
      <c r="AB1243" s="14" t="s">
        <v>3888</v>
      </c>
      <c r="AD1243" t="s">
        <v>764</v>
      </c>
    </row>
    <row r="1244" spans="1:30" customFormat="1" ht="41.4" hidden="1" x14ac:dyDescent="0.3">
      <c r="A1244" s="1" t="s">
        <v>9969</v>
      </c>
      <c r="B1244" s="1" t="s">
        <v>9970</v>
      </c>
      <c r="C1244" s="1" t="s">
        <v>9971</v>
      </c>
      <c r="D1244" s="1" t="s">
        <v>9972</v>
      </c>
      <c r="E1244" s="1" t="s">
        <v>9973</v>
      </c>
      <c r="F1244" s="1" t="s">
        <v>9974</v>
      </c>
      <c r="G1244" s="1" t="s">
        <v>9975</v>
      </c>
      <c r="H1244" s="1" t="s">
        <v>9976</v>
      </c>
      <c r="I1244" s="1" t="s">
        <v>8291</v>
      </c>
      <c r="J1244" s="1" t="s">
        <v>9977</v>
      </c>
      <c r="K1244" s="1" t="s">
        <v>39</v>
      </c>
      <c r="L1244" s="1" t="s">
        <v>4367</v>
      </c>
      <c r="M1244" s="1" t="s">
        <v>141</v>
      </c>
      <c r="N1244" s="1"/>
      <c r="O1244" s="1" t="s">
        <v>7563</v>
      </c>
      <c r="P1244" s="1"/>
      <c r="Q1244" s="1" t="s">
        <v>7651</v>
      </c>
      <c r="R1244" s="1" t="s">
        <v>5359</v>
      </c>
      <c r="S1244" s="1" t="s">
        <v>9978</v>
      </c>
      <c r="T1244" s="15">
        <v>2025</v>
      </c>
      <c r="U1244" s="3" t="s">
        <v>5765</v>
      </c>
      <c r="V1244" s="3" t="s">
        <v>29</v>
      </c>
      <c r="X1244">
        <v>5</v>
      </c>
      <c r="Z1244" t="s">
        <v>3828</v>
      </c>
      <c r="AA1244" t="s">
        <v>8717</v>
      </c>
      <c r="AB1244" s="14" t="s">
        <v>3888</v>
      </c>
      <c r="AD1244" t="s">
        <v>764</v>
      </c>
    </row>
    <row r="1245" spans="1:30" customFormat="1" ht="27.6" hidden="1" x14ac:dyDescent="0.3">
      <c r="A1245" s="1"/>
      <c r="B1245" s="1" t="s">
        <v>8190</v>
      </c>
      <c r="C1245" s="1" t="s">
        <v>370</v>
      </c>
      <c r="D1245" s="1" t="s">
        <v>9979</v>
      </c>
      <c r="E1245" s="1"/>
      <c r="F1245" s="1" t="s">
        <v>9980</v>
      </c>
      <c r="G1245" s="1"/>
      <c r="H1245" s="1"/>
      <c r="I1245" s="1"/>
      <c r="J1245" s="1" t="s">
        <v>72</v>
      </c>
      <c r="K1245" s="1" t="s">
        <v>39</v>
      </c>
      <c r="L1245" s="1" t="s">
        <v>9981</v>
      </c>
      <c r="M1245" s="1" t="s">
        <v>141</v>
      </c>
      <c r="N1245" s="1"/>
      <c r="O1245" s="1" t="s">
        <v>7563</v>
      </c>
      <c r="P1245" s="1"/>
      <c r="Q1245" s="1" t="s">
        <v>7651</v>
      </c>
      <c r="R1245" s="1" t="s">
        <v>6962</v>
      </c>
      <c r="S1245" s="1" t="s">
        <v>9982</v>
      </c>
      <c r="T1245" s="15">
        <v>2025</v>
      </c>
      <c r="U1245" s="3" t="s">
        <v>5765</v>
      </c>
      <c r="V1245" s="3" t="s">
        <v>29</v>
      </c>
      <c r="X1245">
        <v>5</v>
      </c>
      <c r="Z1245" t="s">
        <v>2148</v>
      </c>
      <c r="AA1245" t="s">
        <v>10073</v>
      </c>
      <c r="AB1245" s="14" t="s">
        <v>4594</v>
      </c>
      <c r="AD1245" t="s">
        <v>764</v>
      </c>
    </row>
    <row r="1246" spans="1:30" customFormat="1" hidden="1" x14ac:dyDescent="0.3">
      <c r="A1246" s="1"/>
      <c r="B1246" s="1" t="s">
        <v>9983</v>
      </c>
      <c r="C1246" s="1" t="s">
        <v>915</v>
      </c>
      <c r="D1246" s="1" t="s">
        <v>9984</v>
      </c>
      <c r="E1246" s="1" t="s">
        <v>9985</v>
      </c>
      <c r="F1246" s="1" t="s">
        <v>9986</v>
      </c>
      <c r="G1246" s="1" t="s">
        <v>9987</v>
      </c>
      <c r="H1246" s="1"/>
      <c r="I1246" s="1" t="s">
        <v>9988</v>
      </c>
      <c r="J1246" s="1" t="s">
        <v>3238</v>
      </c>
      <c r="K1246" s="1" t="s">
        <v>39</v>
      </c>
      <c r="L1246" s="1" t="s">
        <v>9989</v>
      </c>
      <c r="M1246" s="1" t="s">
        <v>42</v>
      </c>
      <c r="N1246" s="1"/>
      <c r="O1246" s="1" t="s">
        <v>7563</v>
      </c>
      <c r="P1246" s="1"/>
      <c r="Q1246" s="1" t="s">
        <v>7651</v>
      </c>
      <c r="R1246" s="1" t="s">
        <v>6962</v>
      </c>
      <c r="S1246" s="1" t="s">
        <v>9990</v>
      </c>
      <c r="T1246" s="15">
        <v>2025</v>
      </c>
      <c r="U1246" s="3" t="s">
        <v>5765</v>
      </c>
      <c r="V1246" s="3" t="s">
        <v>29</v>
      </c>
      <c r="X1246">
        <v>5</v>
      </c>
      <c r="Y1246" s="44">
        <v>45899</v>
      </c>
      <c r="Z1246" t="s">
        <v>3835</v>
      </c>
      <c r="AA1246" t="s">
        <v>4867</v>
      </c>
      <c r="AB1246" s="14" t="s">
        <v>3884</v>
      </c>
      <c r="AD1246" t="s">
        <v>764</v>
      </c>
    </row>
    <row r="1247" spans="1:30" customFormat="1" hidden="1" x14ac:dyDescent="0.3">
      <c r="A1247" s="1"/>
      <c r="B1247" s="1" t="s">
        <v>9991</v>
      </c>
      <c r="C1247" s="1" t="s">
        <v>9992</v>
      </c>
      <c r="D1247" s="1" t="s">
        <v>9993</v>
      </c>
      <c r="E1247" s="1" t="s">
        <v>9994</v>
      </c>
      <c r="F1247" s="1" t="s">
        <v>9995</v>
      </c>
      <c r="G1247" s="1" t="s">
        <v>9996</v>
      </c>
      <c r="H1247" s="1" t="s">
        <v>9997</v>
      </c>
      <c r="I1247" s="1"/>
      <c r="J1247" s="1" t="s">
        <v>9998</v>
      </c>
      <c r="K1247" s="1" t="s">
        <v>39</v>
      </c>
      <c r="L1247" s="1" t="s">
        <v>9999</v>
      </c>
      <c r="M1247" s="1" t="s">
        <v>141</v>
      </c>
      <c r="N1247" s="1"/>
      <c r="O1247" s="1" t="s">
        <v>7563</v>
      </c>
      <c r="P1247" s="1"/>
      <c r="Q1247" s="1" t="s">
        <v>7651</v>
      </c>
      <c r="R1247" s="1" t="s">
        <v>5359</v>
      </c>
      <c r="S1247" s="1" t="s">
        <v>10000</v>
      </c>
      <c r="T1247" s="15">
        <v>2025</v>
      </c>
      <c r="U1247" s="3" t="s">
        <v>5765</v>
      </c>
      <c r="V1247" s="3" t="s">
        <v>29</v>
      </c>
      <c r="X1247">
        <v>5</v>
      </c>
      <c r="Z1247" t="s">
        <v>3870</v>
      </c>
      <c r="AA1247" t="s">
        <v>9500</v>
      </c>
      <c r="AB1247" s="14" t="s">
        <v>3886</v>
      </c>
      <c r="AD1247" t="s">
        <v>764</v>
      </c>
    </row>
    <row r="1248" spans="1:30" customFormat="1" hidden="1" x14ac:dyDescent="0.3">
      <c r="A1248" s="1"/>
      <c r="B1248" s="1" t="s">
        <v>8849</v>
      </c>
      <c r="C1248" s="1" t="s">
        <v>1415</v>
      </c>
      <c r="D1248" s="1" t="s">
        <v>10001</v>
      </c>
      <c r="E1248" s="1" t="s">
        <v>10002</v>
      </c>
      <c r="F1248" s="1" t="s">
        <v>10003</v>
      </c>
      <c r="G1248" s="1" t="s">
        <v>10004</v>
      </c>
      <c r="H1248" s="1" t="s">
        <v>10005</v>
      </c>
      <c r="I1248" s="1" t="s">
        <v>10006</v>
      </c>
      <c r="J1248" s="1" t="s">
        <v>3658</v>
      </c>
      <c r="K1248" s="1" t="s">
        <v>39</v>
      </c>
      <c r="L1248" s="1" t="s">
        <v>10007</v>
      </c>
      <c r="M1248" s="1" t="s">
        <v>141</v>
      </c>
      <c r="N1248" s="1"/>
      <c r="O1248" s="1" t="s">
        <v>7563</v>
      </c>
      <c r="P1248" s="1"/>
      <c r="Q1248" s="1" t="s">
        <v>7651</v>
      </c>
      <c r="R1248" s="1" t="s">
        <v>5359</v>
      </c>
      <c r="S1248" s="1" t="s">
        <v>10008</v>
      </c>
      <c r="T1248" s="15">
        <v>2025</v>
      </c>
      <c r="U1248" s="3" t="s">
        <v>5765</v>
      </c>
      <c r="V1248" s="3" t="s">
        <v>29</v>
      </c>
      <c r="X1248">
        <v>10</v>
      </c>
      <c r="Z1248" t="s">
        <v>3835</v>
      </c>
      <c r="AA1248" t="s">
        <v>7617</v>
      </c>
      <c r="AB1248" s="14" t="s">
        <v>3884</v>
      </c>
      <c r="AD1248" t="s">
        <v>764</v>
      </c>
    </row>
    <row r="1249" spans="1:30" customFormat="1" ht="55.2" hidden="1" x14ac:dyDescent="0.3">
      <c r="A1249" s="1" t="s">
        <v>254</v>
      </c>
      <c r="B1249" s="1" t="s">
        <v>10009</v>
      </c>
      <c r="C1249" s="1" t="s">
        <v>10010</v>
      </c>
      <c r="D1249" s="1" t="s">
        <v>10011</v>
      </c>
      <c r="E1249" s="1" t="s">
        <v>10012</v>
      </c>
      <c r="F1249" s="1" t="s">
        <v>10013</v>
      </c>
      <c r="G1249" s="1"/>
      <c r="H1249" s="1"/>
      <c r="I1249" s="1"/>
      <c r="J1249" s="1" t="s">
        <v>10014</v>
      </c>
      <c r="K1249" s="1" t="s">
        <v>92</v>
      </c>
      <c r="L1249" s="1" t="s">
        <v>10015</v>
      </c>
      <c r="M1249" s="1" t="s">
        <v>141</v>
      </c>
      <c r="N1249" s="1"/>
      <c r="O1249" s="1" t="s">
        <v>7563</v>
      </c>
      <c r="P1249" s="1" t="s">
        <v>7724</v>
      </c>
      <c r="Q1249" s="1"/>
      <c r="R1249" s="1" t="s">
        <v>6962</v>
      </c>
      <c r="S1249" s="1" t="s">
        <v>10016</v>
      </c>
      <c r="T1249" s="15">
        <v>2025</v>
      </c>
      <c r="U1249" s="3" t="s">
        <v>5765</v>
      </c>
      <c r="V1249" s="3" t="s">
        <v>29</v>
      </c>
      <c r="X1249">
        <v>5</v>
      </c>
      <c r="Z1249" t="s">
        <v>3835</v>
      </c>
      <c r="AA1249" t="s">
        <v>8467</v>
      </c>
      <c r="AB1249" s="14" t="s">
        <v>3884</v>
      </c>
      <c r="AD1249" t="s">
        <v>10074</v>
      </c>
    </row>
    <row r="1250" spans="1:30" customFormat="1" hidden="1" x14ac:dyDescent="0.3">
      <c r="A1250" s="1"/>
      <c r="B1250" s="1" t="s">
        <v>5814</v>
      </c>
      <c r="C1250" s="1" t="s">
        <v>87</v>
      </c>
      <c r="D1250" s="1" t="s">
        <v>10017</v>
      </c>
      <c r="E1250" s="1"/>
      <c r="F1250" s="1" t="s">
        <v>10018</v>
      </c>
      <c r="G1250" s="1" t="s">
        <v>10019</v>
      </c>
      <c r="H1250" s="1" t="s">
        <v>10020</v>
      </c>
      <c r="I1250" s="1" t="s">
        <v>10021</v>
      </c>
      <c r="J1250" s="1" t="s">
        <v>7623</v>
      </c>
      <c r="K1250" s="1" t="s">
        <v>39</v>
      </c>
      <c r="L1250" s="1" t="s">
        <v>10022</v>
      </c>
      <c r="M1250" s="1" t="s">
        <v>141</v>
      </c>
      <c r="N1250" s="1"/>
      <c r="O1250" s="1" t="s">
        <v>7563</v>
      </c>
      <c r="P1250" s="1" t="s">
        <v>7724</v>
      </c>
      <c r="Q1250" s="1"/>
      <c r="R1250" s="1" t="s">
        <v>6962</v>
      </c>
      <c r="S1250" s="1" t="s">
        <v>10023</v>
      </c>
      <c r="T1250" s="15">
        <v>2025</v>
      </c>
      <c r="U1250" s="3" t="s">
        <v>5765</v>
      </c>
      <c r="V1250" s="3" t="s">
        <v>29</v>
      </c>
      <c r="X1250">
        <v>5</v>
      </c>
      <c r="Z1250" t="s">
        <v>3828</v>
      </c>
      <c r="AA1250" t="s">
        <v>8717</v>
      </c>
      <c r="AB1250" s="14" t="s">
        <v>3888</v>
      </c>
      <c r="AD1250" t="s">
        <v>764</v>
      </c>
    </row>
    <row r="1251" spans="1:30" customFormat="1" hidden="1" x14ac:dyDescent="0.3">
      <c r="A1251" s="1"/>
      <c r="B1251" s="1" t="s">
        <v>10024</v>
      </c>
      <c r="C1251" s="1" t="s">
        <v>1867</v>
      </c>
      <c r="D1251" s="1" t="s">
        <v>10025</v>
      </c>
      <c r="E1251" s="1" t="s">
        <v>10026</v>
      </c>
      <c r="F1251" s="1" t="s">
        <v>10027</v>
      </c>
      <c r="G1251" s="1"/>
      <c r="H1251" s="1"/>
      <c r="I1251" s="1"/>
      <c r="J1251" s="1" t="s">
        <v>10028</v>
      </c>
      <c r="K1251" s="1" t="s">
        <v>39</v>
      </c>
      <c r="L1251" s="1" t="s">
        <v>10029</v>
      </c>
      <c r="M1251" s="1" t="s">
        <v>42</v>
      </c>
      <c r="N1251" s="1"/>
      <c r="O1251" s="1" t="s">
        <v>7563</v>
      </c>
      <c r="P1251" s="1"/>
      <c r="Q1251" s="1" t="s">
        <v>7651</v>
      </c>
      <c r="R1251" s="1" t="s">
        <v>6962</v>
      </c>
      <c r="S1251" s="1" t="s">
        <v>10030</v>
      </c>
      <c r="T1251" s="15">
        <v>2025</v>
      </c>
      <c r="U1251" s="3" t="s">
        <v>5765</v>
      </c>
      <c r="V1251" s="3" t="s">
        <v>29</v>
      </c>
      <c r="X1251">
        <v>5</v>
      </c>
      <c r="Z1251" t="s">
        <v>2148</v>
      </c>
      <c r="AA1251" t="s">
        <v>8612</v>
      </c>
      <c r="AB1251" s="14" t="s">
        <v>3890</v>
      </c>
      <c r="AD1251" t="s">
        <v>764</v>
      </c>
    </row>
    <row r="1252" spans="1:30" customFormat="1" ht="41.4" hidden="1" x14ac:dyDescent="0.3">
      <c r="A1252" s="1"/>
      <c r="B1252" s="1" t="s">
        <v>10031</v>
      </c>
      <c r="C1252" s="1" t="s">
        <v>60</v>
      </c>
      <c r="D1252" s="1" t="s">
        <v>10032</v>
      </c>
      <c r="E1252" s="1" t="s">
        <v>10033</v>
      </c>
      <c r="F1252" s="1" t="s">
        <v>10034</v>
      </c>
      <c r="G1252" s="1" t="s">
        <v>10035</v>
      </c>
      <c r="H1252" s="1" t="s">
        <v>4797</v>
      </c>
      <c r="I1252" s="1" t="s">
        <v>10036</v>
      </c>
      <c r="J1252" s="1" t="s">
        <v>339</v>
      </c>
      <c r="K1252" s="1" t="s">
        <v>39</v>
      </c>
      <c r="L1252" s="1" t="s">
        <v>1144</v>
      </c>
      <c r="M1252" s="1" t="s">
        <v>141</v>
      </c>
      <c r="N1252" s="1"/>
      <c r="O1252" s="1" t="s">
        <v>7563</v>
      </c>
      <c r="P1252" s="1"/>
      <c r="Q1252" s="1" t="s">
        <v>7651</v>
      </c>
      <c r="R1252" s="1" t="s">
        <v>5359</v>
      </c>
      <c r="S1252" s="1" t="s">
        <v>10037</v>
      </c>
      <c r="T1252" s="15">
        <v>2025</v>
      </c>
      <c r="U1252" s="3" t="s">
        <v>5765</v>
      </c>
      <c r="V1252" s="3" t="s">
        <v>29</v>
      </c>
      <c r="X1252">
        <v>5</v>
      </c>
      <c r="Z1252" t="s">
        <v>3828</v>
      </c>
      <c r="AA1252" t="s">
        <v>10075</v>
      </c>
      <c r="AB1252" s="14" t="s">
        <v>3888</v>
      </c>
      <c r="AD1252" t="s">
        <v>764</v>
      </c>
    </row>
    <row r="1253" spans="1:30" customFormat="1" hidden="1" x14ac:dyDescent="0.3">
      <c r="A1253" s="1"/>
      <c r="B1253" s="59" t="s">
        <v>10039</v>
      </c>
      <c r="C1253" s="59" t="s">
        <v>10038</v>
      </c>
      <c r="D1253" s="1" t="s">
        <v>10040</v>
      </c>
      <c r="E1253" s="1" t="s">
        <v>10041</v>
      </c>
      <c r="F1253" s="1" t="s">
        <v>10042</v>
      </c>
      <c r="G1253" s="1"/>
      <c r="H1253" s="1"/>
      <c r="I1253" s="1"/>
      <c r="J1253" s="1" t="s">
        <v>72</v>
      </c>
      <c r="K1253" s="1" t="s">
        <v>39</v>
      </c>
      <c r="L1253" s="1" t="s">
        <v>9692</v>
      </c>
      <c r="M1253" s="1" t="s">
        <v>141</v>
      </c>
      <c r="N1253" s="1"/>
      <c r="O1253" s="1" t="s">
        <v>7563</v>
      </c>
      <c r="P1253" s="1" t="s">
        <v>7724</v>
      </c>
      <c r="Q1253" s="1"/>
      <c r="R1253" s="1" t="s">
        <v>6962</v>
      </c>
      <c r="S1253" s="1" t="s">
        <v>10043</v>
      </c>
      <c r="V1253" s="3" t="s">
        <v>10080</v>
      </c>
      <c r="W1253" t="s">
        <v>10078</v>
      </c>
      <c r="X1253">
        <v>5</v>
      </c>
    </row>
    <row r="1254" spans="1:30" customFormat="1" x14ac:dyDescent="0.3">
      <c r="A1254" s="1"/>
      <c r="B1254" s="1" t="s">
        <v>10044</v>
      </c>
      <c r="C1254" s="1" t="s">
        <v>9357</v>
      </c>
      <c r="D1254" s="1" t="s">
        <v>10045</v>
      </c>
      <c r="E1254" s="1" t="s">
        <v>10046</v>
      </c>
      <c r="F1254" s="1" t="s">
        <v>10047</v>
      </c>
      <c r="G1254" s="1"/>
      <c r="H1254" s="1"/>
      <c r="I1254" s="1"/>
      <c r="J1254" s="1" t="s">
        <v>72</v>
      </c>
      <c r="K1254" s="1" t="s">
        <v>39</v>
      </c>
      <c r="L1254" s="1" t="s">
        <v>10048</v>
      </c>
      <c r="M1254" s="1" t="s">
        <v>42</v>
      </c>
      <c r="N1254" s="1"/>
      <c r="O1254" s="1" t="s">
        <v>7563</v>
      </c>
      <c r="P1254" s="1"/>
      <c r="Q1254" s="1" t="s">
        <v>7651</v>
      </c>
      <c r="R1254" s="1" t="s">
        <v>6962</v>
      </c>
      <c r="S1254" s="1" t="s">
        <v>10049</v>
      </c>
      <c r="T1254" s="15">
        <v>2025</v>
      </c>
      <c r="U1254" s="3" t="s">
        <v>5765</v>
      </c>
      <c r="V1254" s="3" t="s">
        <v>29</v>
      </c>
      <c r="Y1254" s="44">
        <v>45899</v>
      </c>
      <c r="Z1254" t="s">
        <v>2148</v>
      </c>
      <c r="AA1254" t="s">
        <v>9491</v>
      </c>
      <c r="AB1254" s="14" t="s">
        <v>3890</v>
      </c>
      <c r="AD1254" t="s">
        <v>764</v>
      </c>
    </row>
    <row r="1255" spans="1:30" customFormat="1" ht="41.4" hidden="1" x14ac:dyDescent="0.3">
      <c r="A1255" s="1"/>
      <c r="B1255" s="1" t="s">
        <v>10050</v>
      </c>
      <c r="C1255" s="1" t="s">
        <v>229</v>
      </c>
      <c r="D1255" s="1" t="s">
        <v>10051</v>
      </c>
      <c r="E1255" s="1" t="s">
        <v>10052</v>
      </c>
      <c r="F1255" s="1" t="s">
        <v>10053</v>
      </c>
      <c r="G1255" s="1" t="s">
        <v>10054</v>
      </c>
      <c r="H1255" s="1"/>
      <c r="I1255" s="1"/>
      <c r="J1255" s="1" t="s">
        <v>72</v>
      </c>
      <c r="K1255" s="1" t="s">
        <v>39</v>
      </c>
      <c r="L1255" s="1" t="s">
        <v>1144</v>
      </c>
      <c r="M1255" s="1" t="s">
        <v>141</v>
      </c>
      <c r="N1255" s="1"/>
      <c r="O1255" s="1" t="s">
        <v>7563</v>
      </c>
      <c r="P1255" s="1"/>
      <c r="Q1255" s="1" t="s">
        <v>7651</v>
      </c>
      <c r="R1255" s="1" t="s">
        <v>6962</v>
      </c>
      <c r="S1255" s="1" t="s">
        <v>10055</v>
      </c>
      <c r="T1255" s="15">
        <v>2025</v>
      </c>
      <c r="U1255" s="3" t="s">
        <v>5765</v>
      </c>
      <c r="V1255" s="3" t="s">
        <v>29</v>
      </c>
      <c r="X1255">
        <v>5</v>
      </c>
      <c r="Z1255" t="s">
        <v>3828</v>
      </c>
      <c r="AA1255" t="s">
        <v>8717</v>
      </c>
      <c r="AB1255" s="14" t="s">
        <v>3888</v>
      </c>
      <c r="AD1255" t="s">
        <v>764</v>
      </c>
    </row>
    <row r="1256" spans="1:30" customFormat="1" ht="55.2" hidden="1" x14ac:dyDescent="0.3">
      <c r="A1256" s="1" t="s">
        <v>10056</v>
      </c>
      <c r="B1256" s="58" t="s">
        <v>10057</v>
      </c>
      <c r="C1256" s="58" t="s">
        <v>8661</v>
      </c>
      <c r="D1256" s="1" t="s">
        <v>10058</v>
      </c>
      <c r="E1256" s="1" t="s">
        <v>10059</v>
      </c>
      <c r="F1256" s="1" t="s">
        <v>10060</v>
      </c>
      <c r="G1256" s="1" t="s">
        <v>10061</v>
      </c>
      <c r="H1256" s="1" t="s">
        <v>1408</v>
      </c>
      <c r="I1256" s="1" t="s">
        <v>10062</v>
      </c>
      <c r="J1256" s="1" t="s">
        <v>10063</v>
      </c>
      <c r="K1256" s="1" t="s">
        <v>39</v>
      </c>
      <c r="L1256" s="1" t="s">
        <v>10064</v>
      </c>
      <c r="M1256" s="1" t="s">
        <v>42</v>
      </c>
      <c r="N1256" s="1"/>
      <c r="O1256" s="1" t="s">
        <v>7563</v>
      </c>
      <c r="P1256" s="1"/>
      <c r="Q1256" s="1" t="s">
        <v>7651</v>
      </c>
      <c r="R1256" s="1" t="s">
        <v>5359</v>
      </c>
      <c r="S1256" s="1" t="s">
        <v>10065</v>
      </c>
      <c r="V1256" s="3" t="s">
        <v>10080</v>
      </c>
      <c r="W1256" t="s">
        <v>10078</v>
      </c>
      <c r="X1256" t="s">
        <v>376</v>
      </c>
    </row>
    <row r="1257" spans="1:30" customFormat="1" hidden="1" x14ac:dyDescent="0.3">
      <c r="A1257" s="1" t="s">
        <v>7827</v>
      </c>
      <c r="B1257" s="1" t="s">
        <v>10066</v>
      </c>
      <c r="C1257" s="1" t="s">
        <v>2656</v>
      </c>
      <c r="D1257" s="1" t="s">
        <v>10067</v>
      </c>
      <c r="E1257" s="1" t="s">
        <v>10068</v>
      </c>
      <c r="F1257" s="2" t="s">
        <v>10069</v>
      </c>
      <c r="G1257" s="1"/>
      <c r="H1257" s="1"/>
      <c r="I1257" s="1"/>
      <c r="J1257" s="1" t="s">
        <v>10070</v>
      </c>
      <c r="K1257" s="1" t="s">
        <v>39</v>
      </c>
      <c r="L1257" s="1" t="s">
        <v>10071</v>
      </c>
      <c r="M1257" s="1" t="s">
        <v>141</v>
      </c>
      <c r="N1257" s="1"/>
      <c r="O1257" s="1" t="s">
        <v>7563</v>
      </c>
      <c r="P1257" s="1"/>
      <c r="Q1257" s="1" t="s">
        <v>7651</v>
      </c>
      <c r="R1257" s="1" t="s">
        <v>5359</v>
      </c>
      <c r="S1257" s="1" t="s">
        <v>10072</v>
      </c>
      <c r="T1257" s="15">
        <v>2025</v>
      </c>
      <c r="U1257" s="3" t="s">
        <v>5765</v>
      </c>
      <c r="V1257" s="3" t="s">
        <v>29</v>
      </c>
      <c r="X1257">
        <v>10</v>
      </c>
      <c r="Z1257" t="s">
        <v>2148</v>
      </c>
      <c r="AA1257" t="s">
        <v>9139</v>
      </c>
      <c r="AB1257" s="14" t="s">
        <v>3890</v>
      </c>
      <c r="AD1257" t="s">
        <v>764</v>
      </c>
    </row>
    <row r="1258" spans="1:30" customFormat="1" hidden="1" x14ac:dyDescent="0.3">
      <c r="A1258" s="1"/>
      <c r="B1258" s="7" t="s">
        <v>10084</v>
      </c>
      <c r="C1258" s="7" t="s">
        <v>557</v>
      </c>
      <c r="D1258" s="1" t="s">
        <v>10085</v>
      </c>
      <c r="E1258" s="1" t="s">
        <v>10086</v>
      </c>
      <c r="F1258" s="1" t="s">
        <v>10087</v>
      </c>
      <c r="G1258" s="1"/>
      <c r="H1258" s="1"/>
      <c r="I1258" s="1"/>
      <c r="J1258" s="1" t="s">
        <v>6881</v>
      </c>
      <c r="K1258" s="1" t="s">
        <v>39</v>
      </c>
      <c r="L1258" s="1" t="s">
        <v>4295</v>
      </c>
      <c r="M1258" s="1" t="s">
        <v>141</v>
      </c>
      <c r="N1258" s="1"/>
      <c r="O1258" s="1" t="s">
        <v>7563</v>
      </c>
      <c r="P1258" s="1"/>
      <c r="Q1258" s="1" t="s">
        <v>7651</v>
      </c>
      <c r="R1258" s="1" t="s">
        <v>5359</v>
      </c>
      <c r="S1258" s="1" t="s">
        <v>10088</v>
      </c>
      <c r="T1258" s="15">
        <v>2025</v>
      </c>
      <c r="U1258" s="3" t="s">
        <v>5765</v>
      </c>
      <c r="V1258" s="3" t="s">
        <v>29</v>
      </c>
      <c r="X1258">
        <v>5</v>
      </c>
      <c r="Z1258" t="s">
        <v>3828</v>
      </c>
      <c r="AA1258" t="s">
        <v>4868</v>
      </c>
      <c r="AB1258" s="14" t="s">
        <v>3888</v>
      </c>
      <c r="AD1258" t="s">
        <v>764</v>
      </c>
    </row>
    <row r="1259" spans="1:30" customFormat="1" ht="41.4" hidden="1" x14ac:dyDescent="0.3">
      <c r="A1259" s="1" t="s">
        <v>10089</v>
      </c>
      <c r="B1259" s="1" t="s">
        <v>10090</v>
      </c>
      <c r="C1259" s="1" t="s">
        <v>370</v>
      </c>
      <c r="D1259" s="1" t="s">
        <v>10091</v>
      </c>
      <c r="E1259" s="1" t="s">
        <v>10092</v>
      </c>
      <c r="F1259" s="2" t="s">
        <v>10093</v>
      </c>
      <c r="G1259" s="1" t="s">
        <v>10094</v>
      </c>
      <c r="H1259" s="1" t="s">
        <v>7454</v>
      </c>
      <c r="I1259" s="1"/>
      <c r="J1259" s="1" t="s">
        <v>10095</v>
      </c>
      <c r="K1259" s="1" t="s">
        <v>39</v>
      </c>
      <c r="L1259" s="1" t="s">
        <v>9103</v>
      </c>
      <c r="M1259" s="1" t="s">
        <v>42</v>
      </c>
      <c r="N1259" s="1"/>
      <c r="O1259" s="1" t="s">
        <v>7563</v>
      </c>
      <c r="P1259" s="1"/>
      <c r="Q1259" s="1" t="s">
        <v>7651</v>
      </c>
      <c r="R1259" s="1" t="s">
        <v>5429</v>
      </c>
      <c r="S1259" s="1" t="s">
        <v>10096</v>
      </c>
      <c r="T1259" s="15">
        <v>2025</v>
      </c>
      <c r="U1259" s="3" t="s">
        <v>5765</v>
      </c>
      <c r="V1259" s="3" t="s">
        <v>29</v>
      </c>
      <c r="X1259">
        <v>5</v>
      </c>
      <c r="Z1259" t="s">
        <v>3835</v>
      </c>
      <c r="AA1259" t="s">
        <v>7926</v>
      </c>
      <c r="AB1259" s="14" t="s">
        <v>3884</v>
      </c>
      <c r="AD1259" t="s">
        <v>764</v>
      </c>
    </row>
    <row r="1260" spans="1:30" customFormat="1" ht="27.6" hidden="1" x14ac:dyDescent="0.3">
      <c r="A1260" s="1"/>
      <c r="B1260" s="1" t="s">
        <v>10097</v>
      </c>
      <c r="C1260" s="1" t="s">
        <v>320</v>
      </c>
      <c r="D1260" s="1" t="s">
        <v>10098</v>
      </c>
      <c r="E1260" s="1" t="s">
        <v>10099</v>
      </c>
      <c r="F1260" s="2" t="s">
        <v>10100</v>
      </c>
      <c r="G1260" s="1" t="s">
        <v>10101</v>
      </c>
      <c r="H1260" s="1"/>
      <c r="I1260" s="1"/>
      <c r="J1260" s="1" t="s">
        <v>72</v>
      </c>
      <c r="K1260" s="1" t="s">
        <v>39</v>
      </c>
      <c r="L1260" s="1" t="s">
        <v>10102</v>
      </c>
      <c r="M1260" s="1" t="s">
        <v>141</v>
      </c>
      <c r="N1260" s="1"/>
      <c r="O1260" s="1" t="s">
        <v>7563</v>
      </c>
      <c r="P1260" s="1"/>
      <c r="Q1260" s="1" t="s">
        <v>7651</v>
      </c>
      <c r="R1260" s="1" t="s">
        <v>5359</v>
      </c>
      <c r="S1260" s="1" t="s">
        <v>10103</v>
      </c>
      <c r="T1260" s="15">
        <v>2025</v>
      </c>
      <c r="U1260" s="3" t="s">
        <v>5765</v>
      </c>
      <c r="V1260" s="3" t="s">
        <v>29</v>
      </c>
      <c r="X1260">
        <v>5</v>
      </c>
      <c r="Z1260" t="s">
        <v>3835</v>
      </c>
      <c r="AA1260" t="s">
        <v>7712</v>
      </c>
      <c r="AB1260" s="14" t="s">
        <v>3884</v>
      </c>
      <c r="AD1260" t="s">
        <v>764</v>
      </c>
    </row>
    <row r="1261" spans="1:30" customFormat="1" x14ac:dyDescent="0.3">
      <c r="A1261" s="1"/>
      <c r="B1261" s="1" t="s">
        <v>10104</v>
      </c>
      <c r="C1261" s="1" t="s">
        <v>2198</v>
      </c>
      <c r="D1261" s="1" t="s">
        <v>10105</v>
      </c>
      <c r="E1261" s="1" t="s">
        <v>10106</v>
      </c>
      <c r="F1261" s="2" t="s">
        <v>10107</v>
      </c>
      <c r="G1261" s="1" t="s">
        <v>10108</v>
      </c>
      <c r="H1261" s="1" t="s">
        <v>756</v>
      </c>
      <c r="I1261" s="1"/>
      <c r="J1261" s="1" t="s">
        <v>9389</v>
      </c>
      <c r="K1261" s="1" t="s">
        <v>39</v>
      </c>
      <c r="L1261" s="1" t="s">
        <v>10109</v>
      </c>
      <c r="M1261" s="1" t="s">
        <v>42</v>
      </c>
      <c r="N1261" s="1"/>
      <c r="O1261" s="1" t="s">
        <v>7563</v>
      </c>
      <c r="P1261" s="1"/>
      <c r="Q1261" s="1" t="s">
        <v>7651</v>
      </c>
      <c r="R1261" s="1" t="s">
        <v>5359</v>
      </c>
      <c r="S1261" s="1" t="s">
        <v>10110</v>
      </c>
      <c r="T1261" s="15">
        <v>2025</v>
      </c>
      <c r="U1261" s="3" t="s">
        <v>5765</v>
      </c>
      <c r="V1261" s="3" t="s">
        <v>29</v>
      </c>
      <c r="Z1261" t="s">
        <v>3828</v>
      </c>
      <c r="AA1261" t="s">
        <v>4868</v>
      </c>
      <c r="AB1261" s="14" t="s">
        <v>3888</v>
      </c>
      <c r="AD1261" t="s">
        <v>764</v>
      </c>
    </row>
    <row r="1262" spans="1:30" customFormat="1" hidden="1" x14ac:dyDescent="0.3">
      <c r="A1262" s="1" t="s">
        <v>2707</v>
      </c>
      <c r="B1262" s="1" t="s">
        <v>3616</v>
      </c>
      <c r="C1262" s="1" t="s">
        <v>10111</v>
      </c>
      <c r="D1262" s="1" t="s">
        <v>10112</v>
      </c>
      <c r="E1262" s="1"/>
      <c r="F1262" s="2" t="s">
        <v>10113</v>
      </c>
      <c r="G1262" s="1" t="s">
        <v>10114</v>
      </c>
      <c r="H1262" s="1" t="s">
        <v>7454</v>
      </c>
      <c r="I1262" s="1"/>
      <c r="J1262" s="1" t="s">
        <v>72</v>
      </c>
      <c r="K1262" s="1" t="s">
        <v>39</v>
      </c>
      <c r="L1262" s="1" t="s">
        <v>10115</v>
      </c>
      <c r="M1262" s="1" t="s">
        <v>141</v>
      </c>
      <c r="N1262" s="1"/>
      <c r="O1262" s="1" t="s">
        <v>7563</v>
      </c>
      <c r="P1262" s="1"/>
      <c r="Q1262" s="1" t="s">
        <v>7651</v>
      </c>
      <c r="R1262" s="1" t="s">
        <v>5359</v>
      </c>
      <c r="S1262" s="1" t="s">
        <v>10116</v>
      </c>
      <c r="T1262" s="15">
        <v>2025</v>
      </c>
      <c r="U1262" s="3" t="s">
        <v>5765</v>
      </c>
      <c r="V1262" s="3" t="s">
        <v>29</v>
      </c>
      <c r="X1262">
        <v>5</v>
      </c>
      <c r="Z1262" t="s">
        <v>3828</v>
      </c>
      <c r="AA1262" t="s">
        <v>7887</v>
      </c>
      <c r="AB1262" s="14" t="s">
        <v>3888</v>
      </c>
      <c r="AD1262" t="s">
        <v>764</v>
      </c>
    </row>
    <row r="1263" spans="1:30" customFormat="1" hidden="1" x14ac:dyDescent="0.3">
      <c r="A1263" s="1" t="s">
        <v>5400</v>
      </c>
      <c r="B1263" s="1" t="s">
        <v>5401</v>
      </c>
      <c r="C1263" s="1" t="s">
        <v>10117</v>
      </c>
      <c r="D1263" s="1" t="s">
        <v>10118</v>
      </c>
      <c r="E1263" s="1" t="s">
        <v>10119</v>
      </c>
      <c r="F1263" s="2" t="s">
        <v>10120</v>
      </c>
      <c r="G1263" s="1" t="s">
        <v>10121</v>
      </c>
      <c r="H1263" s="1"/>
      <c r="I1263" s="1"/>
      <c r="J1263" s="1" t="s">
        <v>72</v>
      </c>
      <c r="K1263" s="1" t="s">
        <v>39</v>
      </c>
      <c r="L1263" s="1" t="s">
        <v>10122</v>
      </c>
      <c r="M1263" s="1" t="s">
        <v>42</v>
      </c>
      <c r="N1263" s="1"/>
      <c r="O1263" s="1" t="s">
        <v>7563</v>
      </c>
      <c r="P1263" s="1" t="s">
        <v>7724</v>
      </c>
      <c r="Q1263" s="1"/>
      <c r="R1263" s="1" t="s">
        <v>6962</v>
      </c>
      <c r="S1263" s="1" t="s">
        <v>10123</v>
      </c>
      <c r="T1263" s="15">
        <v>2025</v>
      </c>
      <c r="U1263" s="3" t="s">
        <v>5765</v>
      </c>
      <c r="V1263" s="3" t="s">
        <v>29</v>
      </c>
      <c r="X1263">
        <v>5</v>
      </c>
      <c r="Z1263" t="s">
        <v>3835</v>
      </c>
      <c r="AA1263" t="s">
        <v>7617</v>
      </c>
      <c r="AB1263" s="14" t="s">
        <v>3884</v>
      </c>
      <c r="AD1263" t="s">
        <v>5439</v>
      </c>
    </row>
    <row r="1264" spans="1:30" customFormat="1" hidden="1" x14ac:dyDescent="0.3">
      <c r="A1264" s="1"/>
      <c r="B1264" s="1" t="s">
        <v>5271</v>
      </c>
      <c r="C1264" s="1" t="s">
        <v>494</v>
      </c>
      <c r="D1264" s="1" t="s">
        <v>10124</v>
      </c>
      <c r="E1264" s="1" t="s">
        <v>10125</v>
      </c>
      <c r="F1264" s="2" t="s">
        <v>10126</v>
      </c>
      <c r="G1264" s="1"/>
      <c r="H1264" s="1"/>
      <c r="I1264" s="1"/>
      <c r="J1264" s="1" t="s">
        <v>72</v>
      </c>
      <c r="K1264" s="1" t="s">
        <v>39</v>
      </c>
      <c r="L1264" s="1" t="s">
        <v>10127</v>
      </c>
      <c r="M1264" s="1" t="s">
        <v>42</v>
      </c>
      <c r="N1264" s="1"/>
      <c r="O1264" s="1" t="s">
        <v>7563</v>
      </c>
      <c r="P1264" s="1"/>
      <c r="Q1264" s="1" t="s">
        <v>7651</v>
      </c>
      <c r="R1264" s="1" t="s">
        <v>5359</v>
      </c>
      <c r="S1264" s="1" t="s">
        <v>10128</v>
      </c>
      <c r="T1264" s="15">
        <v>2025</v>
      </c>
      <c r="U1264" s="3" t="s">
        <v>5765</v>
      </c>
      <c r="V1264" s="3" t="s">
        <v>29</v>
      </c>
      <c r="X1264">
        <v>5</v>
      </c>
      <c r="Z1264" t="s">
        <v>3828</v>
      </c>
      <c r="AA1264" t="s">
        <v>8585</v>
      </c>
      <c r="AB1264" s="14" t="s">
        <v>3885</v>
      </c>
      <c r="AD1264" t="s">
        <v>9946</v>
      </c>
    </row>
    <row r="1265" spans="1:30" customFormat="1" x14ac:dyDescent="0.3">
      <c r="A1265" s="1" t="s">
        <v>10129</v>
      </c>
      <c r="B1265" s="1" t="s">
        <v>10130</v>
      </c>
      <c r="C1265" s="1" t="s">
        <v>10131</v>
      </c>
      <c r="D1265" s="1" t="s">
        <v>10132</v>
      </c>
      <c r="E1265" s="1" t="s">
        <v>10133</v>
      </c>
      <c r="F1265" s="2" t="s">
        <v>10134</v>
      </c>
      <c r="G1265" s="1" t="s">
        <v>10135</v>
      </c>
      <c r="H1265" s="1"/>
      <c r="I1265" s="1"/>
      <c r="J1265" s="1" t="s">
        <v>72</v>
      </c>
      <c r="K1265" s="1" t="s">
        <v>39</v>
      </c>
      <c r="L1265" s="1" t="s">
        <v>10136</v>
      </c>
      <c r="M1265" s="1" t="s">
        <v>152</v>
      </c>
      <c r="N1265" s="1"/>
      <c r="O1265" s="1" t="s">
        <v>7563</v>
      </c>
      <c r="P1265" s="1" t="s">
        <v>7724</v>
      </c>
      <c r="Q1265" s="1"/>
      <c r="R1265" s="1" t="s">
        <v>5359</v>
      </c>
      <c r="S1265" s="1" t="s">
        <v>10137</v>
      </c>
      <c r="T1265" s="15">
        <v>2025</v>
      </c>
      <c r="U1265" s="3" t="s">
        <v>5765</v>
      </c>
      <c r="V1265" s="3" t="s">
        <v>29</v>
      </c>
      <c r="Z1265" t="s">
        <v>3828</v>
      </c>
      <c r="AA1265" t="s">
        <v>7497</v>
      </c>
      <c r="AB1265" s="14" t="s">
        <v>3885</v>
      </c>
      <c r="AD1265" t="s">
        <v>7615</v>
      </c>
    </row>
    <row r="1266" spans="1:30" customFormat="1" x14ac:dyDescent="0.3">
      <c r="A1266" s="1"/>
      <c r="B1266" s="1" t="s">
        <v>10138</v>
      </c>
      <c r="C1266" s="1" t="s">
        <v>10139</v>
      </c>
      <c r="D1266" s="1" t="s">
        <v>10140</v>
      </c>
      <c r="E1266" s="1"/>
      <c r="F1266" s="2" t="s">
        <v>10141</v>
      </c>
      <c r="G1266" s="1"/>
      <c r="H1266" s="1"/>
      <c r="I1266" s="1"/>
      <c r="J1266" s="1" t="s">
        <v>3658</v>
      </c>
      <c r="K1266" s="1" t="s">
        <v>39</v>
      </c>
      <c r="L1266" s="1" t="s">
        <v>10142</v>
      </c>
      <c r="M1266" s="1" t="s">
        <v>141</v>
      </c>
      <c r="N1266" s="1"/>
      <c r="O1266" s="1" t="s">
        <v>7563</v>
      </c>
      <c r="P1266" s="1"/>
      <c r="Q1266" s="1" t="s">
        <v>7651</v>
      </c>
      <c r="R1266" s="1" t="s">
        <v>5429</v>
      </c>
      <c r="S1266" s="1" t="s">
        <v>10143</v>
      </c>
      <c r="T1266" s="15">
        <v>2025</v>
      </c>
      <c r="U1266" s="3" t="s">
        <v>5765</v>
      </c>
      <c r="V1266" s="3" t="s">
        <v>29</v>
      </c>
      <c r="Z1266" t="s">
        <v>3828</v>
      </c>
      <c r="AA1266" t="s">
        <v>7367</v>
      </c>
      <c r="AB1266" s="14" t="s">
        <v>3887</v>
      </c>
      <c r="AD1266" t="s">
        <v>764</v>
      </c>
    </row>
    <row r="1267" spans="1:30" customFormat="1" ht="96.6" hidden="1" x14ac:dyDescent="0.3">
      <c r="A1267" s="1" t="s">
        <v>10144</v>
      </c>
      <c r="B1267" s="1" t="s">
        <v>10145</v>
      </c>
      <c r="C1267" s="1" t="s">
        <v>10146</v>
      </c>
      <c r="D1267" s="1" t="s">
        <v>10147</v>
      </c>
      <c r="E1267" s="1" t="s">
        <v>10148</v>
      </c>
      <c r="F1267" s="2" t="s">
        <v>10149</v>
      </c>
      <c r="G1267" s="1"/>
      <c r="H1267" s="1"/>
      <c r="I1267" s="1"/>
      <c r="J1267" s="1" t="s">
        <v>10150</v>
      </c>
      <c r="K1267" s="1" t="s">
        <v>39</v>
      </c>
      <c r="L1267" s="1" t="s">
        <v>1025</v>
      </c>
      <c r="M1267" s="1" t="s">
        <v>141</v>
      </c>
      <c r="N1267" s="1" t="s">
        <v>10237</v>
      </c>
      <c r="O1267" s="1" t="s">
        <v>7563</v>
      </c>
      <c r="P1267" s="1"/>
      <c r="Q1267" s="1" t="s">
        <v>7651</v>
      </c>
      <c r="R1267" s="1" t="s">
        <v>5359</v>
      </c>
      <c r="S1267" s="1" t="s">
        <v>10151</v>
      </c>
      <c r="T1267" s="15">
        <v>2025</v>
      </c>
      <c r="U1267" s="3" t="s">
        <v>5765</v>
      </c>
      <c r="V1267" s="3" t="s">
        <v>29</v>
      </c>
      <c r="X1267">
        <v>5</v>
      </c>
      <c r="Z1267" t="s">
        <v>3828</v>
      </c>
      <c r="AA1267" t="s">
        <v>10238</v>
      </c>
      <c r="AB1267" s="14" t="s">
        <v>3887</v>
      </c>
      <c r="AD1267" t="s">
        <v>764</v>
      </c>
    </row>
    <row r="1268" spans="1:30" customFormat="1" hidden="1" x14ac:dyDescent="0.3">
      <c r="A1268" s="1"/>
      <c r="B1268" s="1" t="s">
        <v>10152</v>
      </c>
      <c r="C1268" s="1" t="s">
        <v>4187</v>
      </c>
      <c r="D1268" s="1" t="s">
        <v>10153</v>
      </c>
      <c r="E1268" s="1" t="s">
        <v>10154</v>
      </c>
      <c r="F1268" s="1" t="s">
        <v>10155</v>
      </c>
      <c r="G1268" s="1" t="s">
        <v>10156</v>
      </c>
      <c r="H1268" s="1"/>
      <c r="I1268" s="1"/>
      <c r="J1268" s="1" t="s">
        <v>10157</v>
      </c>
      <c r="K1268" s="1" t="s">
        <v>39</v>
      </c>
      <c r="L1268" s="1" t="s">
        <v>10158</v>
      </c>
      <c r="M1268" s="1" t="s">
        <v>42</v>
      </c>
      <c r="N1268" s="1"/>
      <c r="O1268" s="1" t="s">
        <v>7563</v>
      </c>
      <c r="P1268" s="1"/>
      <c r="Q1268" s="1" t="s">
        <v>7651</v>
      </c>
      <c r="R1268" s="1" t="s">
        <v>6962</v>
      </c>
      <c r="S1268" s="1" t="s">
        <v>10159</v>
      </c>
      <c r="T1268" s="15">
        <v>2025</v>
      </c>
      <c r="U1268" s="3" t="s">
        <v>5765</v>
      </c>
      <c r="V1268" s="3" t="s">
        <v>29</v>
      </c>
      <c r="X1268">
        <v>5</v>
      </c>
      <c r="Z1268" t="s">
        <v>3828</v>
      </c>
      <c r="AA1268" t="s">
        <v>7256</v>
      </c>
      <c r="AB1268" s="14" t="s">
        <v>3887</v>
      </c>
      <c r="AD1268" t="s">
        <v>764</v>
      </c>
    </row>
    <row r="1269" spans="1:30" customFormat="1" x14ac:dyDescent="0.3">
      <c r="A1269" s="1" t="s">
        <v>22</v>
      </c>
      <c r="B1269" s="1" t="s">
        <v>10160</v>
      </c>
      <c r="C1269" s="1" t="s">
        <v>1387</v>
      </c>
      <c r="D1269" s="1" t="s">
        <v>10161</v>
      </c>
      <c r="E1269" s="1" t="s">
        <v>10162</v>
      </c>
      <c r="F1269" s="1" t="s">
        <v>10163</v>
      </c>
      <c r="G1269" s="1"/>
      <c r="H1269" s="1"/>
      <c r="I1269" s="1"/>
      <c r="J1269" s="1" t="s">
        <v>638</v>
      </c>
      <c r="K1269" s="1" t="s">
        <v>39</v>
      </c>
      <c r="L1269" s="1" t="s">
        <v>10164</v>
      </c>
      <c r="M1269" s="1" t="s">
        <v>42</v>
      </c>
      <c r="N1269" s="1"/>
      <c r="O1269" s="1" t="s">
        <v>7563</v>
      </c>
      <c r="P1269" s="1"/>
      <c r="Q1269" s="1" t="s">
        <v>7651</v>
      </c>
      <c r="R1269" s="1" t="s">
        <v>5429</v>
      </c>
      <c r="S1269" s="1" t="s">
        <v>10165</v>
      </c>
      <c r="T1269" s="15">
        <v>2025</v>
      </c>
      <c r="U1269" s="3" t="s">
        <v>5765</v>
      </c>
      <c r="V1269" s="3" t="s">
        <v>29</v>
      </c>
      <c r="Z1269" t="s">
        <v>2148</v>
      </c>
      <c r="AA1269" t="s">
        <v>7522</v>
      </c>
      <c r="AB1269" s="14" t="s">
        <v>3890</v>
      </c>
      <c r="AD1269" t="s">
        <v>764</v>
      </c>
    </row>
    <row r="1270" spans="1:30" customFormat="1" ht="27.6" hidden="1" x14ac:dyDescent="0.3">
      <c r="A1270" s="1"/>
      <c r="B1270" s="1" t="s">
        <v>10166</v>
      </c>
      <c r="C1270" s="1" t="s">
        <v>423</v>
      </c>
      <c r="D1270" s="1" t="s">
        <v>10167</v>
      </c>
      <c r="E1270" s="1" t="s">
        <v>10168</v>
      </c>
      <c r="F1270" s="1" t="s">
        <v>10169</v>
      </c>
      <c r="G1270" s="1" t="s">
        <v>10170</v>
      </c>
      <c r="H1270" s="1" t="s">
        <v>10171</v>
      </c>
      <c r="I1270" s="1" t="s">
        <v>191</v>
      </c>
      <c r="J1270" s="1" t="s">
        <v>72</v>
      </c>
      <c r="K1270" s="1" t="s">
        <v>39</v>
      </c>
      <c r="L1270" s="1" t="s">
        <v>10172</v>
      </c>
      <c r="M1270" s="1" t="s">
        <v>141</v>
      </c>
      <c r="N1270" s="1"/>
      <c r="O1270" s="1" t="s">
        <v>7563</v>
      </c>
      <c r="P1270" s="1" t="s">
        <v>7724</v>
      </c>
      <c r="Q1270" s="1" t="s">
        <v>7651</v>
      </c>
      <c r="R1270" s="1" t="s">
        <v>5359</v>
      </c>
      <c r="S1270" s="1" t="s">
        <v>10173</v>
      </c>
      <c r="T1270" s="15">
        <v>2025</v>
      </c>
      <c r="U1270" s="3" t="s">
        <v>5765</v>
      </c>
      <c r="V1270" s="3" t="s">
        <v>29</v>
      </c>
      <c r="X1270">
        <v>5</v>
      </c>
      <c r="Z1270" t="s">
        <v>3835</v>
      </c>
      <c r="AA1270" t="s">
        <v>7926</v>
      </c>
      <c r="AB1270" s="14" t="s">
        <v>3884</v>
      </c>
      <c r="AD1270" t="s">
        <v>764</v>
      </c>
    </row>
    <row r="1271" spans="1:30" customFormat="1" x14ac:dyDescent="0.3">
      <c r="A1271" s="1"/>
      <c r="B1271" s="1" t="s">
        <v>10174</v>
      </c>
      <c r="C1271" s="1" t="s">
        <v>181</v>
      </c>
      <c r="D1271" s="1" t="s">
        <v>10175</v>
      </c>
      <c r="E1271" s="1"/>
      <c r="F1271" s="1" t="s">
        <v>10176</v>
      </c>
      <c r="G1271" s="1"/>
      <c r="H1271" s="1"/>
      <c r="I1271" s="1"/>
      <c r="J1271" s="1" t="s">
        <v>72</v>
      </c>
      <c r="K1271" s="1" t="s">
        <v>39</v>
      </c>
      <c r="L1271" s="1" t="s">
        <v>10177</v>
      </c>
      <c r="M1271" s="1" t="s">
        <v>42</v>
      </c>
      <c r="N1271" s="1"/>
      <c r="O1271" s="1" t="s">
        <v>7563</v>
      </c>
      <c r="P1271" s="1"/>
      <c r="Q1271" s="1" t="s">
        <v>7651</v>
      </c>
      <c r="R1271" s="1" t="s">
        <v>6962</v>
      </c>
      <c r="S1271" s="1" t="s">
        <v>10178</v>
      </c>
      <c r="T1271" s="15">
        <v>2025</v>
      </c>
      <c r="U1271" s="3" t="s">
        <v>5765</v>
      </c>
      <c r="V1271" s="3" t="s">
        <v>29</v>
      </c>
      <c r="Z1271" t="s">
        <v>3835</v>
      </c>
      <c r="AA1271" t="s">
        <v>7712</v>
      </c>
      <c r="AB1271" s="14" t="s">
        <v>3884</v>
      </c>
      <c r="AD1271" t="s">
        <v>764</v>
      </c>
    </row>
    <row r="1272" spans="1:30" customFormat="1" hidden="1" x14ac:dyDescent="0.3">
      <c r="A1272" s="1"/>
      <c r="B1272" s="1" t="s">
        <v>10179</v>
      </c>
      <c r="C1272" s="1" t="s">
        <v>10180</v>
      </c>
      <c r="D1272" s="1" t="s">
        <v>10181</v>
      </c>
      <c r="E1272" s="1"/>
      <c r="F1272" s="2" t="s">
        <v>10182</v>
      </c>
      <c r="G1272" s="1"/>
      <c r="H1272" s="1"/>
      <c r="I1272" s="1"/>
      <c r="J1272" s="1" t="s">
        <v>284</v>
      </c>
      <c r="K1272" s="1" t="s">
        <v>39</v>
      </c>
      <c r="L1272" s="1" t="s">
        <v>10183</v>
      </c>
      <c r="M1272" s="1" t="s">
        <v>42</v>
      </c>
      <c r="N1272" s="1"/>
      <c r="O1272" s="1" t="s">
        <v>7563</v>
      </c>
      <c r="P1272" s="1" t="s">
        <v>7724</v>
      </c>
      <c r="Q1272" s="1"/>
      <c r="R1272" s="1" t="s">
        <v>6962</v>
      </c>
      <c r="S1272" s="1" t="s">
        <v>10184</v>
      </c>
      <c r="T1272" s="15">
        <v>2025</v>
      </c>
      <c r="U1272" s="3" t="s">
        <v>5765</v>
      </c>
      <c r="V1272" s="3" t="s">
        <v>29</v>
      </c>
      <c r="X1272">
        <v>5</v>
      </c>
      <c r="Z1272" t="s">
        <v>3835</v>
      </c>
      <c r="AA1272" t="s">
        <v>7712</v>
      </c>
      <c r="AB1272" s="14" t="s">
        <v>3884</v>
      </c>
      <c r="AD1272" t="s">
        <v>764</v>
      </c>
    </row>
    <row r="1273" spans="1:30" customFormat="1" hidden="1" x14ac:dyDescent="0.3">
      <c r="A1273" s="1"/>
      <c r="B1273" s="1" t="s">
        <v>10185</v>
      </c>
      <c r="C1273" s="12" t="s">
        <v>4122</v>
      </c>
      <c r="D1273" s="1" t="s">
        <v>10186</v>
      </c>
      <c r="E1273" s="1" t="s">
        <v>10187</v>
      </c>
      <c r="F1273" s="2" t="s">
        <v>10188</v>
      </c>
      <c r="G1273" s="1" t="s">
        <v>10189</v>
      </c>
      <c r="H1273" s="1"/>
      <c r="I1273" s="1"/>
      <c r="J1273" s="1" t="s">
        <v>6909</v>
      </c>
      <c r="K1273" s="1" t="s">
        <v>39</v>
      </c>
      <c r="L1273" s="1" t="s">
        <v>4295</v>
      </c>
      <c r="M1273" s="1" t="s">
        <v>42</v>
      </c>
      <c r="N1273" s="1"/>
      <c r="O1273" s="1" t="s">
        <v>7563</v>
      </c>
      <c r="P1273" s="1"/>
      <c r="Q1273" s="1" t="s">
        <v>7651</v>
      </c>
      <c r="R1273" s="1" t="s">
        <v>5359</v>
      </c>
      <c r="S1273" s="1" t="s">
        <v>10190</v>
      </c>
      <c r="T1273" s="15">
        <v>2025</v>
      </c>
      <c r="U1273" s="3" t="s">
        <v>5765</v>
      </c>
      <c r="V1273" s="3" t="s">
        <v>29</v>
      </c>
      <c r="X1273">
        <v>5</v>
      </c>
      <c r="Z1273" t="s">
        <v>3828</v>
      </c>
      <c r="AA1273" t="s">
        <v>4868</v>
      </c>
      <c r="AB1273" s="14" t="s">
        <v>3888</v>
      </c>
      <c r="AD1273" t="s">
        <v>764</v>
      </c>
    </row>
    <row r="1274" spans="1:30" customFormat="1" x14ac:dyDescent="0.3">
      <c r="A1274" s="1"/>
      <c r="B1274" s="1" t="s">
        <v>10191</v>
      </c>
      <c r="C1274" s="1" t="s">
        <v>10192</v>
      </c>
      <c r="D1274" s="1" t="s">
        <v>10193</v>
      </c>
      <c r="E1274" s="1" t="s">
        <v>10194</v>
      </c>
      <c r="F1274" s="2" t="s">
        <v>10195</v>
      </c>
      <c r="G1274" s="1"/>
      <c r="H1274" s="1" t="s">
        <v>3166</v>
      </c>
      <c r="I1274" s="1"/>
      <c r="J1274" s="1" t="s">
        <v>10196</v>
      </c>
      <c r="K1274" s="1" t="s">
        <v>39</v>
      </c>
      <c r="L1274" s="1" t="s">
        <v>10197</v>
      </c>
      <c r="M1274" s="1" t="s">
        <v>42</v>
      </c>
      <c r="N1274" s="1"/>
      <c r="O1274" s="1" t="s">
        <v>7563</v>
      </c>
      <c r="P1274" s="1"/>
      <c r="Q1274" s="1" t="s">
        <v>7651</v>
      </c>
      <c r="R1274" s="1" t="s">
        <v>5429</v>
      </c>
      <c r="S1274" s="1" t="s">
        <v>10198</v>
      </c>
      <c r="T1274" s="15">
        <v>2025</v>
      </c>
      <c r="U1274" s="3" t="s">
        <v>5765</v>
      </c>
      <c r="V1274" s="3" t="s">
        <v>29</v>
      </c>
      <c r="Z1274" t="s">
        <v>2148</v>
      </c>
      <c r="AA1274" t="s">
        <v>8347</v>
      </c>
      <c r="AB1274" s="14" t="s">
        <v>3891</v>
      </c>
      <c r="AD1274" t="s">
        <v>764</v>
      </c>
    </row>
    <row r="1275" spans="1:30" customFormat="1" ht="41.4" hidden="1" x14ac:dyDescent="0.3">
      <c r="A1275" s="1"/>
      <c r="B1275" s="1" t="s">
        <v>10199</v>
      </c>
      <c r="C1275" s="1" t="s">
        <v>354</v>
      </c>
      <c r="D1275" s="1" t="s">
        <v>10200</v>
      </c>
      <c r="E1275" s="1" t="s">
        <v>10201</v>
      </c>
      <c r="F1275" s="2" t="s">
        <v>10202</v>
      </c>
      <c r="G1275" s="1" t="s">
        <v>10203</v>
      </c>
      <c r="H1275" s="1" t="s">
        <v>10204</v>
      </c>
      <c r="I1275" s="1" t="s">
        <v>10205</v>
      </c>
      <c r="J1275" s="1" t="s">
        <v>6382</v>
      </c>
      <c r="K1275" s="1" t="s">
        <v>39</v>
      </c>
      <c r="L1275" s="1" t="s">
        <v>10206</v>
      </c>
      <c r="M1275" s="1" t="s">
        <v>42</v>
      </c>
      <c r="N1275" s="1"/>
      <c r="O1275" s="1" t="s">
        <v>7563</v>
      </c>
      <c r="P1275" s="1"/>
      <c r="Q1275" s="1" t="s">
        <v>7651</v>
      </c>
      <c r="R1275" s="1" t="s">
        <v>5359</v>
      </c>
      <c r="S1275" s="1" t="s">
        <v>10207</v>
      </c>
      <c r="T1275" s="15">
        <v>2025</v>
      </c>
      <c r="U1275" s="3" t="s">
        <v>5765</v>
      </c>
      <c r="V1275" s="3" t="s">
        <v>29</v>
      </c>
      <c r="X1275">
        <v>10</v>
      </c>
      <c r="Z1275" t="s">
        <v>3828</v>
      </c>
      <c r="AA1275" t="s">
        <v>7364</v>
      </c>
      <c r="AB1275" s="14" t="s">
        <v>3888</v>
      </c>
      <c r="AD1275" t="s">
        <v>764</v>
      </c>
    </row>
    <row r="1276" spans="1:30" customFormat="1" hidden="1" x14ac:dyDescent="0.3">
      <c r="A1276" s="1"/>
      <c r="B1276" s="1" t="s">
        <v>720</v>
      </c>
      <c r="C1276" s="1" t="s">
        <v>10208</v>
      </c>
      <c r="D1276" s="1" t="s">
        <v>10209</v>
      </c>
      <c r="E1276" s="1" t="s">
        <v>10210</v>
      </c>
      <c r="F1276" s="2" t="s">
        <v>10211</v>
      </c>
      <c r="G1276" s="1"/>
      <c r="H1276" s="1" t="s">
        <v>931</v>
      </c>
      <c r="I1276" s="1" t="s">
        <v>10212</v>
      </c>
      <c r="J1276" s="1" t="s">
        <v>72</v>
      </c>
      <c r="K1276" s="1" t="s">
        <v>39</v>
      </c>
      <c r="L1276" s="1" t="s">
        <v>10213</v>
      </c>
      <c r="M1276" s="1" t="s">
        <v>141</v>
      </c>
      <c r="N1276" s="1"/>
      <c r="O1276" s="1" t="s">
        <v>7563</v>
      </c>
      <c r="P1276" s="1"/>
      <c r="Q1276" s="1" t="s">
        <v>7651</v>
      </c>
      <c r="R1276" s="1" t="s">
        <v>5655</v>
      </c>
      <c r="S1276" s="1" t="s">
        <v>10214</v>
      </c>
      <c r="T1276" s="15">
        <v>2025</v>
      </c>
      <c r="U1276" s="3" t="s">
        <v>5765</v>
      </c>
      <c r="V1276" s="3" t="s">
        <v>29</v>
      </c>
      <c r="X1276">
        <v>100</v>
      </c>
      <c r="Z1276" t="s">
        <v>3835</v>
      </c>
      <c r="AA1276" t="s">
        <v>8335</v>
      </c>
      <c r="AB1276" s="14" t="s">
        <v>3884</v>
      </c>
      <c r="AD1276" t="s">
        <v>764</v>
      </c>
    </row>
    <row r="1277" spans="1:30" customFormat="1" ht="27.6" hidden="1" x14ac:dyDescent="0.3">
      <c r="A1277" s="1"/>
      <c r="B1277" s="1" t="s">
        <v>10215</v>
      </c>
      <c r="C1277" s="1" t="s">
        <v>157</v>
      </c>
      <c r="D1277" s="1" t="s">
        <v>10216</v>
      </c>
      <c r="E1277" s="1" t="s">
        <v>10217</v>
      </c>
      <c r="F1277" s="2" t="s">
        <v>10218</v>
      </c>
      <c r="G1277" s="1" t="s">
        <v>10219</v>
      </c>
      <c r="H1277" s="1" t="s">
        <v>756</v>
      </c>
      <c r="I1277" s="1" t="s">
        <v>10220</v>
      </c>
      <c r="J1277" s="1" t="s">
        <v>7874</v>
      </c>
      <c r="K1277" s="1" t="s">
        <v>39</v>
      </c>
      <c r="L1277" s="1" t="s">
        <v>10221</v>
      </c>
      <c r="M1277" s="1" t="s">
        <v>141</v>
      </c>
      <c r="N1277" s="1"/>
      <c r="O1277" s="1" t="s">
        <v>7563</v>
      </c>
      <c r="P1277" s="1"/>
      <c r="Q1277" s="1" t="s">
        <v>7651</v>
      </c>
      <c r="R1277" s="1" t="s">
        <v>6962</v>
      </c>
      <c r="S1277" s="1" t="s">
        <v>10222</v>
      </c>
      <c r="T1277" s="15">
        <v>2025</v>
      </c>
      <c r="U1277" s="3" t="s">
        <v>5765</v>
      </c>
      <c r="V1277" s="3" t="s">
        <v>29</v>
      </c>
      <c r="X1277">
        <v>10</v>
      </c>
      <c r="Z1277" t="s">
        <v>3828</v>
      </c>
      <c r="AA1277" t="s">
        <v>4868</v>
      </c>
      <c r="AB1277" s="14" t="s">
        <v>3888</v>
      </c>
      <c r="AD1277" t="s">
        <v>764</v>
      </c>
    </row>
    <row r="1278" spans="1:30" customFormat="1" hidden="1" x14ac:dyDescent="0.3">
      <c r="A1278" s="1"/>
      <c r="B1278" s="1" t="s">
        <v>10223</v>
      </c>
      <c r="C1278" s="1" t="s">
        <v>1989</v>
      </c>
      <c r="D1278" s="1" t="s">
        <v>10224</v>
      </c>
      <c r="E1278" s="1" t="s">
        <v>10225</v>
      </c>
      <c r="F1278" s="2" t="s">
        <v>10226</v>
      </c>
      <c r="G1278" s="1"/>
      <c r="H1278" s="1"/>
      <c r="I1278" s="1"/>
      <c r="J1278" s="1" t="s">
        <v>72</v>
      </c>
      <c r="K1278" s="1" t="s">
        <v>39</v>
      </c>
      <c r="L1278" s="1" t="s">
        <v>4011</v>
      </c>
      <c r="M1278" s="1" t="s">
        <v>141</v>
      </c>
      <c r="N1278" s="1"/>
      <c r="O1278" s="1" t="s">
        <v>7563</v>
      </c>
      <c r="P1278" s="1"/>
      <c r="Q1278" s="1" t="s">
        <v>7651</v>
      </c>
      <c r="R1278" s="1" t="s">
        <v>5359</v>
      </c>
      <c r="S1278" s="1" t="s">
        <v>10227</v>
      </c>
      <c r="T1278" s="15">
        <v>2025</v>
      </c>
      <c r="U1278" s="3" t="s">
        <v>5765</v>
      </c>
      <c r="V1278" s="3" t="s">
        <v>29</v>
      </c>
      <c r="X1278">
        <v>5</v>
      </c>
      <c r="Z1278" t="s">
        <v>3828</v>
      </c>
      <c r="AA1278" t="s">
        <v>7886</v>
      </c>
      <c r="AB1278" s="14" t="s">
        <v>3888</v>
      </c>
      <c r="AD1278" t="s">
        <v>764</v>
      </c>
    </row>
    <row r="1279" spans="1:30" customFormat="1" x14ac:dyDescent="0.3">
      <c r="A1279" s="1" t="s">
        <v>5125</v>
      </c>
      <c r="B1279" s="1" t="s">
        <v>10228</v>
      </c>
      <c r="C1279" s="1" t="s">
        <v>10229</v>
      </c>
      <c r="D1279" s="1" t="s">
        <v>10230</v>
      </c>
      <c r="E1279" s="1" t="s">
        <v>10231</v>
      </c>
      <c r="F1279" s="1" t="s">
        <v>10232</v>
      </c>
      <c r="G1279" s="1"/>
      <c r="H1279" s="1" t="s">
        <v>10233</v>
      </c>
      <c r="I1279" s="1"/>
      <c r="J1279" s="1" t="s">
        <v>10234</v>
      </c>
      <c r="K1279" s="1" t="s">
        <v>39</v>
      </c>
      <c r="L1279" s="1" t="s">
        <v>10235</v>
      </c>
      <c r="M1279" s="1" t="s">
        <v>42</v>
      </c>
      <c r="N1279" s="1"/>
      <c r="O1279" s="1" t="s">
        <v>7563</v>
      </c>
      <c r="P1279" s="1"/>
      <c r="Q1279" s="1" t="s">
        <v>7651</v>
      </c>
      <c r="R1279" s="1" t="s">
        <v>5429</v>
      </c>
      <c r="S1279" s="1" t="s">
        <v>10236</v>
      </c>
      <c r="T1279" s="15">
        <v>2025</v>
      </c>
      <c r="U1279" s="3" t="s">
        <v>5765</v>
      </c>
      <c r="V1279" s="3" t="s">
        <v>29</v>
      </c>
      <c r="Z1279" t="s">
        <v>2148</v>
      </c>
      <c r="AA1279" t="s">
        <v>10239</v>
      </c>
      <c r="AB1279" s="14" t="s">
        <v>3890</v>
      </c>
      <c r="AD1279" t="s">
        <v>764</v>
      </c>
    </row>
    <row r="1280" spans="1:30" customFormat="1" hidden="1" x14ac:dyDescent="0.3">
      <c r="A1280" s="1"/>
      <c r="B1280" s="7" t="s">
        <v>10240</v>
      </c>
      <c r="C1280" s="7" t="s">
        <v>181</v>
      </c>
      <c r="D1280" s="1" t="s">
        <v>10241</v>
      </c>
      <c r="E1280" s="1"/>
      <c r="F1280" s="2" t="s">
        <v>10242</v>
      </c>
      <c r="G1280" s="1" t="s">
        <v>10243</v>
      </c>
      <c r="H1280" s="1"/>
      <c r="I1280" s="1"/>
      <c r="J1280" s="1" t="s">
        <v>4924</v>
      </c>
      <c r="K1280" s="1" t="s">
        <v>39</v>
      </c>
      <c r="L1280" s="1" t="s">
        <v>10244</v>
      </c>
      <c r="M1280" s="1" t="s">
        <v>141</v>
      </c>
      <c r="N1280" s="1"/>
      <c r="O1280" s="1" t="s">
        <v>7563</v>
      </c>
      <c r="P1280" s="1"/>
      <c r="Q1280" s="1" t="s">
        <v>7651</v>
      </c>
      <c r="R1280" s="1" t="s">
        <v>5359</v>
      </c>
      <c r="S1280" s="1" t="s">
        <v>10245</v>
      </c>
      <c r="T1280" s="15">
        <v>2025</v>
      </c>
      <c r="U1280" s="3" t="s">
        <v>5765</v>
      </c>
      <c r="V1280" s="3" t="s">
        <v>29</v>
      </c>
      <c r="X1280">
        <v>5</v>
      </c>
      <c r="Z1280" t="s">
        <v>3828</v>
      </c>
      <c r="AA1280" t="s">
        <v>8585</v>
      </c>
      <c r="AB1280" s="14" t="s">
        <v>3885</v>
      </c>
      <c r="AD1280" t="s">
        <v>764</v>
      </c>
    </row>
    <row r="1281" spans="1:30" customFormat="1" hidden="1" x14ac:dyDescent="0.3">
      <c r="A1281" s="1"/>
      <c r="B1281" s="1" t="s">
        <v>10246</v>
      </c>
      <c r="C1281" s="1" t="s">
        <v>10247</v>
      </c>
      <c r="D1281" s="1" t="s">
        <v>10248</v>
      </c>
      <c r="E1281" s="1" t="s">
        <v>10249</v>
      </c>
      <c r="F1281" s="1" t="s">
        <v>10250</v>
      </c>
      <c r="G1281" s="1"/>
      <c r="H1281" s="1" t="s">
        <v>10251</v>
      </c>
      <c r="I1281" s="1" t="s">
        <v>10252</v>
      </c>
      <c r="J1281" s="1" t="s">
        <v>72</v>
      </c>
      <c r="K1281" s="1" t="s">
        <v>39</v>
      </c>
      <c r="L1281" s="1" t="s">
        <v>10253</v>
      </c>
      <c r="M1281" s="1" t="s">
        <v>141</v>
      </c>
      <c r="N1281" s="1"/>
      <c r="O1281" s="1" t="s">
        <v>7563</v>
      </c>
      <c r="P1281" s="1" t="s">
        <v>7724</v>
      </c>
      <c r="Q1281" s="1"/>
      <c r="R1281" s="1" t="s">
        <v>5359</v>
      </c>
      <c r="S1281" s="1" t="s">
        <v>10254</v>
      </c>
      <c r="T1281" s="15">
        <v>2025</v>
      </c>
      <c r="U1281" s="3" t="s">
        <v>5765</v>
      </c>
      <c r="V1281" s="3" t="s">
        <v>29</v>
      </c>
      <c r="X1281">
        <v>5</v>
      </c>
      <c r="Z1281" t="s">
        <v>3835</v>
      </c>
      <c r="AA1281" t="s">
        <v>7712</v>
      </c>
      <c r="AB1281" s="14" t="s">
        <v>3884</v>
      </c>
      <c r="AD1281" t="s">
        <v>8679</v>
      </c>
    </row>
    <row r="1282" spans="1:30" customFormat="1" ht="27.6" hidden="1" x14ac:dyDescent="0.3">
      <c r="A1282" s="1"/>
      <c r="B1282" s="1" t="s">
        <v>10255</v>
      </c>
      <c r="C1282" s="1" t="s">
        <v>354</v>
      </c>
      <c r="D1282" s="1" t="s">
        <v>10256</v>
      </c>
      <c r="E1282" s="1" t="s">
        <v>10257</v>
      </c>
      <c r="F1282" s="1" t="s">
        <v>10258</v>
      </c>
      <c r="G1282" s="1"/>
      <c r="H1282" s="1"/>
      <c r="I1282" s="1"/>
      <c r="J1282" s="1" t="s">
        <v>10259</v>
      </c>
      <c r="K1282" s="1" t="s">
        <v>39</v>
      </c>
      <c r="L1282" s="1" t="s">
        <v>10260</v>
      </c>
      <c r="M1282" s="1" t="s">
        <v>42</v>
      </c>
      <c r="N1282" s="1"/>
      <c r="O1282" s="1" t="s">
        <v>7563</v>
      </c>
      <c r="P1282" s="1"/>
      <c r="Q1282" s="1" t="s">
        <v>7651</v>
      </c>
      <c r="R1282" s="1" t="s">
        <v>5359</v>
      </c>
      <c r="S1282" s="1" t="s">
        <v>10261</v>
      </c>
      <c r="T1282" s="15">
        <v>2025</v>
      </c>
      <c r="U1282" s="3" t="s">
        <v>5765</v>
      </c>
      <c r="V1282" s="3" t="s">
        <v>29</v>
      </c>
      <c r="X1282">
        <v>5</v>
      </c>
      <c r="Z1282" t="s">
        <v>3835</v>
      </c>
      <c r="AA1282" t="s">
        <v>7139</v>
      </c>
      <c r="AB1282" s="14" t="s">
        <v>3884</v>
      </c>
      <c r="AD1282" t="s">
        <v>764</v>
      </c>
    </row>
    <row r="1283" spans="1:30" customFormat="1" x14ac:dyDescent="0.3">
      <c r="A1283" s="12"/>
      <c r="B1283" s="1" t="s">
        <v>5899</v>
      </c>
      <c r="C1283" s="1" t="s">
        <v>3319</v>
      </c>
      <c r="D1283" s="1" t="s">
        <v>10291</v>
      </c>
      <c r="E1283" s="1" t="s">
        <v>10262</v>
      </c>
      <c r="F1283" s="1" t="s">
        <v>10263</v>
      </c>
      <c r="G1283" s="1" t="s">
        <v>10264</v>
      </c>
      <c r="H1283" s="1"/>
      <c r="I1283" s="1" t="s">
        <v>10265</v>
      </c>
      <c r="J1283" s="1" t="s">
        <v>72</v>
      </c>
      <c r="K1283" s="1" t="s">
        <v>39</v>
      </c>
      <c r="L1283" s="1" t="s">
        <v>1025</v>
      </c>
      <c r="M1283" s="1" t="s">
        <v>42</v>
      </c>
      <c r="N1283" s="1"/>
      <c r="O1283" s="1" t="s">
        <v>7563</v>
      </c>
      <c r="P1283" s="1" t="s">
        <v>7724</v>
      </c>
      <c r="Q1283" s="1"/>
      <c r="R1283" s="1" t="s">
        <v>6962</v>
      </c>
      <c r="S1283" s="1" t="s">
        <v>10266</v>
      </c>
      <c r="T1283" s="15">
        <v>2025</v>
      </c>
      <c r="U1283" s="3" t="s">
        <v>5765</v>
      </c>
      <c r="V1283" s="3" t="s">
        <v>29</v>
      </c>
      <c r="Z1283" t="s">
        <v>3828</v>
      </c>
      <c r="AA1283" t="s">
        <v>7364</v>
      </c>
      <c r="AB1283" s="14" t="s">
        <v>3888</v>
      </c>
      <c r="AD1283" t="s">
        <v>764</v>
      </c>
    </row>
    <row r="1284" spans="1:30" customFormat="1" hidden="1" x14ac:dyDescent="0.3">
      <c r="A1284" s="1"/>
      <c r="B1284" s="1" t="s">
        <v>10267</v>
      </c>
      <c r="C1284" s="1" t="s">
        <v>494</v>
      </c>
      <c r="D1284" s="1" t="s">
        <v>10268</v>
      </c>
      <c r="E1284" s="1"/>
      <c r="F1284" s="1" t="s">
        <v>10269</v>
      </c>
      <c r="G1284" s="1"/>
      <c r="H1284" s="1" t="s">
        <v>10270</v>
      </c>
      <c r="I1284" s="1" t="s">
        <v>10271</v>
      </c>
      <c r="J1284" s="1" t="s">
        <v>877</v>
      </c>
      <c r="K1284" s="1" t="s">
        <v>39</v>
      </c>
      <c r="L1284" s="1" t="s">
        <v>1144</v>
      </c>
      <c r="M1284" s="1" t="s">
        <v>141</v>
      </c>
      <c r="N1284" s="1"/>
      <c r="O1284" s="1" t="s">
        <v>7563</v>
      </c>
      <c r="P1284" s="1"/>
      <c r="Q1284" s="1" t="s">
        <v>7651</v>
      </c>
      <c r="R1284" s="1" t="s">
        <v>5480</v>
      </c>
      <c r="S1284" s="1" t="s">
        <v>10272</v>
      </c>
      <c r="T1284" s="15">
        <v>2025</v>
      </c>
      <c r="U1284" s="3" t="s">
        <v>5765</v>
      </c>
      <c r="V1284" s="3" t="s">
        <v>29</v>
      </c>
      <c r="X1284">
        <v>5</v>
      </c>
      <c r="Z1284" t="s">
        <v>3870</v>
      </c>
      <c r="AA1284" t="s">
        <v>9500</v>
      </c>
      <c r="AB1284" s="14" t="s">
        <v>3886</v>
      </c>
      <c r="AD1284" t="s">
        <v>764</v>
      </c>
    </row>
    <row r="1285" spans="1:30" customFormat="1" hidden="1" x14ac:dyDescent="0.3">
      <c r="A1285" s="12"/>
      <c r="B1285" s="1" t="s">
        <v>10273</v>
      </c>
      <c r="C1285" s="1" t="s">
        <v>523</v>
      </c>
      <c r="D1285" s="1" t="s">
        <v>10292</v>
      </c>
      <c r="E1285" s="1" t="s">
        <v>10274</v>
      </c>
      <c r="F1285" s="1" t="s">
        <v>10275</v>
      </c>
      <c r="G1285" s="1"/>
      <c r="H1285" s="1"/>
      <c r="I1285" s="1"/>
      <c r="J1285" s="1" t="s">
        <v>6082</v>
      </c>
      <c r="K1285" s="1" t="s">
        <v>39</v>
      </c>
      <c r="L1285" s="1" t="s">
        <v>1025</v>
      </c>
      <c r="M1285" s="1" t="s">
        <v>141</v>
      </c>
      <c r="N1285" s="1"/>
      <c r="O1285" s="1" t="s">
        <v>7563</v>
      </c>
      <c r="P1285" s="1"/>
      <c r="Q1285" s="1" t="s">
        <v>7651</v>
      </c>
      <c r="R1285" s="1" t="s">
        <v>5480</v>
      </c>
      <c r="S1285" s="1" t="s">
        <v>10276</v>
      </c>
      <c r="T1285" s="15">
        <v>2025</v>
      </c>
      <c r="U1285" s="3" t="s">
        <v>5765</v>
      </c>
      <c r="V1285" s="3" t="s">
        <v>29</v>
      </c>
      <c r="X1285">
        <v>5</v>
      </c>
      <c r="Z1285" t="s">
        <v>3828</v>
      </c>
      <c r="AA1285" t="s">
        <v>7225</v>
      </c>
      <c r="AB1285" s="14" t="s">
        <v>3885</v>
      </c>
      <c r="AD1285" t="s">
        <v>764</v>
      </c>
    </row>
    <row r="1286" spans="1:30" customFormat="1" ht="27.6" hidden="1" x14ac:dyDescent="0.3">
      <c r="A1286" s="1"/>
      <c r="B1286" s="1" t="s">
        <v>406</v>
      </c>
      <c r="C1286" s="1" t="s">
        <v>10277</v>
      </c>
      <c r="D1286" s="1" t="s">
        <v>10278</v>
      </c>
      <c r="E1286" s="1"/>
      <c r="F1286" s="1" t="s">
        <v>10279</v>
      </c>
      <c r="G1286" s="1" t="s">
        <v>10280</v>
      </c>
      <c r="H1286" s="1"/>
      <c r="I1286" s="1"/>
      <c r="J1286" s="1" t="s">
        <v>10281</v>
      </c>
      <c r="K1286" s="1" t="s">
        <v>39</v>
      </c>
      <c r="L1286" s="1" t="s">
        <v>1276</v>
      </c>
      <c r="M1286" s="1" t="s">
        <v>42</v>
      </c>
      <c r="N1286" s="1"/>
      <c r="O1286" s="1" t="s">
        <v>7563</v>
      </c>
      <c r="P1286" s="1"/>
      <c r="Q1286" s="1" t="s">
        <v>7651</v>
      </c>
      <c r="R1286" s="1" t="s">
        <v>5359</v>
      </c>
      <c r="S1286" s="1" t="s">
        <v>10282</v>
      </c>
      <c r="T1286" s="15">
        <v>2025</v>
      </c>
      <c r="U1286" s="3" t="s">
        <v>5765</v>
      </c>
      <c r="V1286" s="3" t="s">
        <v>29</v>
      </c>
      <c r="X1286">
        <v>5</v>
      </c>
      <c r="Z1286" t="s">
        <v>2148</v>
      </c>
      <c r="AA1286" t="s">
        <v>9139</v>
      </c>
      <c r="AB1286" s="14" t="s">
        <v>3890</v>
      </c>
      <c r="AD1286" t="s">
        <v>764</v>
      </c>
    </row>
    <row r="1287" spans="1:30" customFormat="1" ht="95.4" hidden="1" customHeight="1" x14ac:dyDescent="0.3">
      <c r="A1287" s="1" t="s">
        <v>5400</v>
      </c>
      <c r="B1287" s="1" t="s">
        <v>10283</v>
      </c>
      <c r="C1287" s="1" t="s">
        <v>10284</v>
      </c>
      <c r="D1287" s="1" t="s">
        <v>10285</v>
      </c>
      <c r="E1287" s="1" t="s">
        <v>10286</v>
      </c>
      <c r="F1287" s="1" t="s">
        <v>10287</v>
      </c>
      <c r="G1287" s="1" t="s">
        <v>10288</v>
      </c>
      <c r="H1287" s="1" t="s">
        <v>10289</v>
      </c>
      <c r="I1287" s="1"/>
      <c r="J1287" s="1" t="s">
        <v>72</v>
      </c>
      <c r="K1287" s="1" t="s">
        <v>39</v>
      </c>
      <c r="L1287" s="1" t="s">
        <v>10289</v>
      </c>
      <c r="M1287" s="1" t="s">
        <v>152</v>
      </c>
      <c r="N1287" s="60" t="s">
        <v>10293</v>
      </c>
      <c r="O1287" s="1" t="s">
        <v>7563</v>
      </c>
      <c r="P1287" s="1" t="s">
        <v>7724</v>
      </c>
      <c r="Q1287" s="1"/>
      <c r="R1287" s="1" t="s">
        <v>5359</v>
      </c>
      <c r="S1287" s="1" t="s">
        <v>10290</v>
      </c>
      <c r="T1287" s="15">
        <v>2025</v>
      </c>
      <c r="U1287" s="3" t="s">
        <v>5765</v>
      </c>
      <c r="V1287" s="3" t="s">
        <v>29</v>
      </c>
      <c r="X1287" t="s">
        <v>10295</v>
      </c>
      <c r="Z1287" t="s">
        <v>3828</v>
      </c>
      <c r="AA1287" s="12" t="s">
        <v>10294</v>
      </c>
      <c r="AB1287" s="14" t="s">
        <v>3887</v>
      </c>
    </row>
  </sheetData>
  <autoFilter ref="X1:X1287" xr:uid="{00000000-0001-0000-0000-000000000000}">
    <filterColumn colId="0">
      <filters blank="1"/>
    </filterColumn>
  </autoFilter>
  <sortState xmlns:xlrd2="http://schemas.microsoft.com/office/spreadsheetml/2017/richdata2" ref="A2:AD884">
    <sortCondition ref="S2:S884"/>
  </sortState>
  <phoneticPr fontId="3" type="noConversion"/>
  <conditionalFormatting sqref="AC1280:AC1282 AC1249:AD1249 AC1210 AD1166 AC1086:AC1092 AC984:AC1052 AC963:AC964 AD879 AD833 AC1:AC267 E1:E633 AC558:AC559 AC561:AC565 AC568 AC577 AC579 AC583 AC586:AC587 AC589 AC591:AC602 AC604:AC606 AC608:AC616 AC618:AC625 AC627:AC633 AC638:AC907 E638:E1048576 AC269:AC555 AD707 AD895 AC909:AC919 AC921:AC960 AC972:AC974 AC978 AD1050 AC1054 AC1056 AC1059:AC1063 AC1068:AC1069 AC1078:AC1079 AD1078 AC1081:AC1084 AC1094 AC1098:AC1105 AC1108 AC1118:AC1126 AC1128:AC1129 AC1133:AC1139 AC1141:AC1142 AC1153:AD1154 AC1157:AC1161 AD1157:AD1158 AD1160 AC1166:AC1167 AD1170 AC1174:AD1174 AC1169:AC1170 AC1181 AC1223:AD1223 AC1225 AC1253 AC1256 AC1263:AD1263 AC1265 AC1287:AC1048576">
    <cfRule type="duplicateValues" dxfId="208" priority="241"/>
  </conditionalFormatting>
  <conditionalFormatting sqref="AC556">
    <cfRule type="duplicateValues" dxfId="207" priority="235"/>
  </conditionalFormatting>
  <conditionalFormatting sqref="AC557">
    <cfRule type="duplicateValues" dxfId="206" priority="234"/>
  </conditionalFormatting>
  <conditionalFormatting sqref="AC560">
    <cfRule type="duplicateValues" dxfId="205" priority="233"/>
  </conditionalFormatting>
  <conditionalFormatting sqref="AC566">
    <cfRule type="duplicateValues" dxfId="204" priority="232"/>
  </conditionalFormatting>
  <conditionalFormatting sqref="AC567">
    <cfRule type="duplicateValues" dxfId="203" priority="231"/>
  </conditionalFormatting>
  <conditionalFormatting sqref="AC569">
    <cfRule type="duplicateValues" dxfId="202" priority="230"/>
  </conditionalFormatting>
  <conditionalFormatting sqref="AC570">
    <cfRule type="duplicateValues" dxfId="201" priority="229"/>
  </conditionalFormatting>
  <conditionalFormatting sqref="AC571">
    <cfRule type="duplicateValues" dxfId="200" priority="228"/>
  </conditionalFormatting>
  <conditionalFormatting sqref="AC572">
    <cfRule type="duplicateValues" dxfId="199" priority="227"/>
  </conditionalFormatting>
  <conditionalFormatting sqref="AC573">
    <cfRule type="duplicateValues" dxfId="198" priority="226"/>
  </conditionalFormatting>
  <conditionalFormatting sqref="AC574">
    <cfRule type="duplicateValues" dxfId="197" priority="225"/>
  </conditionalFormatting>
  <conditionalFormatting sqref="AC575">
    <cfRule type="duplicateValues" dxfId="196" priority="224"/>
  </conditionalFormatting>
  <conditionalFormatting sqref="AC576">
    <cfRule type="duplicateValues" dxfId="195" priority="223"/>
  </conditionalFormatting>
  <conditionalFormatting sqref="AC578">
    <cfRule type="duplicateValues" dxfId="194" priority="222"/>
  </conditionalFormatting>
  <conditionalFormatting sqref="AC580">
    <cfRule type="duplicateValues" dxfId="193" priority="221"/>
  </conditionalFormatting>
  <conditionalFormatting sqref="AC581">
    <cfRule type="duplicateValues" dxfId="192" priority="220"/>
  </conditionalFormatting>
  <conditionalFormatting sqref="AC582">
    <cfRule type="duplicateValues" dxfId="191" priority="219"/>
  </conditionalFormatting>
  <conditionalFormatting sqref="AC584">
    <cfRule type="duplicateValues" dxfId="190" priority="218"/>
  </conditionalFormatting>
  <conditionalFormatting sqref="AC585">
    <cfRule type="duplicateValues" dxfId="189" priority="217"/>
  </conditionalFormatting>
  <conditionalFormatting sqref="AC588">
    <cfRule type="duplicateValues" dxfId="188" priority="216"/>
  </conditionalFormatting>
  <conditionalFormatting sqref="AC590">
    <cfRule type="duplicateValues" dxfId="187" priority="215"/>
  </conditionalFormatting>
  <conditionalFormatting sqref="AC603">
    <cfRule type="duplicateValues" dxfId="186" priority="214"/>
  </conditionalFormatting>
  <conditionalFormatting sqref="AC607">
    <cfRule type="duplicateValues" dxfId="185" priority="213"/>
  </conditionalFormatting>
  <conditionalFormatting sqref="AC617">
    <cfRule type="duplicateValues" dxfId="184" priority="212"/>
  </conditionalFormatting>
  <conditionalFormatting sqref="AC626">
    <cfRule type="duplicateValues" dxfId="183" priority="211"/>
  </conditionalFormatting>
  <conditionalFormatting sqref="E634:E637 AC634:AC637">
    <cfRule type="duplicateValues" dxfId="182" priority="205"/>
  </conditionalFormatting>
  <conditionalFormatting sqref="D634:D637">
    <cfRule type="duplicateValues" dxfId="181" priority="206"/>
    <cfRule type="duplicateValues" dxfId="180" priority="207"/>
    <cfRule type="duplicateValues" dxfId="179" priority="208"/>
    <cfRule type="duplicateValues" dxfId="178" priority="209"/>
  </conditionalFormatting>
  <conditionalFormatting sqref="AC268">
    <cfRule type="duplicateValues" dxfId="177" priority="200"/>
  </conditionalFormatting>
  <conditionalFormatting sqref="D1:D633 D638:D1282 D1286:D1048576 D1284">
    <cfRule type="duplicateValues" dxfId="176" priority="278"/>
    <cfRule type="duplicateValues" dxfId="175" priority="279"/>
    <cfRule type="duplicateValues" dxfId="174" priority="280"/>
    <cfRule type="duplicateValues" dxfId="173" priority="281"/>
  </conditionalFormatting>
  <conditionalFormatting sqref="AC908">
    <cfRule type="duplicateValues" dxfId="172" priority="177"/>
  </conditionalFormatting>
  <conditionalFormatting sqref="AC920">
    <cfRule type="duplicateValues" dxfId="171" priority="176"/>
  </conditionalFormatting>
  <conditionalFormatting sqref="AC961">
    <cfRule type="duplicateValues" dxfId="170" priority="175"/>
  </conditionalFormatting>
  <conditionalFormatting sqref="AC962">
    <cfRule type="duplicateValues" dxfId="169" priority="174"/>
  </conditionalFormatting>
  <conditionalFormatting sqref="AC965">
    <cfRule type="duplicateValues" dxfId="168" priority="173"/>
  </conditionalFormatting>
  <conditionalFormatting sqref="AC966">
    <cfRule type="duplicateValues" dxfId="167" priority="172"/>
  </conditionalFormatting>
  <conditionalFormatting sqref="AC967">
    <cfRule type="duplicateValues" dxfId="166" priority="171"/>
  </conditionalFormatting>
  <conditionalFormatting sqref="AC968">
    <cfRule type="duplicateValues" dxfId="165" priority="170"/>
  </conditionalFormatting>
  <conditionalFormatting sqref="AC969">
    <cfRule type="duplicateValues" dxfId="164" priority="169"/>
  </conditionalFormatting>
  <conditionalFormatting sqref="AC970">
    <cfRule type="duplicateValues" dxfId="163" priority="168"/>
  </conditionalFormatting>
  <conditionalFormatting sqref="AC971">
    <cfRule type="duplicateValues" dxfId="162" priority="167"/>
  </conditionalFormatting>
  <conditionalFormatting sqref="AC975">
    <cfRule type="duplicateValues" dxfId="161" priority="166"/>
  </conditionalFormatting>
  <conditionalFormatting sqref="AC976">
    <cfRule type="duplicateValues" dxfId="160" priority="165"/>
  </conditionalFormatting>
  <conditionalFormatting sqref="AC977">
    <cfRule type="duplicateValues" dxfId="159" priority="164"/>
  </conditionalFormatting>
  <conditionalFormatting sqref="AC979">
    <cfRule type="duplicateValues" dxfId="158" priority="163"/>
  </conditionalFormatting>
  <conditionalFormatting sqref="AC980">
    <cfRule type="duplicateValues" dxfId="157" priority="162"/>
  </conditionalFormatting>
  <conditionalFormatting sqref="AC981">
    <cfRule type="duplicateValues" dxfId="156" priority="161"/>
  </conditionalFormatting>
  <conditionalFormatting sqref="AC982:AC983">
    <cfRule type="duplicateValues" dxfId="155" priority="160"/>
  </conditionalFormatting>
  <conditionalFormatting sqref="AC1053">
    <cfRule type="duplicateValues" dxfId="154" priority="159"/>
  </conditionalFormatting>
  <conditionalFormatting sqref="AC1055">
    <cfRule type="duplicateValues" dxfId="153" priority="158"/>
  </conditionalFormatting>
  <conditionalFormatting sqref="AC1057">
    <cfRule type="duplicateValues" dxfId="152" priority="157"/>
  </conditionalFormatting>
  <conditionalFormatting sqref="AC1058">
    <cfRule type="duplicateValues" dxfId="151" priority="156"/>
  </conditionalFormatting>
  <conditionalFormatting sqref="AC1064">
    <cfRule type="duplicateValues" dxfId="150" priority="155"/>
  </conditionalFormatting>
  <conditionalFormatting sqref="AC1065">
    <cfRule type="duplicateValues" dxfId="149" priority="154"/>
  </conditionalFormatting>
  <conditionalFormatting sqref="AC1066">
    <cfRule type="duplicateValues" dxfId="148" priority="153"/>
  </conditionalFormatting>
  <conditionalFormatting sqref="AC1067">
    <cfRule type="duplicateValues" dxfId="147" priority="152"/>
  </conditionalFormatting>
  <conditionalFormatting sqref="AC1070">
    <cfRule type="duplicateValues" dxfId="146" priority="151"/>
  </conditionalFormatting>
  <conditionalFormatting sqref="AC1071">
    <cfRule type="duplicateValues" dxfId="145" priority="150"/>
  </conditionalFormatting>
  <conditionalFormatting sqref="AC1072">
    <cfRule type="duplicateValues" dxfId="144" priority="149"/>
  </conditionalFormatting>
  <conditionalFormatting sqref="AC1073">
    <cfRule type="duplicateValues" dxfId="143" priority="148"/>
  </conditionalFormatting>
  <conditionalFormatting sqref="AC1074">
    <cfRule type="duplicateValues" dxfId="142" priority="147"/>
  </conditionalFormatting>
  <conditionalFormatting sqref="AC1075">
    <cfRule type="duplicateValues" dxfId="141" priority="146"/>
  </conditionalFormatting>
  <conditionalFormatting sqref="AC1076">
    <cfRule type="duplicateValues" dxfId="140" priority="145"/>
  </conditionalFormatting>
  <conditionalFormatting sqref="AC1077">
    <cfRule type="duplicateValues" dxfId="139" priority="144"/>
  </conditionalFormatting>
  <conditionalFormatting sqref="AC1080">
    <cfRule type="duplicateValues" dxfId="138" priority="143"/>
  </conditionalFormatting>
  <conditionalFormatting sqref="AC1085">
    <cfRule type="duplicateValues" dxfId="137" priority="142"/>
  </conditionalFormatting>
  <conditionalFormatting sqref="AC1093">
    <cfRule type="duplicateValues" dxfId="136" priority="141"/>
  </conditionalFormatting>
  <conditionalFormatting sqref="AC1095">
    <cfRule type="duplicateValues" dxfId="135" priority="140"/>
  </conditionalFormatting>
  <conditionalFormatting sqref="AC1096">
    <cfRule type="duplicateValues" dxfId="134" priority="139"/>
  </conditionalFormatting>
  <conditionalFormatting sqref="AC1097">
    <cfRule type="duplicateValues" dxfId="133" priority="138"/>
  </conditionalFormatting>
  <conditionalFormatting sqref="AC1106">
    <cfRule type="duplicateValues" dxfId="132" priority="137"/>
  </conditionalFormatting>
  <conditionalFormatting sqref="AC1107">
    <cfRule type="duplicateValues" dxfId="131" priority="136"/>
  </conditionalFormatting>
  <conditionalFormatting sqref="AC1109">
    <cfRule type="duplicateValues" dxfId="130" priority="135"/>
  </conditionalFormatting>
  <conditionalFormatting sqref="AC1110">
    <cfRule type="duplicateValues" dxfId="129" priority="134"/>
  </conditionalFormatting>
  <conditionalFormatting sqref="AC1111">
    <cfRule type="duplicateValues" dxfId="128" priority="133"/>
  </conditionalFormatting>
  <conditionalFormatting sqref="AC1113">
    <cfRule type="duplicateValues" dxfId="127" priority="132"/>
  </conditionalFormatting>
  <conditionalFormatting sqref="AC1112">
    <cfRule type="duplicateValues" dxfId="126" priority="131"/>
  </conditionalFormatting>
  <conditionalFormatting sqref="AC1114">
    <cfRule type="duplicateValues" dxfId="125" priority="130"/>
  </conditionalFormatting>
  <conditionalFormatting sqref="AC1115:AC1116">
    <cfRule type="duplicateValues" dxfId="124" priority="129"/>
  </conditionalFormatting>
  <conditionalFormatting sqref="AC1117">
    <cfRule type="duplicateValues" dxfId="123" priority="128"/>
  </conditionalFormatting>
  <conditionalFormatting sqref="AC1127">
    <cfRule type="duplicateValues" dxfId="122" priority="127"/>
  </conditionalFormatting>
  <conditionalFormatting sqref="AC1130">
    <cfRule type="duplicateValues" dxfId="121" priority="126"/>
  </conditionalFormatting>
  <conditionalFormatting sqref="AC1131">
    <cfRule type="duplicateValues" dxfId="120" priority="125"/>
  </conditionalFormatting>
  <conditionalFormatting sqref="AC1132">
    <cfRule type="duplicateValues" dxfId="119" priority="124"/>
  </conditionalFormatting>
  <conditionalFormatting sqref="AC1140">
    <cfRule type="duplicateValues" dxfId="118" priority="122"/>
  </conditionalFormatting>
  <conditionalFormatting sqref="AC1143">
    <cfRule type="duplicateValues" dxfId="117" priority="119"/>
  </conditionalFormatting>
  <conditionalFormatting sqref="AC1144">
    <cfRule type="duplicateValues" dxfId="116" priority="118"/>
  </conditionalFormatting>
  <conditionalFormatting sqref="AC1145">
    <cfRule type="duplicateValues" dxfId="115" priority="117"/>
  </conditionalFormatting>
  <conditionalFormatting sqref="AC1146">
    <cfRule type="duplicateValues" dxfId="114" priority="116"/>
  </conditionalFormatting>
  <conditionalFormatting sqref="AC1147">
    <cfRule type="duplicateValues" dxfId="113" priority="115"/>
  </conditionalFormatting>
  <conditionalFormatting sqref="AC1148">
    <cfRule type="duplicateValues" dxfId="112" priority="114"/>
  </conditionalFormatting>
  <conditionalFormatting sqref="AC1149">
    <cfRule type="duplicateValues" dxfId="111" priority="113"/>
  </conditionalFormatting>
  <conditionalFormatting sqref="AC1150">
    <cfRule type="duplicateValues" dxfId="110" priority="112"/>
  </conditionalFormatting>
  <conditionalFormatting sqref="AC1151">
    <cfRule type="duplicateValues" dxfId="109" priority="111"/>
  </conditionalFormatting>
  <conditionalFormatting sqref="AC1152">
    <cfRule type="duplicateValues" dxfId="108" priority="110"/>
  </conditionalFormatting>
  <conditionalFormatting sqref="AC1155">
    <cfRule type="duplicateValues" dxfId="107" priority="109"/>
  </conditionalFormatting>
  <conditionalFormatting sqref="AC1156">
    <cfRule type="duplicateValues" dxfId="106" priority="108"/>
  </conditionalFormatting>
  <conditionalFormatting sqref="AC1162">
    <cfRule type="duplicateValues" dxfId="105" priority="107"/>
  </conditionalFormatting>
  <conditionalFormatting sqref="AC1163">
    <cfRule type="duplicateValues" dxfId="104" priority="106"/>
  </conditionalFormatting>
  <conditionalFormatting sqref="AC1164">
    <cfRule type="duplicateValues" dxfId="103" priority="105"/>
  </conditionalFormatting>
  <conditionalFormatting sqref="AC1165">
    <cfRule type="duplicateValues" dxfId="102" priority="104"/>
  </conditionalFormatting>
  <conditionalFormatting sqref="AC1171">
    <cfRule type="duplicateValues" dxfId="101" priority="103"/>
  </conditionalFormatting>
  <conditionalFormatting sqref="AC1172">
    <cfRule type="duplicateValues" dxfId="100" priority="102"/>
  </conditionalFormatting>
  <conditionalFormatting sqref="AC1173">
    <cfRule type="duplicateValues" dxfId="99" priority="101"/>
  </conditionalFormatting>
  <conditionalFormatting sqref="AC1168">
    <cfRule type="duplicateValues" dxfId="98" priority="100"/>
  </conditionalFormatting>
  <conditionalFormatting sqref="AC1175">
    <cfRule type="duplicateValues" dxfId="97" priority="99"/>
  </conditionalFormatting>
  <conditionalFormatting sqref="AC1176">
    <cfRule type="duplicateValues" dxfId="96" priority="98"/>
  </conditionalFormatting>
  <conditionalFormatting sqref="AC1177">
    <cfRule type="duplicateValues" dxfId="95" priority="97"/>
  </conditionalFormatting>
  <conditionalFormatting sqref="AC1178">
    <cfRule type="duplicateValues" dxfId="94" priority="96"/>
  </conditionalFormatting>
  <conditionalFormatting sqref="AC1179">
    <cfRule type="duplicateValues" dxfId="93" priority="95"/>
  </conditionalFormatting>
  <conditionalFormatting sqref="AC1180">
    <cfRule type="duplicateValues" dxfId="92" priority="94"/>
  </conditionalFormatting>
  <conditionalFormatting sqref="AC1182">
    <cfRule type="duplicateValues" dxfId="91" priority="93"/>
  </conditionalFormatting>
  <conditionalFormatting sqref="AC1183">
    <cfRule type="duplicateValues" dxfId="90" priority="92"/>
  </conditionalFormatting>
  <conditionalFormatting sqref="AC1184">
    <cfRule type="duplicateValues" dxfId="89" priority="91"/>
  </conditionalFormatting>
  <conditionalFormatting sqref="AC1185">
    <cfRule type="duplicateValues" dxfId="88" priority="90"/>
  </conditionalFormatting>
  <conditionalFormatting sqref="AC1186">
    <cfRule type="duplicateValues" dxfId="87" priority="89"/>
  </conditionalFormatting>
  <conditionalFormatting sqref="AC1187">
    <cfRule type="duplicateValues" dxfId="86" priority="88"/>
  </conditionalFormatting>
  <conditionalFormatting sqref="AC1188">
    <cfRule type="duplicateValues" dxfId="85" priority="87"/>
  </conditionalFormatting>
  <conditionalFormatting sqref="AC1189">
    <cfRule type="duplicateValues" dxfId="84" priority="86"/>
  </conditionalFormatting>
  <conditionalFormatting sqref="AC1190">
    <cfRule type="duplicateValues" dxfId="83" priority="85"/>
  </conditionalFormatting>
  <conditionalFormatting sqref="AC1191">
    <cfRule type="duplicateValues" dxfId="82" priority="84"/>
  </conditionalFormatting>
  <conditionalFormatting sqref="AC1192">
    <cfRule type="duplicateValues" dxfId="81" priority="83"/>
  </conditionalFormatting>
  <conditionalFormatting sqref="AC1193">
    <cfRule type="duplicateValues" dxfId="80" priority="82"/>
  </conditionalFormatting>
  <conditionalFormatting sqref="AC1194:AC1195">
    <cfRule type="duplicateValues" dxfId="79" priority="81"/>
  </conditionalFormatting>
  <conditionalFormatting sqref="AC1196">
    <cfRule type="duplicateValues" dxfId="78" priority="80"/>
  </conditionalFormatting>
  <conditionalFormatting sqref="AC1197">
    <cfRule type="duplicateValues" dxfId="77" priority="79"/>
  </conditionalFormatting>
  <conditionalFormatting sqref="AC1198">
    <cfRule type="duplicateValues" dxfId="76" priority="78"/>
  </conditionalFormatting>
  <conditionalFormatting sqref="AC1199">
    <cfRule type="duplicateValues" dxfId="75" priority="77"/>
  </conditionalFormatting>
  <conditionalFormatting sqref="AC1200">
    <cfRule type="duplicateValues" dxfId="74" priority="76"/>
  </conditionalFormatting>
  <conditionalFormatting sqref="AC1201">
    <cfRule type="duplicateValues" dxfId="73" priority="75"/>
  </conditionalFormatting>
  <conditionalFormatting sqref="AC1202">
    <cfRule type="duplicateValues" dxfId="72" priority="74"/>
  </conditionalFormatting>
  <conditionalFormatting sqref="AC1203">
    <cfRule type="duplicateValues" dxfId="71" priority="73"/>
  </conditionalFormatting>
  <conditionalFormatting sqref="AC1204">
    <cfRule type="duplicateValues" dxfId="70" priority="72"/>
  </conditionalFormatting>
  <conditionalFormatting sqref="AC1205">
    <cfRule type="duplicateValues" dxfId="69" priority="71"/>
  </conditionalFormatting>
  <conditionalFormatting sqref="AC1206">
    <cfRule type="duplicateValues" dxfId="68" priority="70"/>
  </conditionalFormatting>
  <conditionalFormatting sqref="AC1207:AC1208">
    <cfRule type="duplicateValues" dxfId="67" priority="69"/>
  </conditionalFormatting>
  <conditionalFormatting sqref="AC1209">
    <cfRule type="duplicateValues" dxfId="66" priority="68"/>
  </conditionalFormatting>
  <conditionalFormatting sqref="AC1211">
    <cfRule type="duplicateValues" dxfId="65" priority="67"/>
  </conditionalFormatting>
  <conditionalFormatting sqref="AC1212">
    <cfRule type="duplicateValues" dxfId="64" priority="66"/>
  </conditionalFormatting>
  <conditionalFormatting sqref="AC1213">
    <cfRule type="duplicateValues" dxfId="63" priority="65"/>
  </conditionalFormatting>
  <conditionalFormatting sqref="AC1214">
    <cfRule type="duplicateValues" dxfId="62" priority="64"/>
  </conditionalFormatting>
  <conditionalFormatting sqref="AC1215">
    <cfRule type="duplicateValues" dxfId="61" priority="63"/>
  </conditionalFormatting>
  <conditionalFormatting sqref="AC1216">
    <cfRule type="duplicateValues" dxfId="60" priority="62"/>
  </conditionalFormatting>
  <conditionalFormatting sqref="AC1217">
    <cfRule type="duplicateValues" dxfId="59" priority="61"/>
  </conditionalFormatting>
  <conditionalFormatting sqref="AC1218">
    <cfRule type="duplicateValues" dxfId="58" priority="60"/>
  </conditionalFormatting>
  <conditionalFormatting sqref="AC1219">
    <cfRule type="duplicateValues" dxfId="57" priority="59"/>
  </conditionalFormatting>
  <conditionalFormatting sqref="AC1220">
    <cfRule type="duplicateValues" dxfId="56" priority="58"/>
  </conditionalFormatting>
  <conditionalFormatting sqref="AC1221">
    <cfRule type="duplicateValues" dxfId="55" priority="57"/>
  </conditionalFormatting>
  <conditionalFormatting sqref="AC1222">
    <cfRule type="duplicateValues" dxfId="54" priority="56"/>
  </conditionalFormatting>
  <conditionalFormatting sqref="AC1224">
    <cfRule type="duplicateValues" dxfId="53" priority="55"/>
  </conditionalFormatting>
  <conditionalFormatting sqref="AC1226">
    <cfRule type="duplicateValues" dxfId="52" priority="54"/>
  </conditionalFormatting>
  <conditionalFormatting sqref="AC1227">
    <cfRule type="duplicateValues" dxfId="51" priority="52"/>
  </conditionalFormatting>
  <conditionalFormatting sqref="AC1228">
    <cfRule type="duplicateValues" dxfId="50" priority="51"/>
  </conditionalFormatting>
  <conditionalFormatting sqref="AC1229">
    <cfRule type="duplicateValues" dxfId="49" priority="50"/>
  </conditionalFormatting>
  <conditionalFormatting sqref="AC1230">
    <cfRule type="duplicateValues" dxfId="48" priority="49"/>
  </conditionalFormatting>
  <conditionalFormatting sqref="AC1231">
    <cfRule type="duplicateValues" dxfId="47" priority="48"/>
  </conditionalFormatting>
  <conditionalFormatting sqref="AC1232">
    <cfRule type="duplicateValues" dxfId="46" priority="47"/>
  </conditionalFormatting>
  <conditionalFormatting sqref="AC1233">
    <cfRule type="duplicateValues" dxfId="45" priority="46"/>
  </conditionalFormatting>
  <conditionalFormatting sqref="AC1234">
    <cfRule type="duplicateValues" dxfId="44" priority="45"/>
  </conditionalFormatting>
  <conditionalFormatting sqref="AC1235">
    <cfRule type="duplicateValues" dxfId="43" priority="44"/>
  </conditionalFormatting>
  <conditionalFormatting sqref="AC1236">
    <cfRule type="duplicateValues" dxfId="42" priority="43"/>
  </conditionalFormatting>
  <conditionalFormatting sqref="AC1237:AD1237">
    <cfRule type="duplicateValues" dxfId="41" priority="42"/>
  </conditionalFormatting>
  <conditionalFormatting sqref="AC1238">
    <cfRule type="duplicateValues" dxfId="40" priority="41"/>
  </conditionalFormatting>
  <conditionalFormatting sqref="AC1239">
    <cfRule type="duplicateValues" dxfId="39" priority="40"/>
  </conditionalFormatting>
  <conditionalFormatting sqref="AC1240">
    <cfRule type="duplicateValues" dxfId="38" priority="39"/>
  </conditionalFormatting>
  <conditionalFormatting sqref="AC1241">
    <cfRule type="duplicateValues" dxfId="37" priority="38"/>
  </conditionalFormatting>
  <conditionalFormatting sqref="AC1242">
    <cfRule type="duplicateValues" dxfId="36" priority="37"/>
  </conditionalFormatting>
  <conditionalFormatting sqref="AC1243">
    <cfRule type="duplicateValues" dxfId="35" priority="36"/>
  </conditionalFormatting>
  <conditionalFormatting sqref="AC1244">
    <cfRule type="duplicateValues" dxfId="34" priority="35"/>
  </conditionalFormatting>
  <conditionalFormatting sqref="AC1245">
    <cfRule type="duplicateValues" dxfId="33" priority="34"/>
  </conditionalFormatting>
  <conditionalFormatting sqref="AC1246">
    <cfRule type="duplicateValues" dxfId="32" priority="33"/>
  </conditionalFormatting>
  <conditionalFormatting sqref="AC1247">
    <cfRule type="duplicateValues" dxfId="31" priority="32"/>
  </conditionalFormatting>
  <conditionalFormatting sqref="AC1248">
    <cfRule type="duplicateValues" dxfId="30" priority="31"/>
  </conditionalFormatting>
  <conditionalFormatting sqref="AC1250">
    <cfRule type="duplicateValues" dxfId="29" priority="30"/>
  </conditionalFormatting>
  <conditionalFormatting sqref="AC1251">
    <cfRule type="duplicateValues" dxfId="28" priority="29"/>
  </conditionalFormatting>
  <conditionalFormatting sqref="AC1252">
    <cfRule type="duplicateValues" dxfId="27" priority="28"/>
  </conditionalFormatting>
  <conditionalFormatting sqref="AC1254">
    <cfRule type="duplicateValues" dxfId="26" priority="27"/>
  </conditionalFormatting>
  <conditionalFormatting sqref="AC1255">
    <cfRule type="duplicateValues" dxfId="25" priority="26"/>
  </conditionalFormatting>
  <conditionalFormatting sqref="AC1257">
    <cfRule type="duplicateValues" dxfId="24" priority="25"/>
  </conditionalFormatting>
  <conditionalFormatting sqref="AC1258">
    <cfRule type="duplicateValues" dxfId="23" priority="24"/>
  </conditionalFormatting>
  <conditionalFormatting sqref="AC1259">
    <cfRule type="duplicateValues" dxfId="22" priority="23"/>
  </conditionalFormatting>
  <conditionalFormatting sqref="AC1260">
    <cfRule type="duplicateValues" dxfId="21" priority="22"/>
  </conditionalFormatting>
  <conditionalFormatting sqref="AC1261">
    <cfRule type="duplicateValues" dxfId="20" priority="21"/>
  </conditionalFormatting>
  <conditionalFormatting sqref="AC1262">
    <cfRule type="duplicateValues" dxfId="19" priority="20"/>
  </conditionalFormatting>
  <conditionalFormatting sqref="AC1264:AD1264 AD1265">
    <cfRule type="duplicateValues" dxfId="18" priority="19"/>
  </conditionalFormatting>
  <conditionalFormatting sqref="AC1266">
    <cfRule type="duplicateValues" dxfId="17" priority="18"/>
  </conditionalFormatting>
  <conditionalFormatting sqref="AC1267">
    <cfRule type="duplicateValues" dxfId="16" priority="17"/>
  </conditionalFormatting>
  <conditionalFormatting sqref="AC1268">
    <cfRule type="duplicateValues" dxfId="15" priority="16"/>
  </conditionalFormatting>
  <conditionalFormatting sqref="AC1269">
    <cfRule type="duplicateValues" dxfId="14" priority="15"/>
  </conditionalFormatting>
  <conditionalFormatting sqref="AC1270">
    <cfRule type="duplicateValues" dxfId="13" priority="14"/>
  </conditionalFormatting>
  <conditionalFormatting sqref="AC1271">
    <cfRule type="duplicateValues" dxfId="12" priority="13"/>
  </conditionalFormatting>
  <conditionalFormatting sqref="AC1272">
    <cfRule type="duplicateValues" dxfId="11" priority="12"/>
  </conditionalFormatting>
  <conditionalFormatting sqref="AC1273">
    <cfRule type="duplicateValues" dxfId="10" priority="11"/>
  </conditionalFormatting>
  <conditionalFormatting sqref="AC1274">
    <cfRule type="duplicateValues" dxfId="9" priority="10"/>
  </conditionalFormatting>
  <conditionalFormatting sqref="AC1275">
    <cfRule type="duplicateValues" dxfId="8" priority="9"/>
  </conditionalFormatting>
  <conditionalFormatting sqref="AC1276">
    <cfRule type="duplicateValues" dxfId="7" priority="8"/>
  </conditionalFormatting>
  <conditionalFormatting sqref="AC1277">
    <cfRule type="duplicateValues" dxfId="6" priority="7"/>
  </conditionalFormatting>
  <conditionalFormatting sqref="AC1278">
    <cfRule type="duplicateValues" dxfId="5" priority="6"/>
  </conditionalFormatting>
  <conditionalFormatting sqref="AC1279">
    <cfRule type="duplicateValues" dxfId="4" priority="5"/>
  </conditionalFormatting>
  <conditionalFormatting sqref="AC1283">
    <cfRule type="duplicateValues" dxfId="3" priority="4"/>
  </conditionalFormatting>
  <conditionalFormatting sqref="AC1284">
    <cfRule type="duplicateValues" dxfId="2" priority="3"/>
  </conditionalFormatting>
  <conditionalFormatting sqref="AC1285">
    <cfRule type="duplicateValues" dxfId="1" priority="2"/>
  </conditionalFormatting>
  <conditionalFormatting sqref="AC1286">
    <cfRule type="duplicateValues" dxfId="0" priority="1"/>
  </conditionalFormatting>
  <hyperlinks>
    <hyperlink ref="F287" r:id="rId1" xr:uid="{97041709-13E4-4362-8924-D5AF6B3F1AED}"/>
    <hyperlink ref="F509" r:id="rId2" xr:uid="{05D93B2F-477A-49CE-8BBB-9F0A82A98334}"/>
    <hyperlink ref="F573" r:id="rId3" xr:uid="{1CBDFFAF-2EDD-4378-8867-045CFEABF2B3}"/>
    <hyperlink ref="F582" r:id="rId4" xr:uid="{CEFDED6C-A8F5-45FC-A273-3D5976914F28}"/>
    <hyperlink ref="F235" r:id="rId5" xr:uid="{224ADE35-CF9F-42B6-BE23-E69ED78D85A4}"/>
    <hyperlink ref="F76" r:id="rId6" xr:uid="{79E03805-B003-470E-940F-2CB391790AE1}"/>
    <hyperlink ref="F653" r:id="rId7" xr:uid="{178CBE1C-2BF9-49DE-BA10-B9A06441EE8D}"/>
    <hyperlink ref="F42" r:id="rId8" xr:uid="{AC606E77-42C1-4AF1-9695-5C2A10E07A1B}"/>
    <hyperlink ref="F645" r:id="rId9" xr:uid="{367556F5-4361-4A4A-A3F0-08BF1B16C25E}"/>
    <hyperlink ref="F661" r:id="rId10" xr:uid="{A0EAA8E7-CC69-4D6A-B6F1-C7B05FD2681F}"/>
    <hyperlink ref="F660" r:id="rId11" xr:uid="{050A4687-8EC1-4DAC-9361-398A17347D28}"/>
    <hyperlink ref="F659" r:id="rId12" xr:uid="{B43BA736-0E85-4E82-BA52-0F9A4D0E3CD9}"/>
    <hyperlink ref="F658" r:id="rId13" xr:uid="{7B1A76CF-4BCB-4937-B2DF-861ED7A73250}"/>
    <hyperlink ref="F657" r:id="rId14" xr:uid="{08144A6A-5388-4410-92A2-32D473230E72}"/>
    <hyperlink ref="F656" r:id="rId15" xr:uid="{ACED8050-F34D-4751-A93D-87106DDF3F88}"/>
    <hyperlink ref="F655" r:id="rId16" xr:uid="{D9C4375A-6B8B-4974-BDEA-E56139EE6D90}"/>
    <hyperlink ref="F654" r:id="rId17" xr:uid="{B8769D48-BB13-4B5B-B73D-174CD3AC137B}"/>
    <hyperlink ref="F385" r:id="rId18" xr:uid="{D12FFF4A-406B-4F49-8433-D7FEDA1D2904}"/>
    <hyperlink ref="F353" r:id="rId19" display="mailto:remo.dedonno@gmail.com" xr:uid="{FDEAEA98-030D-4C13-BE6B-ADF39AF9392F}"/>
    <hyperlink ref="F188" r:id="rId20" xr:uid="{CE6940FA-919D-49EE-BD32-34A6A4A1D3AA}"/>
    <hyperlink ref="F672" r:id="rId21" xr:uid="{0C9D90B5-FC02-4CD5-86A7-41D53745CD0C}"/>
    <hyperlink ref="F675" r:id="rId22" xr:uid="{D6500D29-B379-4B7C-B771-F53DF81BA98C}"/>
    <hyperlink ref="F674" r:id="rId23" xr:uid="{A0381A34-72BE-4901-8C25-F924DCED65F5}"/>
    <hyperlink ref="F673" r:id="rId24" xr:uid="{AB27214D-8650-4B0D-9932-B78B8DF7AAD2}"/>
    <hyperlink ref="F680" r:id="rId25" xr:uid="{7B9B1429-2756-46FF-9260-2138FF15B39F}"/>
    <hyperlink ref="F679" r:id="rId26" xr:uid="{84FAB6C9-61D1-466E-AC09-B6FD8A4A47CB}"/>
    <hyperlink ref="F678" r:id="rId27" xr:uid="{B5CC41C7-FF38-4E19-8D0F-E255CC0BFE1A}"/>
    <hyperlink ref="F19" r:id="rId28" xr:uid="{9E9E46AA-968F-43F7-8990-9ACF17760A12}"/>
    <hyperlink ref="F634" r:id="rId29" xr:uid="{FE780989-09C2-4DFC-8CCD-94A1B87DBD50}"/>
    <hyperlink ref="F234" r:id="rId30" xr:uid="{64365875-A98E-448B-A869-D99D2FA6B952}"/>
    <hyperlink ref="F283" r:id="rId31" xr:uid="{43997DA6-BB5F-4EE7-A243-4341FA21E6E9}"/>
    <hyperlink ref="F466" r:id="rId32" xr:uid="{A4A5FDCA-E885-4868-95B0-16C873185DF6}"/>
    <hyperlink ref="F544" r:id="rId33" xr:uid="{F595E760-9899-4311-A6EB-C2DE7D22443C}"/>
    <hyperlink ref="A1" r:id="rId34" display="mailto:stefanoamadei996@gmail.com" xr:uid="{EE6C0698-13D2-46AD-8CF9-380BE342EDBE}"/>
    <hyperlink ref="F172" r:id="rId35" xr:uid="{057E8331-3761-42AF-AD64-2FDBE7FAF925}"/>
    <hyperlink ref="F907" r:id="rId36" xr:uid="{6E2BAAD6-7B6F-4FB9-B545-C6D70A64E49F}"/>
    <hyperlink ref="G916" r:id="rId37" xr:uid="{8C1BC9A4-A1A0-4198-B64C-4E075C77CA27}"/>
    <hyperlink ref="F944" r:id="rId38" xr:uid="{DE082B46-829D-4309-A247-6E1E2CB56B37}"/>
    <hyperlink ref="F952" r:id="rId39" xr:uid="{EA2D8D46-B335-453C-B30F-1E967876BE85}"/>
    <hyperlink ref="F965" r:id="rId40" xr:uid="{39B4A0C3-4EAF-4270-91CC-DB4A8343AECF}"/>
    <hyperlink ref="F1094" r:id="rId41" xr:uid="{978C62DA-78D7-4A59-90A3-DA2BDE9561DA}"/>
    <hyperlink ref="F1102" r:id="rId42" xr:uid="{7591C342-0BE4-4BB4-953E-1AB549B315CB}"/>
    <hyperlink ref="F1113" r:id="rId43" xr:uid="{DEA840A3-08B3-4556-8AA5-263C1F90FA50}"/>
    <hyperlink ref="F1135" r:id="rId44" xr:uid="{68FB92B3-6DF2-44AB-A21A-BBC9C82F5A50}"/>
    <hyperlink ref="F465" r:id="rId45" xr:uid="{757A18C8-E8FB-4F46-8CCF-A133A923AB6E}"/>
    <hyperlink ref="F1257" r:id="rId46" xr:uid="{ECACD26B-19AD-4CAE-811A-13B8EAE7D017}"/>
    <hyperlink ref="F1259" r:id="rId47" xr:uid="{9701C502-9855-4353-A9A1-439AEC00DE1D}"/>
    <hyperlink ref="F1260" r:id="rId48" xr:uid="{9F5A07F6-BAE2-4ADF-8E8D-726429BAA7CB}"/>
    <hyperlink ref="F1261" r:id="rId49" xr:uid="{E63B57B0-EBFC-49F1-962E-EB5C7E1062D6}"/>
    <hyperlink ref="F1262" r:id="rId50" xr:uid="{DDAD304F-07F7-44D3-92A1-8E776D0159E7}"/>
    <hyperlink ref="F1263" r:id="rId51" xr:uid="{6CC5ED7E-2DA4-452C-A5B5-84A7B8AD66AB}"/>
    <hyperlink ref="F1264" r:id="rId52" xr:uid="{ADAA5AC1-1A18-4A40-A83E-8BBBCC11E8D7}"/>
    <hyperlink ref="F1265" r:id="rId53" xr:uid="{6964E4F8-BBFA-43E5-9935-25A8A45CC11E}"/>
    <hyperlink ref="F1266" r:id="rId54" xr:uid="{4A5A5A1F-0905-4BC0-B802-488F56796DFF}"/>
    <hyperlink ref="F1267" r:id="rId55" xr:uid="{E90DE96E-04BD-4E91-A90F-878240CF780C}"/>
    <hyperlink ref="F1272" r:id="rId56" xr:uid="{112EDB5A-2076-4BFA-92B9-609BA1503E4B}"/>
    <hyperlink ref="F1273" r:id="rId57" xr:uid="{9DB06CDE-C905-4B4B-818C-CE4D5325353F}"/>
    <hyperlink ref="F1274" r:id="rId58" xr:uid="{BE3F48A7-0BE8-4C1A-A1F3-E74CA794A8F5}"/>
    <hyperlink ref="F1275" r:id="rId59" xr:uid="{CEF65CE1-D7DA-4BF3-881F-EAE240CB1465}"/>
    <hyperlink ref="F1276" r:id="rId60" xr:uid="{301A8E02-2A03-481A-A3E0-FC3C8B4993A6}"/>
    <hyperlink ref="F1277" r:id="rId61" xr:uid="{348F1A88-9E41-462F-B3E4-2C0885E2C291}"/>
    <hyperlink ref="F1278" r:id="rId62" xr:uid="{25552A3C-1C21-4A35-ACCB-C6FACAE69CCC}"/>
    <hyperlink ref="F981" r:id="rId63" xr:uid="{FE886C2B-F487-4E64-8606-F5BA8FF47208}"/>
    <hyperlink ref="F1280" r:id="rId64" xr:uid="{C8F9F4F0-71A9-4935-96BC-895FC36B7AB9}"/>
  </hyperlinks>
  <pageMargins left="0.7" right="0.7" top="0.75" bottom="0.75" header="0.3" footer="0.3"/>
  <pageSetup paperSize="9" orientation="portrait" r:id="rId6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8E512-4DBC-46A4-A1C4-0A4109133C31}">
  <dimension ref="A1:B11"/>
  <sheetViews>
    <sheetView workbookViewId="0">
      <selection activeCell="B4" sqref="B4"/>
    </sheetView>
  </sheetViews>
  <sheetFormatPr defaultRowHeight="13.8" x14ac:dyDescent="0.3"/>
  <cols>
    <col min="1" max="1" width="17" bestFit="1" customWidth="1"/>
  </cols>
  <sheetData>
    <row r="1" spans="1:2" x14ac:dyDescent="0.3">
      <c r="A1" t="s">
        <v>376</v>
      </c>
      <c r="B1">
        <f>COUNTIF(Sheet1!V:V,"non accettabile")</f>
        <v>13</v>
      </c>
    </row>
    <row r="2" spans="1:2" x14ac:dyDescent="0.3">
      <c r="A2" t="s">
        <v>7791</v>
      </c>
      <c r="B2">
        <f>COUNTIF(Sheet1!V:V,"Annullata iscrizione")</f>
        <v>2</v>
      </c>
    </row>
    <row r="4" spans="1:2" x14ac:dyDescent="0.3">
      <c r="A4" t="s">
        <v>7788</v>
      </c>
      <c r="B4">
        <f>COUNTIF(Sheet1!V:V,"ordinario")</f>
        <v>1210</v>
      </c>
    </row>
    <row r="5" spans="1:2" x14ac:dyDescent="0.3">
      <c r="A5" t="s">
        <v>7789</v>
      </c>
      <c r="B5">
        <f>COUNTIF(Sheet1!V:V,"onorario")</f>
        <v>57</v>
      </c>
    </row>
    <row r="6" spans="1:2" x14ac:dyDescent="0.3">
      <c r="A6" t="s">
        <v>7790</v>
      </c>
      <c r="B6">
        <f>SUM(B4:B5)</f>
        <v>1267</v>
      </c>
    </row>
    <row r="8" spans="1:2" x14ac:dyDescent="0.3">
      <c r="A8" t="s">
        <v>3828</v>
      </c>
      <c r="B8">
        <f>COUNTIF(Sheet1!Z:Z,"Ingegneria")</f>
        <v>527</v>
      </c>
    </row>
    <row r="9" spans="1:2" x14ac:dyDescent="0.3">
      <c r="A9" t="s">
        <v>2148</v>
      </c>
      <c r="B9">
        <f>COUNTIF(Sheet1!Z:Z,"Medicina")</f>
        <v>167</v>
      </c>
    </row>
    <row r="10" spans="1:2" x14ac:dyDescent="0.3">
      <c r="A10" t="s">
        <v>3835</v>
      </c>
      <c r="B10">
        <f>COUNTIF(Sheet1!Z:Z,"Economia")</f>
        <v>419</v>
      </c>
    </row>
    <row r="11" spans="1:2" x14ac:dyDescent="0.3">
      <c r="A11" t="s">
        <v>3870</v>
      </c>
      <c r="B11">
        <f>COUNTIF(Sheet1!Z:Z,"Giurisprudenza")</f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Caterina Galati</dc:creator>
  <cp:lastModifiedBy>Roberta PEZZA</cp:lastModifiedBy>
  <dcterms:created xsi:type="dcterms:W3CDTF">2022-09-13T04:20:23Z</dcterms:created>
  <dcterms:modified xsi:type="dcterms:W3CDTF">2025-10-02T13:50:15Z</dcterms:modified>
</cp:coreProperties>
</file>